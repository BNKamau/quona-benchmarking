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alllife.local\hydra\4. Enabling\Finance\Admin\Accounts\Management accounts\Quona\Q2 25\"/>
    </mc:Choice>
  </mc:AlternateContent>
  <xr:revisionPtr revIDLastSave="0" documentId="13_ncr:1_{F3E51D8C-CFFA-4031-A09A-E059F8D1D03F}" xr6:coauthVersionLast="47" xr6:coauthVersionMax="47" xr10:uidLastSave="{00000000-0000-0000-0000-000000000000}"/>
  <bookViews>
    <workbookView xWindow="-110" yWindow="-110" windowWidth="19420" windowHeight="11500" activeTab="1" xr2:uid="{00000000-000D-0000-FFFF-FFFF00000000}"/>
  </bookViews>
  <sheets>
    <sheet name="Data Template" sheetId="3" r:id="rId1"/>
    <sheet name="P&amp;L Breakdown" sheetId="4" r:id="rId2"/>
    <sheet name="Current Data" sheetId="2" state="hidden" r:id="rId3"/>
  </sheets>
  <externalReferences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</externalReferences>
  <definedNames>
    <definedName name="__FDS_HYPERLINK_TOGGLE_STATE__" hidden="1">"ON"</definedName>
    <definedName name="__wrn2" hidden="1">{#N/A,#N/A,FALSE,"ASSUMPTIONS";#N/A,#N/A,FALSE,"Valuation Summary";"page1",#N/A,FALSE,"PRESENTATION";"page2",#N/A,FALSE,"PRESENTATION";#N/A,#N/A,FALSE,"ORIGINAL_ROLLBACK"}</definedName>
    <definedName name="__wrn3" hidden="1">{#N/A,#N/A,FALSE,"ASSUMPTIONS";#N/A,#N/A,FALSE,"Valuation Summary";"page1",#N/A,FALSE,"PRESENTATION";"page2",#N/A,FALSE,"PRESENTATION";#N/A,#N/A,FALSE,"ORIGINAL_ROLLBACK"}</definedName>
    <definedName name="_bdm.53D5CCEEF1A04477A1E3973F80075B55.edm" localSheetId="2" hidden="1">#REF!</definedName>
    <definedName name="_bdm.53D5CCEEF1A04477A1E3973F80075B55.edm" hidden="1">#REF!</definedName>
    <definedName name="_bdm.5F545EFF73C54733B9330B28665B105B.edm" localSheetId="2" hidden="1">#REF!</definedName>
    <definedName name="_bdm.5F545EFF73C54733B9330B28665B105B.edm" hidden="1">#REF!</definedName>
    <definedName name="_bdm.7B9375018C46454BA19595FE32B3DE9B.edm" localSheetId="2" hidden="1">#REF!</definedName>
    <definedName name="_bdm.7B9375018C46454BA19595FE32B3DE9B.edm" hidden="1">#REF!</definedName>
    <definedName name="_bdm.80F3C664ADFF48FABEA528155B884ACB.edm" localSheetId="2" hidden="1">#REF!</definedName>
    <definedName name="_bdm.80F3C664ADFF48FABEA528155B884ACB.edm" hidden="1">#REF!</definedName>
    <definedName name="_bdm.83133AC40B0940A5B7FB3BA7DE08C5A6.edm" hidden="1">'[1]Comp Investor Yield Curve'!$A:$IV</definedName>
    <definedName name="_c" hidden="1">{#N/A,#N/A,FALSE,"Layout Cash Flow"}</definedName>
    <definedName name="_neu1" hidden="1">{#N/A,#N/A,FALSE,"DCF";#N/A,#N/A,FALSE,"WACC";#N/A,#N/A,FALSE,"Sales_EBIT";#N/A,#N/A,FALSE,"Capex_Depreciation";#N/A,#N/A,FALSE,"WC";#N/A,#N/A,FALSE,"Interest";#N/A,#N/A,FALSE,"Assumptions"}</definedName>
    <definedName name="_neu2" hidden="1">{#N/A,#N/A,FALSE,"DCF";#N/A,#N/A,FALSE,"WACC";#N/A,#N/A,FALSE,"Sales_EBIT";#N/A,#N/A,FALSE,"Capex_Depreciation";#N/A,#N/A,FALSE,"WC";#N/A,#N/A,FALSE,"Interest";#N/A,#N/A,FALSE,"Assumptions"}</definedName>
    <definedName name="_neu3" hidden="1">{#N/A,#N/A,FALSE,"DCF";#N/A,#N/A,FALSE,"WACC";#N/A,#N/A,FALSE,"Sales_EBIT";#N/A,#N/A,FALSE,"Capex_Depreciation";#N/A,#N/A,FALSE,"WC";#N/A,#N/A,FALSE,"Interest";#N/A,#N/A,FALSE,"Assumptions"}</definedName>
    <definedName name="_neu4" hidden="1">{#N/A,#N/A,FALSE,"DCF";#N/A,#N/A,FALSE,"WACC";#N/A,#N/A,FALSE,"Sales_EBIT";#N/A,#N/A,FALSE,"Capex_Depreciation";#N/A,#N/A,FALSE,"WC";#N/A,#N/A,FALSE,"Interest";#N/A,#N/A,FALSE,"Assumptions"}</definedName>
    <definedName name="_neu5" hidden="1">{#N/A,#N/A,FALSE,"DCF";#N/A,#N/A,FALSE,"WACC";#N/A,#N/A,FALSE,"Sales_EBIT";#N/A,#N/A,FALSE,"Capex_Depreciation";#N/A,#N/A,FALSE,"WC";#N/A,#N/A,FALSE,"Interest";#N/A,#N/A,FALSE,"Assumptions"}</definedName>
    <definedName name="_neu6" hidden="1">{#N/A,#N/A,FALSE,"DCF";#N/A,#N/A,FALSE,"WACC";#N/A,#N/A,FALSE,"Sales_EBIT";#N/A,#N/A,FALSE,"Capex_Depreciation";#N/A,#N/A,FALSE,"WC";#N/A,#N/A,FALSE,"Interest";#N/A,#N/A,FALSE,"Assumptions"}</definedName>
    <definedName name="_Order1" hidden="1">255</definedName>
    <definedName name="_Order2" hidden="1">255</definedName>
    <definedName name="_P00comps1" hidden="1">'[2]EU Comps'!$DK$326:$FO$489</definedName>
    <definedName name="_P00comps2" hidden="1">'[2]EU Comps'!$FQ$326:$HL$489</definedName>
    <definedName name="_r" hidden="1">{"consolidated",#N/A,FALSE,"Sheet1";"cms",#N/A,FALSE,"Sheet1";"fse",#N/A,FALSE,"Sheet1"}</definedName>
    <definedName name="_Regression_Int" hidden="1">1</definedName>
    <definedName name="_wrn1" hidden="1">{#N/A,#N/A,FALSE,"DCF";#N/A,#N/A,FALSE,"WACC";#N/A,#N/A,FALSE,"Sales_EBIT";#N/A,#N/A,FALSE,"Capex_Depreciation";#N/A,#N/A,FALSE,"WC";#N/A,#N/A,FALSE,"Interest";#N/A,#N/A,FALSE,"Assumptions"}</definedName>
    <definedName name="_wrn2" hidden="1">{#N/A,#N/A,FALSE,"ASSUMPTIONS";#N/A,#N/A,FALSE,"Valuation Summary";"page1",#N/A,FALSE,"PRESENTATION";"page2",#N/A,FALSE,"PRESENTATION";#N/A,#N/A,FALSE,"ORIGINAL_ROLLBACK"}</definedName>
    <definedName name="_wrn3" hidden="1">{#N/A,#N/A,FALSE,"ASSUMPTIONS";#N/A,#N/A,FALSE,"Valuation Summary";"page1",#N/A,FALSE,"PRESENTATION";"page2",#N/A,FALSE,"PRESENTATION";#N/A,#N/A,FALSE,"ORIGINAL_ROLLBACK"}</definedName>
    <definedName name="_Zcomps2" hidden="1">{0,0,0,0,1,-4105,28.3464566929134,28.3464566929134,28.346456664,28.3464566929134,2,TRUE,TRUE,FALSE,FALSE,FALSE,#N/A,1,85,1,2,"","","","&amp;""Kennerly,Roman Bold""&amp;14L&amp;12EHMAN &amp;14 B&amp;12ROTHERS","","",FALSE}</definedName>
    <definedName name="AAA" hidden="1">{#N/A,#N/A,FALSE,"Model";#N/A,#N/A,FALSE,"Division"}</definedName>
    <definedName name="AAA_DOCTOPS" hidden="1">"AAA_SET"</definedName>
    <definedName name="AAA_duser" hidden="1">"OFF"</definedName>
    <definedName name="AAB_Addin5" hidden="1">"AAB_Description for addin 5,Description for addin 5,Description for addin 5,Description for addin 5,Description for addin 5,Description for addin 5"</definedName>
    <definedName name="anscount" hidden="1">1</definedName>
    <definedName name="AS2DocOpenMode" hidden="1">"AS2DocumentEdit"</definedName>
    <definedName name="asd" hidden="1">{0,0,0,0,1,-4105,42.5196850393701,42.5196850393701,42.5196850393701,42.5196850393701,2,TRUE,TRUE,FALSE,FALSE,FALSE,#N/A,1,85,1,1,"","","","&amp;""Kennerly,Roman Bold""&amp;14L&amp;12EHMAN &amp;14 B&amp;12ROTHERS","","",FALSE}</definedName>
    <definedName name="ass" hidden="1">{0,0,0,0,1,-4105,42.5196850393701,42.5196850393701,42.5196850393701,42.5196850393701,2,TRUE,TRUE,FALSE,FALSE,FALSE,#N/A,1,85,1,1,"","","","&amp;""Kennerly,Roman Bold""&amp;14L&amp;12EHMAN &amp;14 B&amp;12ROTHERS","","",FALSE}</definedName>
    <definedName name="bb" hidden="1">{#N/A,#N/A,FALSE,"DCF";#N/A,#N/A,FALSE,"WACC";#N/A,#N/A,FALSE,"Sales_EBIT";#N/A,#N/A,FALSE,"Capex_Depreciation";#N/A,#N/A,FALSE,"WC";#N/A,#N/A,FALSE,"Interest";#N/A,#N/A,FALSE,"Assumptions"}</definedName>
    <definedName name="bnnn" hidden="1">{"consolidated",#N/A,FALSE,"Sheet1";"cms",#N/A,FALSE,"Sheet1";"fse",#N/A,FALSE,"Sheet1"}</definedName>
    <definedName name="ccc" hidden="1">{#N/A,#N/A,FALSE,"Calc";#N/A,#N/A,FALSE,"Sensitivity";#N/A,#N/A,FALSE,"LT Earn.Dil.";#N/A,#N/A,FALSE,"Dil. AVP"}</definedName>
    <definedName name="cddc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d" hidden="1">{#N/A,#N/A,FALSE,"Finanzbedarsrechnung"}</definedName>
    <definedName name="DCF_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df" hidden="1">{"Normal",#N/A,FALSE,"Terms";"Series Ownership",#N/A,FALSE,"Terms"}</definedName>
    <definedName name="dfjkhasdlirh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dgdg" hidden="1">{#N/A,#N/A,FALSE,"Calc";#N/A,#N/A,FALSE,"Sensitivity";#N/A,#N/A,FALSE,"LT Earn.Dil.";#N/A,#N/A,FALSE,"Dil. AVP"}</definedName>
    <definedName name="dgdgss" hidden="1">{"consolidated",#N/A,FALSE,"Sheet1";"cms",#N/A,FALSE,"Sheet1";"fse",#N/A,FALSE,"Sheet1"}</definedName>
    <definedName name="dsg" hidden="1">{#N/A,#N/A,FALSE,"Calc";#N/A,#N/A,FALSE,"Sensitivity";#N/A,#N/A,FALSE,"LT Earn.Dil.";#N/A,#N/A,FALSE,"Dil. AVP"}</definedName>
    <definedName name="e" hidden="1">{"page1",#N/A,FALSE,"PRESENTATION";"page2",#N/A,FALSE,"PRESENTATION";#N/A,#N/A,FALSE,"Valuation Summary"}</definedName>
    <definedName name="egfsfeg" hidden="1">{#N/A,"Hipótesis C",FALSE,"desglose";#N/A,#N/A,FALSE,"p&amp;g";#N/A,#N/A,FALSE,"detallder+dob (C)";#N/A,#N/A,FALSE,"costotitulo(C)";#N/A,#N/A,FALSE,"costohora(C)"}</definedName>
    <definedName name="emily" hidden="1">{#N/A,#N/A,FALSE,"Calc";#N/A,#N/A,FALSE,"Sensitivity";#N/A,#N/A,FALSE,"LT Earn.Dil.";#N/A,#N/A,FALSE,"Dil. AVP"}</definedName>
    <definedName name="ENG_BI_EXE_NAME" hidden="1">"BICORE.EXE"</definedName>
    <definedName name="ENG_BI_EXEC_CMD_ARGS" hidden="1">"03304607807612112110410611910011503704607003604507812808407808506607809309606808406807306606511711707610910710203304408012012604104108311710013412406907108409308506907006212512710011311510911810112110107707308406909108707008706110111310812511011411910"</definedName>
    <definedName name="ENG_BI_EXEC_CMD_ARGS_1" hidden="1">"03304607807210511511412004104507303704607512708407308306508709109606708806907006606511211307611411110103604508111712504103608111610913212406807508509008506906505812513210411211811011909812010107207108307808908706909106206608107608807408209207407107305"</definedName>
    <definedName name="ENG_BI_EXEC_CMD_ARGS_10" hidden="1">"11408011010010211411510510506107910410911511012612410011212110310811410807110511510610208610110711011512510811510110906208511911710513012310412111710211310610007711011912109711711508109712510506207205809608511412011211410111403307110910810512003204912"</definedName>
    <definedName name="ENG_BI_EXEC_CMD_ARGS_10_1" hidden="1">"09910511511610210406107410210812410812612310411311810310810910407111011910510508710210410911512010611411010706208412311810213012309911711710711710510307811111612009711211308010612310506107605909308511411510811410611803207411010910211903204412505606304"</definedName>
    <definedName name="ENG_BI_EXEC_CMD_ARGS_10_2" hidden="1">"11212110310910610307110511510511008910210311411611710611410510506109312311710513012409611611710211310510808011111512509810911308010112110407007605809608511511210711410111403207911210910112403304112505605804609209210610310503707011911510812112110512011"</definedName>
    <definedName name="ENG_BI_EXEC_CMD_ARGS_11" hidden="1">"7057054050093084102103105037069127120108121121106112114092070078067134130096112126099109110099073123111117126116109116111073101110104113101070061054055061049126128079086073069091078068084070083066081083065054125"</definedName>
    <definedName name="ENG_BI_EXEC_CMD_ARGS_11_1" hidden="1">"8093083106104102037069122116108126125105115115093067077067129128095121124099108114100070123111112122116114120110076102111101112101065054053057063054055063126124084082072074082078077080069087066078087061053130"</definedName>
    <definedName name="ENG_BI_EXEC_CMD_ARGS_11_2" hidden="1">"8093083106104102037069122116108126125105115115093067077067129128095121124099108114100070123111112122116114120110076102111101112101065059053064059055125132080083073069086074068089074082069082084062053125"</definedName>
    <definedName name="ENG_BI_EXEC_CMD_ARGS_11_3" hidden="1">"8093083106104102037069122116108126125105115115093067077067129128095121124099108114100070123111112122116114120110076102111101112101065054057063063056054134124080087068073087069077089065086070078084065049129"</definedName>
    <definedName name="ENG_BI_EXEC_CMD_ARGS_11_4" hidden="1">"8093083106104102037069122116108126125105115115093067077067129128095121124099108114100070123111112122116114120110076102111101112101065057053066064056050134124080087068073087069077089065086070078084065049129"</definedName>
    <definedName name="ENG_BI_EXEC_CMD_ARGS_11_5" hidden="1">"8093083106104102037069122116108126125105115115093067077067129128095121124099108114100070123111112122116114120110076102111101112101065054048061064055048061126124084082072074082078077080069087066078087061053130"</definedName>
    <definedName name="ENG_BI_EXEC_CMD_ARGS_2" hidden="1">"21041020520491291280951211211061181061171020730660710700840740850790750660661091120320801101021100390660991081121181151161091151031341320951161191061191011161050730660890720840830960800830730610701000761040740950821000760960840950691000831040900960871"</definedName>
    <definedName name="ENG_BI_EXEC_CMD_ARGS_2_1" hidden="1">"30501261270951161191051271041171010770670680700840690810790800700651121130330771091021050370651081061121171191171061151031291280951211231051221021171020720660840700830920940800820770620671000760990700950871040750990850960660990830990880950961020800950"</definedName>
    <definedName name="ENG_BI_EXEC_CMD_ARGS_2_2" hidden="1">"71151061220971201060680750740660840740770800760610691131080410851051061060330661030991151221101251121111031341240961171141091230971251100680700850660840870870830870680700730960761040660960830950791000801040740950871000840960910950831000821040751261231"</definedName>
    <definedName name="ENG_BI_EXEC_CMD_ARGS_3" hidden="1">"04080096087095072130123104121117102113106100080065082076067088075070061110111126128095116119105127106116105070086085083095071084078087102084069091087070087061101113108125110114119102104102052049129128095121121106118106117102070085088084095076088078082"</definedName>
    <definedName name="ENG_BI_EXEC_CMD_ARGS_3_1" hidden="1">"91096069130123099117117107117105103081066079075067083073069070108111125132096113119105122102116110074085088084096068083078082100083078089087069091062066081076088074082092074071073053050126127095116119105127104117101074086085084095071084078087104067069"</definedName>
    <definedName name="ENG_BI_EXEC_CMD_ARGS_3_2" hidden="1">"04113118103108109104076074087071071084069070065101114130123104119115105127098117106065089089079104076079082083096084073082090074082070047109111108098109046125127100112123114118101121102066089084083100067088085079095076066085070076083076061074117108036"</definedName>
    <definedName name="ENG_BI_EXEC_CMD_ARGS_4" hidden="1">"10006806608806508008407107007210910804107710610710103607009910812011711412110611110712512710011212311211909712510206609008408310006708808707809907208007808107908210008307808908706909106209811310812010611412410610310505305012612709511611910512710411710"</definedName>
    <definedName name="ENG_BI_EXEC_CMD_ARGS_4_1" hidden="1">"08906607708307106507010811703907710511110203307009910311611711912510511410812612409911211811011810612310206509408508010006708308307810407607908108208007909908307308708607808906206508507708507408208707007107805704912912809611311810512210211611007208608"</definedName>
    <definedName name="ENG_BI_EXEC_CMD_ARGS_4_2" hidden="1">"08110610310503206910409912012411111611411110413012309911711411412709712010606608608807909907207908708509606708807807808407809908806909109506908606604110911509910111304113413009611212310611910211610507008509308809507108407907909906708308207708808509606"</definedName>
    <definedName name="ENG_BI_EXEC_CMD_ARGS_5" hidden="1">"10740860850840950710840780871040670830820780800820950720700840740730660830780620701231111121221161141201100711161101101151101291280951211240991081141000700910790700870650870760720770730620920990950970541251321021131141141190981211010860840870860740830"</definedName>
    <definedName name="ENG_BI_EXEC_CMD_ARGS_5_1" hidden="1">"40880960680840780821000670880860770830830960690690840690710650920760620691271121091221161091161100761201091131161111261270951161220981171121000690950800670870650820720720820770610951000960940531251271001121231121190971251020830840870810700830840750820"</definedName>
    <definedName name="ENG_BI_EXEC_CMD_ARGS_5_2" hidden="1">"80740850660710650870740610781271111121221171061151100711161091181181111251320961131220981121100990780950790700870660790710720770730611001020960930581261241001121181101181061251010860840880780690830790710820820750720690701240830840870810700830840670910"</definedName>
    <definedName name="ENG_BI_EXEC_CMD_ARGS_6" hidden="1">"79071083074072071073066123091086088077074084076063091073115116114125105105120094047095069114121105125112102115104106067119097114104104082077093129096096099122071080070099108118118110125116071110110101115099114106108097051092066103099115122110125083102"</definedName>
    <definedName name="ENG_BI_EXEC_CMD_ARGS_6_1" hidden="1">"77073072070065123086084087086072084075067092070115116109121105110124093050096070111120105120110101124102106066123098111104104077073093134100095102123072077069099103116117119123116070114111098115099109102108102055091069104100112121110120081101127108109"</definedName>
    <definedName name="ENG_BI_EXEC_CMD_ARGS_6_2" hidden="1">"73115117106120105105120093055098070110125106117110101119100105075123097114104105074072093129096095107125072076074100100116117114121115079114110101115100106101108097051091074106100111126111117081101122106108102041060066037050126127095116122098117112100"</definedName>
    <definedName name="ENG_BI_EXEC_CMD_ARGS_7" hidden="1">"11811010909403706006603704913413209511612209910910909908610611212008709811611306209309706508008108407809108306907607004905309207312311107508006807711011709807309712010203613413209511612209910910909908912010112312206205313412409611711710211310510807410"</definedName>
    <definedName name="ENG_BI_EXEC_CMD_ARGS_7_1" hidden="1">"09304106106303704912912809512112609811211010008310511211508509712511106209210106607708108407308708307408006905205409307012211107007806708610811709707709811710203612912809512112609811211010008611910111812006106213212409512111809911310510307010011811411"</definedName>
    <definedName name="ENG_BI_EXEC_CMD_ARGS_7_2" hidden="1">"08211011311208509712010906110110106508008108507008608306907606905705609306912711206707806708110611610607709712010203712612709511612209811711210008512410211512006105713012310412111710211310610006910011311011011412211711410611711211908411511610808511409"</definedName>
    <definedName name="ENG_BI_EXEC_CMD_ARGS_8" hidden="1">"01131101111061191161181021161201210851111201090771100991051151151101090610741021091161051251271001121261051091051080831021081051191211011231101000711161101131011101250830971181080620651171090771101021050370400891251210450370771171041251271001121261051"</definedName>
    <definedName name="ENG_BI_EXEC_CMD_ARGS_8_1" hidden="1">"01091201171151011161151190841201181090761141001021151151051050610791061081191061261240991121211031081141060831011121061161211011181061000761201091161021111220820971131060610741151090761141031020370400841211210500410761201051261240991121211031081141060"</definedName>
    <definedName name="ENG_BI_EXEC_CMD_ARGS_8_2" hidden="1">"91051151161021040610741021081241081261231041131181031081091040821101121051191211021151051000711161091211041111210870981101060610691131080851141021050370410811201210450370761251071261231041131181031081091040801231201001211041170871051141191101111190680"</definedName>
    <definedName name="ENG_BI_EXEC_CMD_ARGS_9" hidden="1">"09105108081115116100121104116095110114119110112111065055050055048055057047048057049126128095116122098117114099086106113112118116081102110106110102114091102104110115120106114110109061088119118102129123099117117107115106099088077066085077101115097112110"</definedName>
    <definedName name="ENG_BI_EXEC_CMD_ARGS_9_1" hidden="1">"81114120101118104116090106114124114111114066056047054048050055046057055049125132096113122098112110099091110112115119117078101110101108101123089102103114116117106114105105061093123117105130124096116117102113105108086077065089078098115097107106114085114"</definedName>
    <definedName name="ENG_BI_EXEC_CMD_ARGS_9_2" hidden="1">"56046059049047055046052053048134132095116122099109109099086106112120121117077106111098108101118087101112114115120106115102104061088119117110132124095121118099113105103084076074089077101115098104105114080110099110117116101109062071102108119106125132104"</definedName>
    <definedName name="ENG_BI_GEN_LIC" hidden="1">"5"</definedName>
    <definedName name="ENG_BI_GEN_LIC_WS" hidden="1">"True"</definedName>
    <definedName name="ENG_BI_LANG_CODE" hidden="1">"en"</definedName>
    <definedName name="ENG_BI_LBI" hidden="1">"PMFTMGPWLK"</definedName>
    <definedName name="ENG_BI_LBI_1" hidden="1">"ROHUOIRYMM"</definedName>
    <definedName name="ENG_BI_LBI_2" hidden="1">"63WB3X6E21"</definedName>
    <definedName name="ENG_BI_LBI_3" hidden="1">"EB2HA3EK88"</definedName>
    <definedName name="ENG_BI_LBI_4" hidden="1">"41U81V4C0Z"</definedName>
    <definedName name="ENG_BI_LBI_5" hidden="1">"YVO1VPY5TT"</definedName>
    <definedName name="ENG_BI_PROFILE_PATH" hidden="1">"C:\ProgramData\Alchemex\AlchemexSmartReporting\MetaData\Financial Ratio S300SQL 1-0-0\BICORE_profiler_20130606_122100.csv"</definedName>
    <definedName name="ENG_BI_REPOS_FILE" hidden="1">"\\ALLTERSAGE01\EvoBICMetaData$\alchemex.svd"</definedName>
    <definedName name="ENG_BI_REPOS_PATH" hidden="1">"\\ALLTERSAGE01\EvoBICMetaData$"</definedName>
    <definedName name="ENG_BI_TLA" hidden="1">"117;58;164;245;172;40;174;126;155;41;124;91;144;191;81;71;168;31;202;65;227;36;40;139;162;249;197;30;97;97;231;63"</definedName>
    <definedName name="ENG_BI_TLA_1" hidden="1">"37;91;62;102;140;152;172;207;32;154;142;112;120;208;158;95;70;53;272;257;193;38;47;158;77;238;102;111;69;246;246;217"</definedName>
    <definedName name="ENG_BI_TLA_2" hidden="1">"149;80;17;26;147;52;258;32;31;104;111;58;118;263;260;38;133;43;48;198;128;24;184;156;125;57;270;95;243;136;36;269"</definedName>
    <definedName name="ENG_BI_TLA_3" hidden="1">"190;220;87;196;34;216;136;86;195;229;235;230;74;235;72;246;196;17;29;265;232;114;22;113;77;145;252;210;227;214;38;272"</definedName>
    <definedName name="ENG_BI_TLA_4" hidden="1">"72;135;91;251;249;215;134;51;83;241;124;161;109;176;99;67;158;194;121;136;245;122;126;158;265;147;27;190;215;258;109;58"</definedName>
    <definedName name="ENG_BI_TLA_5" hidden="1">"177;53;167;99;71;77;126;30;166;46;170;31;136;86;230;212;196;119;97;249;238;112;209;30;252;172;139;273;35;125;236;42"</definedName>
    <definedName name="ENG_BI_TLA2" hidden="1">"112;202;74;247;155;144;0;120;99;28;77;179;12;222;132;142;194;10;44;103;40;44;135;94;41;215;100;255;102;26;143;253"</definedName>
    <definedName name="ENG_BI_TLA2_1" hidden="1">"201;78;173;81;169;108;153;153;115;32;212;45;13;184;74;203;247;194;143;194;217;139;175;238;222;28;17;23;200;138;251;161"</definedName>
    <definedName name="ENG_BI_TLA2_2" hidden="1">"175;13;217;217;232;226;20;79;110;59;92;121;183;210;152;137;100;22;114;132;133;130;137;250;215;120;236;36;140;161;207;219"</definedName>
    <definedName name="ENG_BI_TLA2_3" hidden="1">"162;56;24;25;185;150;22;38;29;11;93;11;251;111;74;169;170;203;168;196;238;38;242;81;116;131;206;149;220;21;96;169"</definedName>
    <definedName name="ENG_BI_TLA2_4" hidden="1">"205;68;71;51;84;162;245;47;88;115;231;138;207;22;170;28;114;39;27;225;163;100;59;146;209;97;176;109;13;241;247;165"</definedName>
    <definedName name="ENG_BI_TLA2_5" hidden="1">"171;0;22;220;116;28;111;220;58;59;24;232;224;102;163;172;13;139;43;128;179;178;40;64;250;59;145;86;243;249;42;252"</definedName>
    <definedName name="etet" hidden="1">{#N/A,#N/A,FALSE,"Calc";#N/A,#N/A,FALSE,"Sensitivity";#N/A,#N/A,FALSE,"LT Earn.Dil.";#N/A,#N/A,FALSE,"Dil. AVP"}</definedName>
    <definedName name="FDD_0_0" hidden="1">"A30681"</definedName>
    <definedName name="FDD_0_1" hidden="1">"A31047"</definedName>
    <definedName name="FDD_0_10" hidden="1">"A34334"</definedName>
    <definedName name="FDD_0_11" hidden="1">"A34699"</definedName>
    <definedName name="FDD_0_12" hidden="1">"A35064"</definedName>
    <definedName name="FDD_0_13" hidden="1">"A35430"</definedName>
    <definedName name="FDD_0_14" hidden="1">"A35795"</definedName>
    <definedName name="FDD_0_2" hidden="1">"A31412"</definedName>
    <definedName name="FDD_0_3" hidden="1">"A31777"</definedName>
    <definedName name="FDD_0_4" hidden="1">"A32142"</definedName>
    <definedName name="FDD_0_5" hidden="1">"A32508"</definedName>
    <definedName name="FDD_0_6" hidden="1">"A32873"</definedName>
    <definedName name="FDD_0_7" hidden="1">"A33238"</definedName>
    <definedName name="FDD_0_8" hidden="1">"A33603"</definedName>
    <definedName name="FDD_0_9" hidden="1">"A33969"</definedName>
    <definedName name="FDD_1_0" hidden="1">"U25569"</definedName>
    <definedName name="FDD_10_0" hidden="1">"A25569"</definedName>
    <definedName name="FDD_100_0" hidden="1">"A25569"</definedName>
    <definedName name="FDD_101_0" hidden="1">"A25569"</definedName>
    <definedName name="FDD_102_0" hidden="1">"A25569"</definedName>
    <definedName name="FDD_103_0" hidden="1">"A25569"</definedName>
    <definedName name="FDD_104_0" hidden="1">"A25569"</definedName>
    <definedName name="FDD_105_0" hidden="1">"A25569"</definedName>
    <definedName name="FDD_106_0" hidden="1">"A25569"</definedName>
    <definedName name="FDD_107_0" hidden="1">"A25569"</definedName>
    <definedName name="FDD_108_0" hidden="1">"A25569"</definedName>
    <definedName name="FDD_109_0" hidden="1">"A25569"</definedName>
    <definedName name="FDD_11_0" hidden="1">"A25569"</definedName>
    <definedName name="FDD_110_0" hidden="1">"A25569"</definedName>
    <definedName name="FDD_111_0" hidden="1">"A25569"</definedName>
    <definedName name="FDD_112_0" hidden="1">"A25569"</definedName>
    <definedName name="FDD_113_0" hidden="1">"A25569"</definedName>
    <definedName name="FDD_114_0" hidden="1">"A25569"</definedName>
    <definedName name="FDD_115_0" hidden="1">"A25569"</definedName>
    <definedName name="FDD_116_0" hidden="1">"A25569"</definedName>
    <definedName name="FDD_117_0" hidden="1">"A30681"</definedName>
    <definedName name="FDD_117_1" hidden="1">"A31047"</definedName>
    <definedName name="FDD_117_10" hidden="1">"A34334"</definedName>
    <definedName name="FDD_117_11" hidden="1">"A34699"</definedName>
    <definedName name="FDD_117_12" hidden="1">"A35064"</definedName>
    <definedName name="FDD_117_13" hidden="1">"A35430"</definedName>
    <definedName name="FDD_117_14" hidden="1">"A35795"</definedName>
    <definedName name="FDD_117_2" hidden="1">"A31412"</definedName>
    <definedName name="FDD_117_3" hidden="1">"A31777"</definedName>
    <definedName name="FDD_117_4" hidden="1">"A32142"</definedName>
    <definedName name="FDD_117_5" hidden="1">"A32508"</definedName>
    <definedName name="FDD_117_6" hidden="1">"A32873"</definedName>
    <definedName name="FDD_117_7" hidden="1">"A33238"</definedName>
    <definedName name="FDD_117_8" hidden="1">"A33603"</definedName>
    <definedName name="FDD_117_9" hidden="1">"A33969"</definedName>
    <definedName name="FDD_118_0" hidden="1">"A30681"</definedName>
    <definedName name="FDD_118_1" hidden="1">"A31047"</definedName>
    <definedName name="FDD_118_10" hidden="1">"A34334"</definedName>
    <definedName name="FDD_118_11" hidden="1">"A34699"</definedName>
    <definedName name="FDD_118_12" hidden="1">"A35064"</definedName>
    <definedName name="FDD_118_13" hidden="1">"A35430"</definedName>
    <definedName name="FDD_118_14" hidden="1">"A35795"</definedName>
    <definedName name="FDD_118_2" hidden="1">"A31412"</definedName>
    <definedName name="FDD_118_3" hidden="1">"A31777"</definedName>
    <definedName name="FDD_118_4" hidden="1">"A32142"</definedName>
    <definedName name="FDD_118_5" hidden="1">"A32508"</definedName>
    <definedName name="FDD_118_6" hidden="1">"A32873"</definedName>
    <definedName name="FDD_118_7" hidden="1">"A33238"</definedName>
    <definedName name="FDD_118_8" hidden="1">"A33603"</definedName>
    <definedName name="FDD_118_9" hidden="1">"A33969"</definedName>
    <definedName name="FDD_119_0" hidden="1">"A30681"</definedName>
    <definedName name="FDD_119_1" hidden="1">"A31047"</definedName>
    <definedName name="FDD_119_10" hidden="1">"A34334"</definedName>
    <definedName name="FDD_119_11" hidden="1">"A34699"</definedName>
    <definedName name="FDD_119_12" hidden="1">"A35064"</definedName>
    <definedName name="FDD_119_13" hidden="1">"A35430"</definedName>
    <definedName name="FDD_119_14" hidden="1">"A35795"</definedName>
    <definedName name="FDD_119_2" hidden="1">"A31412"</definedName>
    <definedName name="FDD_119_3" hidden="1">"A31777"</definedName>
    <definedName name="FDD_119_4" hidden="1">"A32142"</definedName>
    <definedName name="FDD_119_5" hidden="1">"A32508"</definedName>
    <definedName name="FDD_119_6" hidden="1">"A32873"</definedName>
    <definedName name="FDD_119_7" hidden="1">"A33238"</definedName>
    <definedName name="FDD_119_8" hidden="1">"A33603"</definedName>
    <definedName name="FDD_119_9" hidden="1">"A33969"</definedName>
    <definedName name="FDD_12_0" hidden="1">"A25569"</definedName>
    <definedName name="FDD_120_0" hidden="1">"A30681"</definedName>
    <definedName name="FDD_120_1" hidden="1">"A31047"</definedName>
    <definedName name="FDD_120_10" hidden="1">"A34334"</definedName>
    <definedName name="FDD_120_11" hidden="1">"A34699"</definedName>
    <definedName name="FDD_120_12" hidden="1">"A35064"</definedName>
    <definedName name="FDD_120_13" hidden="1">"A35430"</definedName>
    <definedName name="FDD_120_14" hidden="1">"A35795"</definedName>
    <definedName name="FDD_120_2" hidden="1">"A31412"</definedName>
    <definedName name="FDD_120_3" hidden="1">"A31777"</definedName>
    <definedName name="FDD_120_4" hidden="1">"A32142"</definedName>
    <definedName name="FDD_120_5" hidden="1">"A32508"</definedName>
    <definedName name="FDD_120_6" hidden="1">"A32873"</definedName>
    <definedName name="FDD_120_7" hidden="1">"A33238"</definedName>
    <definedName name="FDD_120_8" hidden="1">"A33603"</definedName>
    <definedName name="FDD_120_9" hidden="1">"A33969"</definedName>
    <definedName name="FDD_121_0" hidden="1">"A30681"</definedName>
    <definedName name="FDD_121_1" hidden="1">"A31047"</definedName>
    <definedName name="FDD_121_10" hidden="1">"A34334"</definedName>
    <definedName name="FDD_121_11" hidden="1">"A34699"</definedName>
    <definedName name="FDD_121_12" hidden="1">"A35064"</definedName>
    <definedName name="FDD_121_13" hidden="1">"A35430"</definedName>
    <definedName name="FDD_121_14" hidden="1">"A35795"</definedName>
    <definedName name="FDD_121_2" hidden="1">"A31412"</definedName>
    <definedName name="FDD_121_3" hidden="1">"A31777"</definedName>
    <definedName name="FDD_121_4" hidden="1">"A32142"</definedName>
    <definedName name="FDD_121_5" hidden="1">"A32508"</definedName>
    <definedName name="FDD_121_6" hidden="1">"A32873"</definedName>
    <definedName name="FDD_121_7" hidden="1">"A33238"</definedName>
    <definedName name="FDD_121_8" hidden="1">"A33603"</definedName>
    <definedName name="FDD_121_9" hidden="1">"A33969"</definedName>
    <definedName name="FDD_122_0" hidden="1">"A30681"</definedName>
    <definedName name="FDD_122_1" hidden="1">"A31047"</definedName>
    <definedName name="FDD_122_10" hidden="1">"A34334"</definedName>
    <definedName name="FDD_122_11" hidden="1">"A34699"</definedName>
    <definedName name="FDD_122_12" hidden="1">"A35064"</definedName>
    <definedName name="FDD_122_13" hidden="1">"A35430"</definedName>
    <definedName name="FDD_122_14" hidden="1">"A35795"</definedName>
    <definedName name="FDD_122_2" hidden="1">"A31412"</definedName>
    <definedName name="FDD_122_3" hidden="1">"A31777"</definedName>
    <definedName name="FDD_122_4" hidden="1">"A32142"</definedName>
    <definedName name="FDD_122_5" hidden="1">"A32508"</definedName>
    <definedName name="FDD_122_6" hidden="1">"A32873"</definedName>
    <definedName name="FDD_122_7" hidden="1">"A33238"</definedName>
    <definedName name="FDD_122_8" hidden="1">"A33603"</definedName>
    <definedName name="FDD_122_9" hidden="1">"A33969"</definedName>
    <definedName name="FDD_123_0" hidden="1">"A30681"</definedName>
    <definedName name="FDD_123_1" hidden="1">"A31047"</definedName>
    <definedName name="FDD_123_10" hidden="1">"A34334"</definedName>
    <definedName name="FDD_123_11" hidden="1">"A34699"</definedName>
    <definedName name="FDD_123_12" hidden="1">"A35064"</definedName>
    <definedName name="FDD_123_13" hidden="1">"A35430"</definedName>
    <definedName name="FDD_123_14" hidden="1">"A35795"</definedName>
    <definedName name="FDD_123_2" hidden="1">"A31412"</definedName>
    <definedName name="FDD_123_3" hidden="1">"A31777"</definedName>
    <definedName name="FDD_123_4" hidden="1">"A32142"</definedName>
    <definedName name="FDD_123_5" hidden="1">"A32508"</definedName>
    <definedName name="FDD_123_6" hidden="1">"A32873"</definedName>
    <definedName name="FDD_123_7" hidden="1">"A33238"</definedName>
    <definedName name="FDD_123_8" hidden="1">"A33603"</definedName>
    <definedName name="FDD_123_9" hidden="1">"A33969"</definedName>
    <definedName name="FDD_124_0" hidden="1">"A30681"</definedName>
    <definedName name="FDD_124_1" hidden="1">"A31047"</definedName>
    <definedName name="FDD_124_10" hidden="1">"A34334"</definedName>
    <definedName name="FDD_124_11" hidden="1">"A34699"</definedName>
    <definedName name="FDD_124_12" hidden="1">"A35064"</definedName>
    <definedName name="FDD_124_13" hidden="1">"A35430"</definedName>
    <definedName name="FDD_124_14" hidden="1">"A35795"</definedName>
    <definedName name="FDD_124_2" hidden="1">"A31412"</definedName>
    <definedName name="FDD_124_3" hidden="1">"A31777"</definedName>
    <definedName name="FDD_124_4" hidden="1">"A32142"</definedName>
    <definedName name="FDD_124_5" hidden="1">"A32508"</definedName>
    <definedName name="FDD_124_6" hidden="1">"A32873"</definedName>
    <definedName name="FDD_124_7" hidden="1">"A33238"</definedName>
    <definedName name="FDD_124_8" hidden="1">"A33603"</definedName>
    <definedName name="FDD_124_9" hidden="1">"A33969"</definedName>
    <definedName name="FDD_125_0" hidden="1">"A30681"</definedName>
    <definedName name="FDD_125_1" hidden="1">"A31047"</definedName>
    <definedName name="FDD_125_10" hidden="1">"A34334"</definedName>
    <definedName name="FDD_125_11" hidden="1">"A34699"</definedName>
    <definedName name="FDD_125_12" hidden="1">"A35064"</definedName>
    <definedName name="FDD_125_13" hidden="1">"A35430"</definedName>
    <definedName name="FDD_125_14" hidden="1">"A35795"</definedName>
    <definedName name="FDD_125_2" hidden="1">"A31412"</definedName>
    <definedName name="FDD_125_3" hidden="1">"A31777"</definedName>
    <definedName name="FDD_125_4" hidden="1">"A32142"</definedName>
    <definedName name="FDD_125_5" hidden="1">"A32508"</definedName>
    <definedName name="FDD_125_6" hidden="1">"A32873"</definedName>
    <definedName name="FDD_125_7" hidden="1">"A33238"</definedName>
    <definedName name="FDD_125_8" hidden="1">"A33603"</definedName>
    <definedName name="FDD_125_9" hidden="1">"A33969"</definedName>
    <definedName name="FDD_126_0" hidden="1">"A30681"</definedName>
    <definedName name="FDD_126_1" hidden="1">"A31047"</definedName>
    <definedName name="FDD_126_10" hidden="1">"A34334"</definedName>
    <definedName name="FDD_126_11" hidden="1">"A34699"</definedName>
    <definedName name="FDD_126_12" hidden="1">"A35064"</definedName>
    <definedName name="FDD_126_13" hidden="1">"A35430"</definedName>
    <definedName name="FDD_126_14" hidden="1">"A35795"</definedName>
    <definedName name="FDD_126_2" hidden="1">"A31412"</definedName>
    <definedName name="FDD_126_3" hidden="1">"A31777"</definedName>
    <definedName name="FDD_126_4" hidden="1">"A32142"</definedName>
    <definedName name="FDD_126_5" hidden="1">"A32508"</definedName>
    <definedName name="FDD_126_6" hidden="1">"A32873"</definedName>
    <definedName name="FDD_126_7" hidden="1">"A33238"</definedName>
    <definedName name="FDD_126_8" hidden="1">"A33603"</definedName>
    <definedName name="FDD_126_9" hidden="1">"A33969"</definedName>
    <definedName name="FDD_127_0" hidden="1">"A30681"</definedName>
    <definedName name="FDD_127_1" hidden="1">"A31047"</definedName>
    <definedName name="FDD_127_10" hidden="1">"A34334"</definedName>
    <definedName name="FDD_127_11" hidden="1">"A34699"</definedName>
    <definedName name="FDD_127_12" hidden="1">"A35064"</definedName>
    <definedName name="FDD_127_13" hidden="1">"A35430"</definedName>
    <definedName name="FDD_127_14" hidden="1">"A35795"</definedName>
    <definedName name="FDD_127_2" hidden="1">"A31412"</definedName>
    <definedName name="FDD_127_3" hidden="1">"A31777"</definedName>
    <definedName name="FDD_127_4" hidden="1">"A32142"</definedName>
    <definedName name="FDD_127_5" hidden="1">"A32508"</definedName>
    <definedName name="FDD_127_6" hidden="1">"A32873"</definedName>
    <definedName name="FDD_127_7" hidden="1">"A33238"</definedName>
    <definedName name="FDD_127_8" hidden="1">"A33603"</definedName>
    <definedName name="FDD_127_9" hidden="1">"A33969"</definedName>
    <definedName name="FDD_128_0" hidden="1">"A30681"</definedName>
    <definedName name="FDD_128_1" hidden="1">"A31047"</definedName>
    <definedName name="FDD_128_10" hidden="1">"A34334"</definedName>
    <definedName name="FDD_128_11" hidden="1">"A34699"</definedName>
    <definedName name="FDD_128_12" hidden="1">"A35064"</definedName>
    <definedName name="FDD_128_13" hidden="1">"A35430"</definedName>
    <definedName name="FDD_128_14" hidden="1">"A35795"</definedName>
    <definedName name="FDD_128_2" hidden="1">"A31412"</definedName>
    <definedName name="FDD_128_3" hidden="1">"A31777"</definedName>
    <definedName name="FDD_128_4" hidden="1">"A32142"</definedName>
    <definedName name="FDD_128_5" hidden="1">"A32508"</definedName>
    <definedName name="FDD_128_6" hidden="1">"A32873"</definedName>
    <definedName name="FDD_128_7" hidden="1">"A33238"</definedName>
    <definedName name="FDD_128_8" hidden="1">"A33603"</definedName>
    <definedName name="FDD_128_9" hidden="1">"A33969"</definedName>
    <definedName name="FDD_129_0" hidden="1">"A30681"</definedName>
    <definedName name="FDD_129_1" hidden="1">"A31047"</definedName>
    <definedName name="FDD_129_10" hidden="1">"A34334"</definedName>
    <definedName name="FDD_129_11" hidden="1">"A34699"</definedName>
    <definedName name="FDD_129_12" hidden="1">"A35064"</definedName>
    <definedName name="FDD_129_13" hidden="1">"A35430"</definedName>
    <definedName name="FDD_129_14" hidden="1">"A35795"</definedName>
    <definedName name="FDD_129_2" hidden="1">"A31412"</definedName>
    <definedName name="FDD_129_3" hidden="1">"A31777"</definedName>
    <definedName name="FDD_129_4" hidden="1">"A32142"</definedName>
    <definedName name="FDD_129_5" hidden="1">"A32508"</definedName>
    <definedName name="FDD_129_6" hidden="1">"A32873"</definedName>
    <definedName name="FDD_129_7" hidden="1">"A33238"</definedName>
    <definedName name="FDD_129_8" hidden="1">"A33603"</definedName>
    <definedName name="FDD_129_9" hidden="1">"A33969"</definedName>
    <definedName name="FDD_13_0" hidden="1">"A25569"</definedName>
    <definedName name="FDD_130_0" hidden="1">"A30681"</definedName>
    <definedName name="FDD_130_1" hidden="1">"A31047"</definedName>
    <definedName name="FDD_130_10" hidden="1">"A34334"</definedName>
    <definedName name="FDD_130_11" hidden="1">"A34699"</definedName>
    <definedName name="FDD_130_12" hidden="1">"A35064"</definedName>
    <definedName name="FDD_130_13" hidden="1">"A35430"</definedName>
    <definedName name="FDD_130_14" hidden="1">"A35795"</definedName>
    <definedName name="FDD_130_2" hidden="1">"A31412"</definedName>
    <definedName name="FDD_130_3" hidden="1">"A31777"</definedName>
    <definedName name="FDD_130_4" hidden="1">"A32142"</definedName>
    <definedName name="FDD_130_5" hidden="1">"A32508"</definedName>
    <definedName name="FDD_130_6" hidden="1">"A32873"</definedName>
    <definedName name="FDD_130_7" hidden="1">"A33238"</definedName>
    <definedName name="FDD_130_8" hidden="1">"A33603"</definedName>
    <definedName name="FDD_130_9" hidden="1">"A33969"</definedName>
    <definedName name="FDD_131_0" hidden="1">"A30681"</definedName>
    <definedName name="FDD_131_1" hidden="1">"A31047"</definedName>
    <definedName name="FDD_131_10" hidden="1">"A34334"</definedName>
    <definedName name="FDD_131_11" hidden="1">"A34699"</definedName>
    <definedName name="FDD_131_12" hidden="1">"A35064"</definedName>
    <definedName name="FDD_131_13" hidden="1">"A35430"</definedName>
    <definedName name="FDD_131_14" hidden="1">"A35795"</definedName>
    <definedName name="FDD_131_2" hidden="1">"A31412"</definedName>
    <definedName name="FDD_131_3" hidden="1">"A31777"</definedName>
    <definedName name="FDD_131_4" hidden="1">"A32142"</definedName>
    <definedName name="FDD_131_5" hidden="1">"A32508"</definedName>
    <definedName name="FDD_131_6" hidden="1">"A32873"</definedName>
    <definedName name="FDD_131_7" hidden="1">"A33238"</definedName>
    <definedName name="FDD_131_8" hidden="1">"A33603"</definedName>
    <definedName name="FDD_131_9" hidden="1">"A33969"</definedName>
    <definedName name="FDD_132_0" hidden="1">"U30681"</definedName>
    <definedName name="FDD_132_1" hidden="1">"U31047"</definedName>
    <definedName name="FDD_132_10" hidden="1">"U34334"</definedName>
    <definedName name="FDD_132_11" hidden="1">"U34699"</definedName>
    <definedName name="FDD_132_12" hidden="1">"U35064"</definedName>
    <definedName name="FDD_132_13" hidden="1">"U35430"</definedName>
    <definedName name="FDD_132_14" hidden="1">"U35795"</definedName>
    <definedName name="FDD_132_2" hidden="1">"U31412"</definedName>
    <definedName name="FDD_132_3" hidden="1">"U31777"</definedName>
    <definedName name="FDD_132_4" hidden="1">"U32142"</definedName>
    <definedName name="FDD_132_5" hidden="1">"U32508"</definedName>
    <definedName name="FDD_132_6" hidden="1">"U32873"</definedName>
    <definedName name="FDD_132_7" hidden="1">"U33238"</definedName>
    <definedName name="FDD_132_8" hidden="1">"U33603"</definedName>
    <definedName name="FDD_132_9" hidden="1">"U33969"</definedName>
    <definedName name="FDD_133_0" hidden="1">"A30681"</definedName>
    <definedName name="FDD_133_1" hidden="1">"A31047"</definedName>
    <definedName name="FDD_133_10" hidden="1">"A34334"</definedName>
    <definedName name="FDD_133_11" hidden="1">"A34699"</definedName>
    <definedName name="FDD_133_12" hidden="1">"A35064"</definedName>
    <definedName name="FDD_133_13" hidden="1">"A35430"</definedName>
    <definedName name="FDD_133_14" hidden="1">"A35795"</definedName>
    <definedName name="FDD_133_2" hidden="1">"A31412"</definedName>
    <definedName name="FDD_133_3" hidden="1">"A31777"</definedName>
    <definedName name="FDD_133_4" hidden="1">"A32142"</definedName>
    <definedName name="FDD_133_5" hidden="1">"A32508"</definedName>
    <definedName name="FDD_133_6" hidden="1">"A32873"</definedName>
    <definedName name="FDD_133_7" hidden="1">"A33238"</definedName>
    <definedName name="FDD_133_8" hidden="1">"A33603"</definedName>
    <definedName name="FDD_133_9" hidden="1">"A33969"</definedName>
    <definedName name="FDD_134_0" hidden="1">"A30681"</definedName>
    <definedName name="FDD_134_1" hidden="1">"A31047"</definedName>
    <definedName name="FDD_134_10" hidden="1">"A34334"</definedName>
    <definedName name="FDD_134_11" hidden="1">"A34699"</definedName>
    <definedName name="FDD_134_12" hidden="1">"A35064"</definedName>
    <definedName name="FDD_134_13" hidden="1">"A35430"</definedName>
    <definedName name="FDD_134_14" hidden="1">"A35795"</definedName>
    <definedName name="FDD_134_2" hidden="1">"A31412"</definedName>
    <definedName name="FDD_134_3" hidden="1">"A31777"</definedName>
    <definedName name="FDD_134_4" hidden="1">"A32142"</definedName>
    <definedName name="FDD_134_5" hidden="1">"A32508"</definedName>
    <definedName name="FDD_134_6" hidden="1">"A32873"</definedName>
    <definedName name="FDD_134_7" hidden="1">"A33238"</definedName>
    <definedName name="FDD_134_8" hidden="1">"A33603"</definedName>
    <definedName name="FDD_134_9" hidden="1">"A33969"</definedName>
    <definedName name="FDD_135_0" hidden="1">"A30681"</definedName>
    <definedName name="FDD_135_1" hidden="1">"A31047"</definedName>
    <definedName name="FDD_135_10" hidden="1">"A34334"</definedName>
    <definedName name="FDD_135_11" hidden="1">"A34699"</definedName>
    <definedName name="FDD_135_12" hidden="1">"A35064"</definedName>
    <definedName name="FDD_135_13" hidden="1">"A35430"</definedName>
    <definedName name="FDD_135_14" hidden="1">"A35795"</definedName>
    <definedName name="FDD_135_2" hidden="1">"A31412"</definedName>
    <definedName name="FDD_135_3" hidden="1">"A31777"</definedName>
    <definedName name="FDD_135_4" hidden="1">"A32142"</definedName>
    <definedName name="FDD_135_5" hidden="1">"A32508"</definedName>
    <definedName name="FDD_135_6" hidden="1">"A32873"</definedName>
    <definedName name="FDD_135_7" hidden="1">"A33238"</definedName>
    <definedName name="FDD_135_8" hidden="1">"A33603"</definedName>
    <definedName name="FDD_135_9" hidden="1">"A33969"</definedName>
    <definedName name="FDD_136_0" hidden="1">"A30681"</definedName>
    <definedName name="FDD_136_1" hidden="1">"A31047"</definedName>
    <definedName name="FDD_136_10" hidden="1">"A34334"</definedName>
    <definedName name="FDD_136_11" hidden="1">"A34699"</definedName>
    <definedName name="FDD_136_12" hidden="1">"A35064"</definedName>
    <definedName name="FDD_136_13" hidden="1">"A35430"</definedName>
    <definedName name="FDD_136_14" hidden="1">"A35795"</definedName>
    <definedName name="FDD_136_2" hidden="1">"A31412"</definedName>
    <definedName name="FDD_136_3" hidden="1">"A31777"</definedName>
    <definedName name="FDD_136_4" hidden="1">"A32142"</definedName>
    <definedName name="FDD_136_5" hidden="1">"A32508"</definedName>
    <definedName name="FDD_136_6" hidden="1">"A32873"</definedName>
    <definedName name="FDD_136_7" hidden="1">"A33238"</definedName>
    <definedName name="FDD_136_8" hidden="1">"A33603"</definedName>
    <definedName name="FDD_136_9" hidden="1">"A33969"</definedName>
    <definedName name="FDD_137_0" hidden="1">"A30681"</definedName>
    <definedName name="FDD_137_1" hidden="1">"A31047"</definedName>
    <definedName name="FDD_137_10" hidden="1">"A34334"</definedName>
    <definedName name="FDD_137_11" hidden="1">"A34699"</definedName>
    <definedName name="FDD_137_12" hidden="1">"A35064"</definedName>
    <definedName name="FDD_137_13" hidden="1">"A35430"</definedName>
    <definedName name="FDD_137_14" hidden="1">"A35795"</definedName>
    <definedName name="FDD_137_2" hidden="1">"A31412"</definedName>
    <definedName name="FDD_137_3" hidden="1">"A31777"</definedName>
    <definedName name="FDD_137_4" hidden="1">"A32142"</definedName>
    <definedName name="FDD_137_5" hidden="1">"A32508"</definedName>
    <definedName name="FDD_137_6" hidden="1">"A32873"</definedName>
    <definedName name="FDD_137_7" hidden="1">"A33238"</definedName>
    <definedName name="FDD_137_8" hidden="1">"A33603"</definedName>
    <definedName name="FDD_137_9" hidden="1">"A33969"</definedName>
    <definedName name="FDD_138_0" hidden="1">"A30681"</definedName>
    <definedName name="FDD_138_1" hidden="1">"A31047"</definedName>
    <definedName name="FDD_138_10" hidden="1">"A34334"</definedName>
    <definedName name="FDD_138_11" hidden="1">"A34699"</definedName>
    <definedName name="FDD_138_12" hidden="1">"A35064"</definedName>
    <definedName name="FDD_138_13" hidden="1">"A35430"</definedName>
    <definedName name="FDD_138_14" hidden="1">"A35795"</definedName>
    <definedName name="FDD_138_2" hidden="1">"A31412"</definedName>
    <definedName name="FDD_138_3" hidden="1">"A31777"</definedName>
    <definedName name="FDD_138_4" hidden="1">"A32142"</definedName>
    <definedName name="FDD_138_5" hidden="1">"A32508"</definedName>
    <definedName name="FDD_138_6" hidden="1">"A32873"</definedName>
    <definedName name="FDD_138_7" hidden="1">"A33238"</definedName>
    <definedName name="FDD_138_8" hidden="1">"A33603"</definedName>
    <definedName name="FDD_138_9" hidden="1">"A33969"</definedName>
    <definedName name="FDD_139_0" hidden="1">"A30681"</definedName>
    <definedName name="FDD_139_1" hidden="1">"A31047"</definedName>
    <definedName name="FDD_139_10" hidden="1">"U34334"</definedName>
    <definedName name="FDD_139_11" hidden="1">"U34699"</definedName>
    <definedName name="FDD_139_12" hidden="1">"U35064"</definedName>
    <definedName name="FDD_139_13" hidden="1">"U35430"</definedName>
    <definedName name="FDD_139_14" hidden="1">"U35795"</definedName>
    <definedName name="FDD_139_2" hidden="1">"A31412"</definedName>
    <definedName name="FDD_139_3" hidden="1">"U31777"</definedName>
    <definedName name="FDD_139_4" hidden="1">"U32142"</definedName>
    <definedName name="FDD_139_5" hidden="1">"U32508"</definedName>
    <definedName name="FDD_139_6" hidden="1">"U32873"</definedName>
    <definedName name="FDD_139_7" hidden="1">"U33238"</definedName>
    <definedName name="FDD_139_8" hidden="1">"U33603"</definedName>
    <definedName name="FDD_139_9" hidden="1">"U33969"</definedName>
    <definedName name="FDD_14_0" hidden="1">"A25569"</definedName>
    <definedName name="FDD_140_0" hidden="1">"A25569"</definedName>
    <definedName name="FDD_141_0" hidden="1">"A30681"</definedName>
    <definedName name="FDD_141_1" hidden="1">"A31047"</definedName>
    <definedName name="FDD_141_10" hidden="1">"A34334"</definedName>
    <definedName name="FDD_141_11" hidden="1">"A34699"</definedName>
    <definedName name="FDD_141_12" hidden="1">"A35064"</definedName>
    <definedName name="FDD_141_13" hidden="1">"A35430"</definedName>
    <definedName name="FDD_141_14" hidden="1">"A35795"</definedName>
    <definedName name="FDD_141_2" hidden="1">"A31412"</definedName>
    <definedName name="FDD_141_3" hidden="1">"A31777"</definedName>
    <definedName name="FDD_141_4" hidden="1">"A32142"</definedName>
    <definedName name="FDD_141_5" hidden="1">"A32508"</definedName>
    <definedName name="FDD_141_6" hidden="1">"A32873"</definedName>
    <definedName name="FDD_141_7" hidden="1">"A33238"</definedName>
    <definedName name="FDD_141_8" hidden="1">"A33603"</definedName>
    <definedName name="FDD_141_9" hidden="1">"A33969"</definedName>
    <definedName name="FDD_142_0" hidden="1">"A30681"</definedName>
    <definedName name="FDD_142_1" hidden="1">"A31047"</definedName>
    <definedName name="FDD_142_10" hidden="1">"A34334"</definedName>
    <definedName name="FDD_142_11" hidden="1">"A34699"</definedName>
    <definedName name="FDD_142_12" hidden="1">"A35064"</definedName>
    <definedName name="FDD_142_13" hidden="1">"A35430"</definedName>
    <definedName name="FDD_142_14" hidden="1">"A35795"</definedName>
    <definedName name="FDD_142_2" hidden="1">"A31412"</definedName>
    <definedName name="FDD_142_3" hidden="1">"A31777"</definedName>
    <definedName name="FDD_142_4" hidden="1">"A32142"</definedName>
    <definedName name="FDD_142_5" hidden="1">"A32508"</definedName>
    <definedName name="FDD_142_6" hidden="1">"A32873"</definedName>
    <definedName name="FDD_142_7" hidden="1">"A33238"</definedName>
    <definedName name="FDD_142_8" hidden="1">"A33603"</definedName>
    <definedName name="FDD_142_9" hidden="1">"A33969"</definedName>
    <definedName name="FDD_143_0" hidden="1">"A30681"</definedName>
    <definedName name="FDD_143_1" hidden="1">"A31047"</definedName>
    <definedName name="FDD_143_10" hidden="1">"A34334"</definedName>
    <definedName name="FDD_143_11" hidden="1">"A34699"</definedName>
    <definedName name="FDD_143_12" hidden="1">"A35064"</definedName>
    <definedName name="FDD_143_13" hidden="1">"A35430"</definedName>
    <definedName name="FDD_143_14" hidden="1">"A35795"</definedName>
    <definedName name="FDD_143_2" hidden="1">"A31412"</definedName>
    <definedName name="FDD_143_3" hidden="1">"A31777"</definedName>
    <definedName name="FDD_143_4" hidden="1">"A32142"</definedName>
    <definedName name="FDD_143_5" hidden="1">"A32508"</definedName>
    <definedName name="FDD_143_6" hidden="1">"A32873"</definedName>
    <definedName name="FDD_143_7" hidden="1">"A33238"</definedName>
    <definedName name="FDD_143_8" hidden="1">"A33603"</definedName>
    <definedName name="FDD_143_9" hidden="1">"A33969"</definedName>
    <definedName name="FDD_144_0" hidden="1">"A30681"</definedName>
    <definedName name="FDD_144_1" hidden="1">"A31047"</definedName>
    <definedName name="FDD_144_10" hidden="1">"A34334"</definedName>
    <definedName name="FDD_144_11" hidden="1">"A34699"</definedName>
    <definedName name="FDD_144_12" hidden="1">"A35064"</definedName>
    <definedName name="FDD_144_13" hidden="1">"A35430"</definedName>
    <definedName name="FDD_144_14" hidden="1">"A35795"</definedName>
    <definedName name="FDD_144_2" hidden="1">"A31412"</definedName>
    <definedName name="FDD_144_3" hidden="1">"A31777"</definedName>
    <definedName name="FDD_144_4" hidden="1">"A32142"</definedName>
    <definedName name="FDD_144_5" hidden="1">"A32508"</definedName>
    <definedName name="FDD_144_6" hidden="1">"A32873"</definedName>
    <definedName name="FDD_144_7" hidden="1">"A33238"</definedName>
    <definedName name="FDD_144_8" hidden="1">"A33603"</definedName>
    <definedName name="FDD_144_9" hidden="1">"A33969"</definedName>
    <definedName name="FDD_145_0" hidden="1">"A30681"</definedName>
    <definedName name="FDD_145_1" hidden="1">"A31047"</definedName>
    <definedName name="FDD_145_10" hidden="1">"A34334"</definedName>
    <definedName name="FDD_145_11" hidden="1">"A34699"</definedName>
    <definedName name="FDD_145_12" hidden="1">"A35064"</definedName>
    <definedName name="FDD_145_13" hidden="1">"A35430"</definedName>
    <definedName name="FDD_145_14" hidden="1">"A35795"</definedName>
    <definedName name="FDD_145_2" hidden="1">"A31412"</definedName>
    <definedName name="FDD_145_3" hidden="1">"A31777"</definedName>
    <definedName name="FDD_145_4" hidden="1">"A32142"</definedName>
    <definedName name="FDD_145_5" hidden="1">"A32508"</definedName>
    <definedName name="FDD_145_6" hidden="1">"A32873"</definedName>
    <definedName name="FDD_145_7" hidden="1">"A33238"</definedName>
    <definedName name="FDD_145_8" hidden="1">"A33603"</definedName>
    <definedName name="FDD_145_9" hidden="1">"A33969"</definedName>
    <definedName name="FDD_146_0" hidden="1">"A30681"</definedName>
    <definedName name="FDD_146_1" hidden="1">"A31047"</definedName>
    <definedName name="FDD_146_10" hidden="1">"A34334"</definedName>
    <definedName name="FDD_146_11" hidden="1">"A34699"</definedName>
    <definedName name="FDD_146_12" hidden="1">"A35064"</definedName>
    <definedName name="FDD_146_13" hidden="1">"A35430"</definedName>
    <definedName name="FDD_146_14" hidden="1">"A35795"</definedName>
    <definedName name="FDD_146_2" hidden="1">"A31412"</definedName>
    <definedName name="FDD_146_3" hidden="1">"A31777"</definedName>
    <definedName name="FDD_146_4" hidden="1">"A32142"</definedName>
    <definedName name="FDD_146_5" hidden="1">"A32508"</definedName>
    <definedName name="FDD_146_6" hidden="1">"A32873"</definedName>
    <definedName name="FDD_146_7" hidden="1">"A33238"</definedName>
    <definedName name="FDD_146_8" hidden="1">"A33603"</definedName>
    <definedName name="FDD_146_9" hidden="1">"A33969"</definedName>
    <definedName name="FDD_147_0" hidden="1">"U30681"</definedName>
    <definedName name="FDD_147_1" hidden="1">"U31047"</definedName>
    <definedName name="FDD_147_10" hidden="1">"U34334"</definedName>
    <definedName name="FDD_147_11" hidden="1">"U34699"</definedName>
    <definedName name="FDD_147_12" hidden="1">"U35064"</definedName>
    <definedName name="FDD_147_13" hidden="1">"U35430"</definedName>
    <definedName name="FDD_147_14" hidden="1">"U35795"</definedName>
    <definedName name="FDD_147_2" hidden="1">"U31412"</definedName>
    <definedName name="FDD_147_3" hidden="1">"U31777"</definedName>
    <definedName name="FDD_147_4" hidden="1">"U32142"</definedName>
    <definedName name="FDD_147_5" hidden="1">"U32508"</definedName>
    <definedName name="FDD_147_6" hidden="1">"U32873"</definedName>
    <definedName name="FDD_147_7" hidden="1">"U33238"</definedName>
    <definedName name="FDD_147_8" hidden="1">"U33603"</definedName>
    <definedName name="FDD_147_9" hidden="1">"U33969"</definedName>
    <definedName name="FDD_148_0" hidden="1">"A30681"</definedName>
    <definedName name="FDD_148_1" hidden="1">"A31047"</definedName>
    <definedName name="FDD_148_10" hidden="1">"A34334"</definedName>
    <definedName name="FDD_148_11" hidden="1">"A34699"</definedName>
    <definedName name="FDD_148_12" hidden="1">"A35064"</definedName>
    <definedName name="FDD_148_13" hidden="1">"A35430"</definedName>
    <definedName name="FDD_148_14" hidden="1">"A35795"</definedName>
    <definedName name="FDD_148_2" hidden="1">"A31412"</definedName>
    <definedName name="FDD_148_3" hidden="1">"A31777"</definedName>
    <definedName name="FDD_148_4" hidden="1">"A32142"</definedName>
    <definedName name="FDD_148_5" hidden="1">"A32508"</definedName>
    <definedName name="FDD_148_6" hidden="1">"A32873"</definedName>
    <definedName name="FDD_148_7" hidden="1">"A33238"</definedName>
    <definedName name="FDD_148_8" hidden="1">"A33603"</definedName>
    <definedName name="FDD_148_9" hidden="1">"A33969"</definedName>
    <definedName name="FDD_149_0" hidden="1">"U30681"</definedName>
    <definedName name="FDD_149_1" hidden="1">"U31047"</definedName>
    <definedName name="FDD_149_10" hidden="1">"U34334"</definedName>
    <definedName name="FDD_149_11" hidden="1">"U34699"</definedName>
    <definedName name="FDD_149_12" hidden="1">"U35064"</definedName>
    <definedName name="FDD_149_13" hidden="1">"U35430"</definedName>
    <definedName name="FDD_149_14" hidden="1">"A35795"</definedName>
    <definedName name="FDD_149_2" hidden="1">"U31412"</definedName>
    <definedName name="FDD_149_3" hidden="1">"U31777"</definedName>
    <definedName name="FDD_149_4" hidden="1">"U32142"</definedName>
    <definedName name="FDD_149_5" hidden="1">"U32508"</definedName>
    <definedName name="FDD_149_6" hidden="1">"U32873"</definedName>
    <definedName name="FDD_149_7" hidden="1">"U33238"</definedName>
    <definedName name="FDD_149_8" hidden="1">"U33603"</definedName>
    <definedName name="FDD_149_9" hidden="1">"U33969"</definedName>
    <definedName name="FDD_15_0" hidden="1">"A25569"</definedName>
    <definedName name="FDD_151_0" hidden="1">"A30681"</definedName>
    <definedName name="FDD_151_1" hidden="1">"A31047"</definedName>
    <definedName name="FDD_151_10" hidden="1">"A34334"</definedName>
    <definedName name="FDD_151_11" hidden="1">"A34699"</definedName>
    <definedName name="FDD_151_12" hidden="1">"A35064"</definedName>
    <definedName name="FDD_151_13" hidden="1">"A35430"</definedName>
    <definedName name="FDD_151_14" hidden="1">"A35795"</definedName>
    <definedName name="FDD_151_2" hidden="1">"A31412"</definedName>
    <definedName name="FDD_151_3" hidden="1">"A31777"</definedName>
    <definedName name="FDD_151_4" hidden="1">"A32142"</definedName>
    <definedName name="FDD_151_5" hidden="1">"A32508"</definedName>
    <definedName name="FDD_151_6" hidden="1">"A32873"</definedName>
    <definedName name="FDD_151_7" hidden="1">"A33238"</definedName>
    <definedName name="FDD_151_8" hidden="1">"A33603"</definedName>
    <definedName name="FDD_151_9" hidden="1">"A33969"</definedName>
    <definedName name="FDD_152_0" hidden="1">"A30681"</definedName>
    <definedName name="FDD_152_1" hidden="1">"A31047"</definedName>
    <definedName name="FDD_152_10" hidden="1">"A34334"</definedName>
    <definedName name="FDD_152_11" hidden="1">"A34699"</definedName>
    <definedName name="FDD_152_12" hidden="1">"A35064"</definedName>
    <definedName name="FDD_152_13" hidden="1">"A35430"</definedName>
    <definedName name="FDD_152_14" hidden="1">"A35795"</definedName>
    <definedName name="FDD_152_15" hidden="1">"E36160"</definedName>
    <definedName name="FDD_152_2" hidden="1">"A31412"</definedName>
    <definedName name="FDD_152_3" hidden="1">"A31777"</definedName>
    <definedName name="FDD_152_4" hidden="1">"A32142"</definedName>
    <definedName name="FDD_152_5" hidden="1">"A32508"</definedName>
    <definedName name="FDD_152_6" hidden="1">"A32873"</definedName>
    <definedName name="FDD_152_7" hidden="1">"A33238"</definedName>
    <definedName name="FDD_152_8" hidden="1">"A33603"</definedName>
    <definedName name="FDD_152_9" hidden="1">"A33969"</definedName>
    <definedName name="FDD_153_0" hidden="1">"A30681"</definedName>
    <definedName name="FDD_153_1" hidden="1">"A31047"</definedName>
    <definedName name="FDD_153_10" hidden="1">"A34334"</definedName>
    <definedName name="FDD_153_11" hidden="1">"A34699"</definedName>
    <definedName name="FDD_153_12" hidden="1">"A35064"</definedName>
    <definedName name="FDD_153_13" hidden="1">"A35430"</definedName>
    <definedName name="FDD_153_14" hidden="1">"A35795"</definedName>
    <definedName name="FDD_153_2" hidden="1">"A31412"</definedName>
    <definedName name="FDD_153_3" hidden="1">"A31777"</definedName>
    <definedName name="FDD_153_4" hidden="1">"A32142"</definedName>
    <definedName name="FDD_153_5" hidden="1">"A32508"</definedName>
    <definedName name="FDD_153_6" hidden="1">"A32873"</definedName>
    <definedName name="FDD_153_7" hidden="1">"A33238"</definedName>
    <definedName name="FDD_153_8" hidden="1">"A33603"</definedName>
    <definedName name="FDD_153_9" hidden="1">"A33969"</definedName>
    <definedName name="FDD_154_0" hidden="1">"A30681"</definedName>
    <definedName name="FDD_154_1" hidden="1">"A31047"</definedName>
    <definedName name="FDD_154_10" hidden="1">"A34334"</definedName>
    <definedName name="FDD_154_11" hidden="1">"A34699"</definedName>
    <definedName name="FDD_154_12" hidden="1">"A35064"</definedName>
    <definedName name="FDD_154_13" hidden="1">"A35430"</definedName>
    <definedName name="FDD_154_14" hidden="1">"A35795"</definedName>
    <definedName name="FDD_154_2" hidden="1">"A31412"</definedName>
    <definedName name="FDD_154_3" hidden="1">"A31777"</definedName>
    <definedName name="FDD_154_4" hidden="1">"A32142"</definedName>
    <definedName name="FDD_154_5" hidden="1">"A32508"</definedName>
    <definedName name="FDD_154_6" hidden="1">"A32873"</definedName>
    <definedName name="FDD_154_7" hidden="1">"A33238"</definedName>
    <definedName name="FDD_154_8" hidden="1">"A33603"</definedName>
    <definedName name="FDD_154_9" hidden="1">"A33969"</definedName>
    <definedName name="FDD_155_0" hidden="1">"A25569"</definedName>
    <definedName name="FDD_156_0" hidden="1">"A30681"</definedName>
    <definedName name="FDD_156_1" hidden="1">"A31047"</definedName>
    <definedName name="FDD_156_10" hidden="1">"A34334"</definedName>
    <definedName name="FDD_156_11" hidden="1">"A34699"</definedName>
    <definedName name="FDD_156_12" hidden="1">"A35064"</definedName>
    <definedName name="FDD_156_13" hidden="1">"A35430"</definedName>
    <definedName name="FDD_156_14" hidden="1">"A35795"</definedName>
    <definedName name="FDD_156_15" hidden="1">"E36160"</definedName>
    <definedName name="FDD_156_2" hidden="1">"A31412"</definedName>
    <definedName name="FDD_156_3" hidden="1">"A31777"</definedName>
    <definedName name="FDD_156_4" hidden="1">"A32142"</definedName>
    <definedName name="FDD_156_5" hidden="1">"A32508"</definedName>
    <definedName name="FDD_156_6" hidden="1">"A32873"</definedName>
    <definedName name="FDD_156_7" hidden="1">"A33238"</definedName>
    <definedName name="FDD_156_8" hidden="1">"A33603"</definedName>
    <definedName name="FDD_156_9" hidden="1">"A33969"</definedName>
    <definedName name="FDD_157_0" hidden="1">"A30681"</definedName>
    <definedName name="FDD_157_1" hidden="1">"A31047"</definedName>
    <definedName name="FDD_157_10" hidden="1">"A34334"</definedName>
    <definedName name="FDD_157_11" hidden="1">"A34699"</definedName>
    <definedName name="FDD_157_12" hidden="1">"A35064"</definedName>
    <definedName name="FDD_157_13" hidden="1">"A35430"</definedName>
    <definedName name="FDD_157_14" hidden="1">"A35795"</definedName>
    <definedName name="FDD_157_2" hidden="1">"A31412"</definedName>
    <definedName name="FDD_157_3" hidden="1">"A31777"</definedName>
    <definedName name="FDD_157_4" hidden="1">"A32142"</definedName>
    <definedName name="FDD_157_5" hidden="1">"A32508"</definedName>
    <definedName name="FDD_157_6" hidden="1">"A32873"</definedName>
    <definedName name="FDD_157_7" hidden="1">"A33238"</definedName>
    <definedName name="FDD_157_8" hidden="1">"A33603"</definedName>
    <definedName name="FDD_157_9" hidden="1">"A33969"</definedName>
    <definedName name="FDD_158_0" hidden="1">"A30681"</definedName>
    <definedName name="FDD_158_1" hidden="1">"A31047"</definedName>
    <definedName name="FDD_158_10" hidden="1">"A34334"</definedName>
    <definedName name="FDD_158_11" hidden="1">"A34699"</definedName>
    <definedName name="FDD_158_12" hidden="1">"A35064"</definedName>
    <definedName name="FDD_158_13" hidden="1">"A35430"</definedName>
    <definedName name="FDD_158_14" hidden="1">"A35795"</definedName>
    <definedName name="FDD_158_15" hidden="1">"E36160"</definedName>
    <definedName name="FDD_158_2" hidden="1">"A31412"</definedName>
    <definedName name="FDD_158_3" hidden="1">"A31777"</definedName>
    <definedName name="FDD_158_4" hidden="1">"A32142"</definedName>
    <definedName name="FDD_158_5" hidden="1">"A32508"</definedName>
    <definedName name="FDD_158_6" hidden="1">"A32873"</definedName>
    <definedName name="FDD_158_7" hidden="1">"A33238"</definedName>
    <definedName name="FDD_158_8" hidden="1">"A33603"</definedName>
    <definedName name="FDD_158_9" hidden="1">"A33969"</definedName>
    <definedName name="FDD_159_0" hidden="1">"A30681"</definedName>
    <definedName name="FDD_159_1" hidden="1">"A31047"</definedName>
    <definedName name="FDD_159_10" hidden="1">"A34334"</definedName>
    <definedName name="FDD_159_11" hidden="1">"A34699"</definedName>
    <definedName name="FDD_159_12" hidden="1">"A35064"</definedName>
    <definedName name="FDD_159_13" hidden="1">"A35430"</definedName>
    <definedName name="FDD_159_14" hidden="1">"A35795"</definedName>
    <definedName name="FDD_159_2" hidden="1">"A31412"</definedName>
    <definedName name="FDD_159_3" hidden="1">"A31777"</definedName>
    <definedName name="FDD_159_4" hidden="1">"A32142"</definedName>
    <definedName name="FDD_159_5" hidden="1">"A32508"</definedName>
    <definedName name="FDD_159_6" hidden="1">"A32873"</definedName>
    <definedName name="FDD_159_7" hidden="1">"A33238"</definedName>
    <definedName name="FDD_159_8" hidden="1">"A33603"</definedName>
    <definedName name="FDD_159_9" hidden="1">"A33969"</definedName>
    <definedName name="FDD_16_0" hidden="1">"A25569"</definedName>
    <definedName name="FDD_160_0" hidden="1">"A30681"</definedName>
    <definedName name="FDD_160_1" hidden="1">"A31047"</definedName>
    <definedName name="FDD_160_10" hidden="1">"A34334"</definedName>
    <definedName name="FDD_160_11" hidden="1">"A34699"</definedName>
    <definedName name="FDD_160_12" hidden="1">"A35064"</definedName>
    <definedName name="FDD_160_13" hidden="1">"A35430"</definedName>
    <definedName name="FDD_160_14" hidden="1">"A35795"</definedName>
    <definedName name="FDD_160_15" hidden="1">"E36160"</definedName>
    <definedName name="FDD_160_2" hidden="1">"A31412"</definedName>
    <definedName name="FDD_160_3" hidden="1">"A31777"</definedName>
    <definedName name="FDD_160_4" hidden="1">"A32142"</definedName>
    <definedName name="FDD_160_5" hidden="1">"A32508"</definedName>
    <definedName name="FDD_160_6" hidden="1">"A32873"</definedName>
    <definedName name="FDD_160_7" hidden="1">"A33238"</definedName>
    <definedName name="FDD_160_8" hidden="1">"A33603"</definedName>
    <definedName name="FDD_160_9" hidden="1">"A33969"</definedName>
    <definedName name="FDD_161_0" hidden="1">"A30681"</definedName>
    <definedName name="FDD_161_1" hidden="1">"A31047"</definedName>
    <definedName name="FDD_161_10" hidden="1">"A34334"</definedName>
    <definedName name="FDD_161_11" hidden="1">"A34699"</definedName>
    <definedName name="FDD_161_12" hidden="1">"A35064"</definedName>
    <definedName name="FDD_161_13" hidden="1">"A35430"</definedName>
    <definedName name="FDD_161_14" hidden="1">"A35795"</definedName>
    <definedName name="FDD_161_2" hidden="1">"A31412"</definedName>
    <definedName name="FDD_161_3" hidden="1">"A31777"</definedName>
    <definedName name="FDD_161_4" hidden="1">"A32142"</definedName>
    <definedName name="FDD_161_5" hidden="1">"A32508"</definedName>
    <definedName name="FDD_161_6" hidden="1">"A32873"</definedName>
    <definedName name="FDD_161_7" hidden="1">"A33238"</definedName>
    <definedName name="FDD_161_8" hidden="1">"A33603"</definedName>
    <definedName name="FDD_161_9" hidden="1">"A33969"</definedName>
    <definedName name="FDD_162_0" hidden="1">"A30681"</definedName>
    <definedName name="FDD_162_1" hidden="1">"A31047"</definedName>
    <definedName name="FDD_162_10" hidden="1">"A34334"</definedName>
    <definedName name="FDD_162_11" hidden="1">"A34699"</definedName>
    <definedName name="FDD_162_12" hidden="1">"A35064"</definedName>
    <definedName name="FDD_162_13" hidden="1">"A35430"</definedName>
    <definedName name="FDD_162_14" hidden="1">"A35795"</definedName>
    <definedName name="FDD_162_2" hidden="1">"A31412"</definedName>
    <definedName name="FDD_162_3" hidden="1">"A31777"</definedName>
    <definedName name="FDD_162_4" hidden="1">"A32142"</definedName>
    <definedName name="FDD_162_5" hidden="1">"A32508"</definedName>
    <definedName name="FDD_162_6" hidden="1">"A32873"</definedName>
    <definedName name="FDD_162_7" hidden="1">"A33238"</definedName>
    <definedName name="FDD_162_8" hidden="1">"A33603"</definedName>
    <definedName name="FDD_162_9" hidden="1">"A33969"</definedName>
    <definedName name="FDD_163_0" hidden="1">"A30681"</definedName>
    <definedName name="FDD_163_1" hidden="1">"A31047"</definedName>
    <definedName name="FDD_163_10" hidden="1">"A34334"</definedName>
    <definedName name="FDD_163_11" hidden="1">"A34699"</definedName>
    <definedName name="FDD_163_12" hidden="1">"A35064"</definedName>
    <definedName name="FDD_163_13" hidden="1">"A35430"</definedName>
    <definedName name="FDD_163_14" hidden="1">"A35795"</definedName>
    <definedName name="FDD_163_2" hidden="1">"A31412"</definedName>
    <definedName name="FDD_163_3" hidden="1">"A31777"</definedName>
    <definedName name="FDD_163_4" hidden="1">"A32142"</definedName>
    <definedName name="FDD_163_5" hidden="1">"A32508"</definedName>
    <definedName name="FDD_163_6" hidden="1">"A32873"</definedName>
    <definedName name="FDD_163_7" hidden="1">"A33238"</definedName>
    <definedName name="FDD_163_8" hidden="1">"A33603"</definedName>
    <definedName name="FDD_163_9" hidden="1">"A33969"</definedName>
    <definedName name="FDD_164_0" hidden="1">"A25569"</definedName>
    <definedName name="FDD_165_0" hidden="1">"A30681"</definedName>
    <definedName name="FDD_165_1" hidden="1">"A31047"</definedName>
    <definedName name="FDD_165_10" hidden="1">"A34334"</definedName>
    <definedName name="FDD_165_11" hidden="1">"A34699"</definedName>
    <definedName name="FDD_165_12" hidden="1">"A35064"</definedName>
    <definedName name="FDD_165_13" hidden="1">"A35430"</definedName>
    <definedName name="FDD_165_14" hidden="1">"A35795"</definedName>
    <definedName name="FDD_165_2" hidden="1">"A31412"</definedName>
    <definedName name="FDD_165_3" hidden="1">"A31777"</definedName>
    <definedName name="FDD_165_4" hidden="1">"A32142"</definedName>
    <definedName name="FDD_165_5" hidden="1">"A32508"</definedName>
    <definedName name="FDD_165_6" hidden="1">"A32873"</definedName>
    <definedName name="FDD_165_7" hidden="1">"A33238"</definedName>
    <definedName name="FDD_165_8" hidden="1">"A33603"</definedName>
    <definedName name="FDD_165_9" hidden="1">"A33969"</definedName>
    <definedName name="FDD_166_0" hidden="1">"A30681"</definedName>
    <definedName name="FDD_166_1" hidden="1">"A31047"</definedName>
    <definedName name="FDD_166_10" hidden="1">"A34334"</definedName>
    <definedName name="FDD_166_11" hidden="1">"A34699"</definedName>
    <definedName name="FDD_166_12" hidden="1">"A35064"</definedName>
    <definedName name="FDD_166_13" hidden="1">"A35430"</definedName>
    <definedName name="FDD_166_14" hidden="1">"A35795"</definedName>
    <definedName name="FDD_166_2" hidden="1">"A31412"</definedName>
    <definedName name="FDD_166_3" hidden="1">"A31777"</definedName>
    <definedName name="FDD_166_4" hidden="1">"A32142"</definedName>
    <definedName name="FDD_166_5" hidden="1">"A32508"</definedName>
    <definedName name="FDD_166_6" hidden="1">"A32873"</definedName>
    <definedName name="FDD_166_7" hidden="1">"A33238"</definedName>
    <definedName name="FDD_166_8" hidden="1">"A33603"</definedName>
    <definedName name="FDD_166_9" hidden="1">"A33969"</definedName>
    <definedName name="FDD_167_0" hidden="1">"A30681"</definedName>
    <definedName name="FDD_167_1" hidden="1">"A31047"</definedName>
    <definedName name="FDD_167_10" hidden="1">"A34334"</definedName>
    <definedName name="FDD_167_11" hidden="1">"A34699"</definedName>
    <definedName name="FDD_167_12" hidden="1">"A35064"</definedName>
    <definedName name="FDD_167_13" hidden="1">"A35430"</definedName>
    <definedName name="FDD_167_14" hidden="1">"A35795"</definedName>
    <definedName name="FDD_167_2" hidden="1">"A31412"</definedName>
    <definedName name="FDD_167_3" hidden="1">"A31777"</definedName>
    <definedName name="FDD_167_4" hidden="1">"A32142"</definedName>
    <definedName name="FDD_167_5" hidden="1">"A32508"</definedName>
    <definedName name="FDD_167_6" hidden="1">"A32873"</definedName>
    <definedName name="FDD_167_7" hidden="1">"A33238"</definedName>
    <definedName name="FDD_167_8" hidden="1">"A33603"</definedName>
    <definedName name="FDD_167_9" hidden="1">"A33969"</definedName>
    <definedName name="FDD_168_0" hidden="1">"E36160"</definedName>
    <definedName name="FDD_168_1" hidden="1">"E36525"</definedName>
    <definedName name="FDD_168_2" hidden="1">"E36891"</definedName>
    <definedName name="FDD_169_0" hidden="1">"A30681"</definedName>
    <definedName name="FDD_169_1" hidden="1">"A31047"</definedName>
    <definedName name="FDD_169_10" hidden="1">"A34334"</definedName>
    <definedName name="FDD_169_11" hidden="1">"A34699"</definedName>
    <definedName name="FDD_169_12" hidden="1">"A35064"</definedName>
    <definedName name="FDD_169_13" hidden="1">"A35430"</definedName>
    <definedName name="FDD_169_14" hidden="1">"A35795"</definedName>
    <definedName name="FDD_169_2" hidden="1">"A31412"</definedName>
    <definedName name="FDD_169_3" hidden="1">"A31777"</definedName>
    <definedName name="FDD_169_4" hidden="1">"A32142"</definedName>
    <definedName name="FDD_169_5" hidden="1">"A32508"</definedName>
    <definedName name="FDD_169_6" hidden="1">"A32873"</definedName>
    <definedName name="FDD_169_7" hidden="1">"A33238"</definedName>
    <definedName name="FDD_169_8" hidden="1">"A33603"</definedName>
    <definedName name="FDD_169_9" hidden="1">"A33969"</definedName>
    <definedName name="FDD_17_0" hidden="1">"A25569"</definedName>
    <definedName name="FDD_170_0" hidden="1">"A30681"</definedName>
    <definedName name="FDD_170_1" hidden="1">"A31047"</definedName>
    <definedName name="FDD_170_10" hidden="1">"A34334"</definedName>
    <definedName name="FDD_170_11" hidden="1">"A34699"</definedName>
    <definedName name="FDD_170_12" hidden="1">"A35064"</definedName>
    <definedName name="FDD_170_13" hidden="1">"A35430"</definedName>
    <definedName name="FDD_170_14" hidden="1">"A35795"</definedName>
    <definedName name="FDD_170_2" hidden="1">"A31412"</definedName>
    <definedName name="FDD_170_3" hidden="1">"A31777"</definedName>
    <definedName name="FDD_170_4" hidden="1">"A32142"</definedName>
    <definedName name="FDD_170_5" hidden="1">"A32508"</definedName>
    <definedName name="FDD_170_6" hidden="1">"A32873"</definedName>
    <definedName name="FDD_170_7" hidden="1">"A33238"</definedName>
    <definedName name="FDD_170_8" hidden="1">"A33603"</definedName>
    <definedName name="FDD_170_9" hidden="1">"A33969"</definedName>
    <definedName name="FDD_171_0" hidden="1">"A30681"</definedName>
    <definedName name="FDD_171_1" hidden="1">"A31047"</definedName>
    <definedName name="FDD_171_10" hidden="1">"A34334"</definedName>
    <definedName name="FDD_171_11" hidden="1">"A34699"</definedName>
    <definedName name="FDD_171_12" hidden="1">"A35064"</definedName>
    <definedName name="FDD_171_13" hidden="1">"A35430"</definedName>
    <definedName name="FDD_171_14" hidden="1">"A35795"</definedName>
    <definedName name="FDD_171_2" hidden="1">"A31412"</definedName>
    <definedName name="FDD_171_3" hidden="1">"A31777"</definedName>
    <definedName name="FDD_171_4" hidden="1">"A32142"</definedName>
    <definedName name="FDD_171_5" hidden="1">"A32508"</definedName>
    <definedName name="FDD_171_6" hidden="1">"A32873"</definedName>
    <definedName name="FDD_171_7" hidden="1">"A33238"</definedName>
    <definedName name="FDD_171_8" hidden="1">"A33603"</definedName>
    <definedName name="FDD_171_9" hidden="1">"A33969"</definedName>
    <definedName name="FDD_172_0" hidden="1">"A30681"</definedName>
    <definedName name="FDD_172_1" hidden="1">"A31047"</definedName>
    <definedName name="FDD_172_10" hidden="1">"A34334"</definedName>
    <definedName name="FDD_172_11" hidden="1">"A34699"</definedName>
    <definedName name="FDD_172_12" hidden="1">"A35064"</definedName>
    <definedName name="FDD_172_13" hidden="1">"A35430"</definedName>
    <definedName name="FDD_172_14" hidden="1">"A35795"</definedName>
    <definedName name="FDD_172_2" hidden="1">"A31412"</definedName>
    <definedName name="FDD_172_3" hidden="1">"A31777"</definedName>
    <definedName name="FDD_172_4" hidden="1">"A32142"</definedName>
    <definedName name="FDD_172_5" hidden="1">"A32508"</definedName>
    <definedName name="FDD_172_6" hidden="1">"A32873"</definedName>
    <definedName name="FDD_172_7" hidden="1">"A33238"</definedName>
    <definedName name="FDD_172_8" hidden="1">"A33603"</definedName>
    <definedName name="FDD_172_9" hidden="1">"A33969"</definedName>
    <definedName name="FDD_173_0" hidden="1">"A30681"</definedName>
    <definedName name="FDD_173_1" hidden="1">"A31047"</definedName>
    <definedName name="FDD_173_10" hidden="1">"A34334"</definedName>
    <definedName name="FDD_173_11" hidden="1">"A34699"</definedName>
    <definedName name="FDD_173_12" hidden="1">"A35064"</definedName>
    <definedName name="FDD_173_13" hidden="1">"A35430"</definedName>
    <definedName name="FDD_173_14" hidden="1">"A35795"</definedName>
    <definedName name="FDD_173_2" hidden="1">"A31412"</definedName>
    <definedName name="FDD_173_3" hidden="1">"A31777"</definedName>
    <definedName name="FDD_173_4" hidden="1">"A32142"</definedName>
    <definedName name="FDD_173_5" hidden="1">"A32508"</definedName>
    <definedName name="FDD_173_6" hidden="1">"A32873"</definedName>
    <definedName name="FDD_173_7" hidden="1">"A33238"</definedName>
    <definedName name="FDD_173_8" hidden="1">"A33603"</definedName>
    <definedName name="FDD_173_9" hidden="1">"A33969"</definedName>
    <definedName name="FDD_174_0" hidden="1">"A30681"</definedName>
    <definedName name="FDD_174_1" hidden="1">"A31047"</definedName>
    <definedName name="FDD_174_10" hidden="1">"A34334"</definedName>
    <definedName name="FDD_174_11" hidden="1">"A34699"</definedName>
    <definedName name="FDD_174_12" hidden="1">"A35064"</definedName>
    <definedName name="FDD_174_13" hidden="1">"A35430"</definedName>
    <definedName name="FDD_174_14" hidden="1">"A35795"</definedName>
    <definedName name="FDD_174_2" hidden="1">"A31412"</definedName>
    <definedName name="FDD_174_3" hidden="1">"A31777"</definedName>
    <definedName name="FDD_174_4" hidden="1">"A32142"</definedName>
    <definedName name="FDD_174_5" hidden="1">"A32508"</definedName>
    <definedName name="FDD_174_6" hidden="1">"A32873"</definedName>
    <definedName name="FDD_174_7" hidden="1">"A33238"</definedName>
    <definedName name="FDD_174_8" hidden="1">"A33603"</definedName>
    <definedName name="FDD_174_9" hidden="1">"A33969"</definedName>
    <definedName name="FDD_175_0" hidden="1">"E36160"</definedName>
    <definedName name="FDD_175_1" hidden="1">"E36525"</definedName>
    <definedName name="FDD_175_2" hidden="1">"E36891"</definedName>
    <definedName name="FDD_176_0" hidden="1">"E36160"</definedName>
    <definedName name="FDD_176_1" hidden="1">"E36525"</definedName>
    <definedName name="FDD_176_2" hidden="1">"E36891"</definedName>
    <definedName name="FDD_177_0" hidden="1">"E36160"</definedName>
    <definedName name="FDD_177_1" hidden="1">"E36525"</definedName>
    <definedName name="FDD_177_2" hidden="1">"E36891"</definedName>
    <definedName name="FDD_178_0" hidden="1">"E36160"</definedName>
    <definedName name="FDD_178_1" hidden="1">"E36525"</definedName>
    <definedName name="FDD_178_2" hidden="1">"E36891"</definedName>
    <definedName name="FDD_179_0" hidden="1">"E36160"</definedName>
    <definedName name="FDD_179_1" hidden="1">"E36525"</definedName>
    <definedName name="FDD_179_2" hidden="1">"E36891"</definedName>
    <definedName name="FDD_18_0" hidden="1">"A25569"</definedName>
    <definedName name="FDD_180_0" hidden="1">"E36160"</definedName>
    <definedName name="FDD_180_1" hidden="1">"E36525"</definedName>
    <definedName name="FDD_180_2" hidden="1">"E36891"</definedName>
    <definedName name="FDD_181_0" hidden="1">"E36160"</definedName>
    <definedName name="FDD_181_1" hidden="1">"E36525"</definedName>
    <definedName name="FDD_181_2" hidden="1">"E36891"</definedName>
    <definedName name="FDD_182_0" hidden="1">"E36160"</definedName>
    <definedName name="FDD_182_1" hidden="1">"E36525"</definedName>
    <definedName name="FDD_182_2" hidden="1">"E36891"</definedName>
    <definedName name="FDD_183_0" hidden="1">"E36160"</definedName>
    <definedName name="FDD_183_1" hidden="1">"E36525"</definedName>
    <definedName name="FDD_183_2" hidden="1">"E36891"</definedName>
    <definedName name="FDD_184_0" hidden="1">"E36160"</definedName>
    <definedName name="FDD_184_1" hidden="1">"E36525"</definedName>
    <definedName name="FDD_184_2" hidden="1">"E36891"</definedName>
    <definedName name="FDD_185_0" hidden="1">"E36160"</definedName>
    <definedName name="FDD_185_1" hidden="1">"E36525"</definedName>
    <definedName name="FDD_185_2" hidden="1">"E36891"</definedName>
    <definedName name="FDD_186_0" hidden="1">"E36160"</definedName>
    <definedName name="FDD_186_1" hidden="1">"E36525"</definedName>
    <definedName name="FDD_186_2" hidden="1">"E36891"</definedName>
    <definedName name="FDD_187_0" hidden="1">"E36160"</definedName>
    <definedName name="FDD_187_1" hidden="1">"E36525"</definedName>
    <definedName name="FDD_187_2" hidden="1">"E36891"</definedName>
    <definedName name="FDD_188_0" hidden="1">"A30681"</definedName>
    <definedName name="FDD_188_1" hidden="1">"A31047"</definedName>
    <definedName name="FDD_188_10" hidden="1">"A34334"</definedName>
    <definedName name="FDD_188_11" hidden="1">"A34699"</definedName>
    <definedName name="FDD_188_12" hidden="1">"A35064"</definedName>
    <definedName name="FDD_188_13" hidden="1">"A35430"</definedName>
    <definedName name="FDD_188_14" hidden="1">"A35795"</definedName>
    <definedName name="FDD_188_2" hidden="1">"A31412"</definedName>
    <definedName name="FDD_188_3" hidden="1">"A31777"</definedName>
    <definedName name="FDD_188_4" hidden="1">"A32142"</definedName>
    <definedName name="FDD_188_5" hidden="1">"A32508"</definedName>
    <definedName name="FDD_188_6" hidden="1">"A32873"</definedName>
    <definedName name="FDD_188_7" hidden="1">"A33238"</definedName>
    <definedName name="FDD_188_8" hidden="1">"A33603"</definedName>
    <definedName name="FDD_188_9" hidden="1">"A33969"</definedName>
    <definedName name="FDD_189_0" hidden="1">"A30681"</definedName>
    <definedName name="FDD_189_1" hidden="1">"A31047"</definedName>
    <definedName name="FDD_189_10" hidden="1">"A34334"</definedName>
    <definedName name="FDD_189_11" hidden="1">"A34699"</definedName>
    <definedName name="FDD_189_12" hidden="1">"A35064"</definedName>
    <definedName name="FDD_189_13" hidden="1">"A35430"</definedName>
    <definedName name="FDD_189_14" hidden="1">"A35795"</definedName>
    <definedName name="FDD_189_2" hidden="1">"A31412"</definedName>
    <definedName name="FDD_189_3" hidden="1">"A31777"</definedName>
    <definedName name="FDD_189_4" hidden="1">"A32142"</definedName>
    <definedName name="FDD_189_5" hidden="1">"A32508"</definedName>
    <definedName name="FDD_189_6" hidden="1">"A32873"</definedName>
    <definedName name="FDD_189_7" hidden="1">"A33238"</definedName>
    <definedName name="FDD_189_8" hidden="1">"A33603"</definedName>
    <definedName name="FDD_189_9" hidden="1">"A33969"</definedName>
    <definedName name="FDD_19_0" hidden="1">"A25569"</definedName>
    <definedName name="FDD_190_0" hidden="1">"A30681"</definedName>
    <definedName name="FDD_190_1" hidden="1">"A31047"</definedName>
    <definedName name="FDD_190_10" hidden="1">"A34334"</definedName>
    <definedName name="FDD_190_11" hidden="1">"A34699"</definedName>
    <definedName name="FDD_190_12" hidden="1">"A35064"</definedName>
    <definedName name="FDD_190_13" hidden="1">"A35430"</definedName>
    <definedName name="FDD_190_14" hidden="1">"A35795"</definedName>
    <definedName name="FDD_190_2" hidden="1">"A31412"</definedName>
    <definedName name="FDD_190_3" hidden="1">"A31777"</definedName>
    <definedName name="FDD_190_4" hidden="1">"A32142"</definedName>
    <definedName name="FDD_190_5" hidden="1">"A32508"</definedName>
    <definedName name="FDD_190_6" hidden="1">"A32873"</definedName>
    <definedName name="FDD_190_7" hidden="1">"A33238"</definedName>
    <definedName name="FDD_190_8" hidden="1">"A33603"</definedName>
    <definedName name="FDD_190_9" hidden="1">"A33969"</definedName>
    <definedName name="FDD_191_0" hidden="1">"A30681"</definedName>
    <definedName name="FDD_191_1" hidden="1">"A31047"</definedName>
    <definedName name="FDD_191_10" hidden="1">"A34334"</definedName>
    <definedName name="FDD_191_11" hidden="1">"A34699"</definedName>
    <definedName name="FDD_191_12" hidden="1">"A35064"</definedName>
    <definedName name="FDD_191_13" hidden="1">"A35430"</definedName>
    <definedName name="FDD_191_14" hidden="1">"A35795"</definedName>
    <definedName name="FDD_191_2" hidden="1">"A31412"</definedName>
    <definedName name="FDD_191_3" hidden="1">"A31777"</definedName>
    <definedName name="FDD_191_4" hidden="1">"A32142"</definedName>
    <definedName name="FDD_191_5" hidden="1">"A32508"</definedName>
    <definedName name="FDD_191_6" hidden="1">"A32873"</definedName>
    <definedName name="FDD_191_7" hidden="1">"A33238"</definedName>
    <definedName name="FDD_191_8" hidden="1">"A33603"</definedName>
    <definedName name="FDD_191_9" hidden="1">"A33969"</definedName>
    <definedName name="FDD_192_0" hidden="1">"E36160"</definedName>
    <definedName name="FDD_192_1" hidden="1">"E36525"</definedName>
    <definedName name="FDD_192_2" hidden="1">"E36891"</definedName>
    <definedName name="FDD_193_0" hidden="1">"A30681"</definedName>
    <definedName name="FDD_193_1" hidden="1">"A31047"</definedName>
    <definedName name="FDD_193_10" hidden="1">"A34334"</definedName>
    <definedName name="FDD_193_11" hidden="1">"A34699"</definedName>
    <definedName name="FDD_193_12" hidden="1">"A35064"</definedName>
    <definedName name="FDD_193_13" hidden="1">"A35430"</definedName>
    <definedName name="FDD_193_14" hidden="1">"A35795"</definedName>
    <definedName name="FDD_193_2" hidden="1">"A31412"</definedName>
    <definedName name="FDD_193_3" hidden="1">"A31777"</definedName>
    <definedName name="FDD_193_4" hidden="1">"A32142"</definedName>
    <definedName name="FDD_193_5" hidden="1">"A32508"</definedName>
    <definedName name="FDD_193_6" hidden="1">"A32873"</definedName>
    <definedName name="FDD_193_7" hidden="1">"A33238"</definedName>
    <definedName name="FDD_193_8" hidden="1">"A33603"</definedName>
    <definedName name="FDD_193_9" hidden="1">"A33969"</definedName>
    <definedName name="FDD_194_0" hidden="1">"A30681"</definedName>
    <definedName name="FDD_194_1" hidden="1">"A31047"</definedName>
    <definedName name="FDD_194_10" hidden="1">"A34334"</definedName>
    <definedName name="FDD_194_11" hidden="1">"A34699"</definedName>
    <definedName name="FDD_194_12" hidden="1">"A35064"</definedName>
    <definedName name="FDD_194_13" hidden="1">"A35430"</definedName>
    <definedName name="FDD_194_14" hidden="1">"A35795"</definedName>
    <definedName name="FDD_194_2" hidden="1">"A31412"</definedName>
    <definedName name="FDD_194_3" hidden="1">"A31777"</definedName>
    <definedName name="FDD_194_4" hidden="1">"A32142"</definedName>
    <definedName name="FDD_194_5" hidden="1">"A32508"</definedName>
    <definedName name="FDD_194_6" hidden="1">"A32873"</definedName>
    <definedName name="FDD_194_7" hidden="1">"A33238"</definedName>
    <definedName name="FDD_194_8" hidden="1">"A33603"</definedName>
    <definedName name="FDD_194_9" hidden="1">"A33969"</definedName>
    <definedName name="FDD_195_0" hidden="1">"A30681"</definedName>
    <definedName name="FDD_195_1" hidden="1">"A31047"</definedName>
    <definedName name="FDD_195_10" hidden="1">"A34334"</definedName>
    <definedName name="FDD_195_11" hidden="1">"A34699"</definedName>
    <definedName name="FDD_195_12" hidden="1">"A35064"</definedName>
    <definedName name="FDD_195_13" hidden="1">"A35430"</definedName>
    <definedName name="FDD_195_14" hidden="1">"A35795"</definedName>
    <definedName name="FDD_195_2" hidden="1">"A31412"</definedName>
    <definedName name="FDD_195_3" hidden="1">"A31777"</definedName>
    <definedName name="FDD_195_4" hidden="1">"A32142"</definedName>
    <definedName name="FDD_195_5" hidden="1">"A32508"</definedName>
    <definedName name="FDD_195_6" hidden="1">"A32873"</definedName>
    <definedName name="FDD_195_7" hidden="1">"A33238"</definedName>
    <definedName name="FDD_195_8" hidden="1">"A33603"</definedName>
    <definedName name="FDD_195_9" hidden="1">"A33969"</definedName>
    <definedName name="FDD_196_0" hidden="1">"E36160"</definedName>
    <definedName name="FDD_196_1" hidden="1">"E36525"</definedName>
    <definedName name="FDD_196_2" hidden="1">"E36891"</definedName>
    <definedName name="FDD_197_0" hidden="1">"A30681"</definedName>
    <definedName name="FDD_197_1" hidden="1">"A31047"</definedName>
    <definedName name="FDD_197_10" hidden="1">"A34334"</definedName>
    <definedName name="FDD_197_11" hidden="1">"A34699"</definedName>
    <definedName name="FDD_197_12" hidden="1">"A35064"</definedName>
    <definedName name="FDD_197_13" hidden="1">"A35430"</definedName>
    <definedName name="FDD_197_14" hidden="1">"A35795"</definedName>
    <definedName name="FDD_197_2" hidden="1">"A31412"</definedName>
    <definedName name="FDD_197_3" hidden="1">"A31777"</definedName>
    <definedName name="FDD_197_4" hidden="1">"A32142"</definedName>
    <definedName name="FDD_197_5" hidden="1">"A32508"</definedName>
    <definedName name="FDD_197_6" hidden="1">"A32873"</definedName>
    <definedName name="FDD_197_7" hidden="1">"A33238"</definedName>
    <definedName name="FDD_197_8" hidden="1">"A33603"</definedName>
    <definedName name="FDD_197_9" hidden="1">"A33969"</definedName>
    <definedName name="FDD_198_0" hidden="1">"A30681"</definedName>
    <definedName name="FDD_198_1" hidden="1">"A31047"</definedName>
    <definedName name="FDD_198_10" hidden="1">"U34334"</definedName>
    <definedName name="FDD_198_11" hidden="1">"U34699"</definedName>
    <definedName name="FDD_198_12" hidden="1">"U35064"</definedName>
    <definedName name="FDD_198_13" hidden="1">"U35430"</definedName>
    <definedName name="FDD_198_14" hidden="1">"U35795"</definedName>
    <definedName name="FDD_198_2" hidden="1">"A31412"</definedName>
    <definedName name="FDD_198_3" hidden="1">"U31777"</definedName>
    <definedName name="FDD_198_4" hidden="1">"U32142"</definedName>
    <definedName name="FDD_198_5" hidden="1">"U32508"</definedName>
    <definedName name="FDD_198_6" hidden="1">"U32873"</definedName>
    <definedName name="FDD_198_7" hidden="1">"U33238"</definedName>
    <definedName name="FDD_198_8" hidden="1">"U33603"</definedName>
    <definedName name="FDD_198_9" hidden="1">"U33969"</definedName>
    <definedName name="FDD_199_0" hidden="1">"E36160"</definedName>
    <definedName name="FDD_199_1" hidden="1">"E36525"</definedName>
    <definedName name="FDD_199_2" hidden="1">"E36891"</definedName>
    <definedName name="FDD_2_0" hidden="1">"A25569"</definedName>
    <definedName name="FDD_20_0" hidden="1">"A25569"</definedName>
    <definedName name="FDD_200_0" hidden="1">"E36160"</definedName>
    <definedName name="FDD_200_1" hidden="1">"E36525"</definedName>
    <definedName name="FDD_200_2" hidden="1">"E36891"</definedName>
    <definedName name="FDD_201_0" hidden="1">"A30681"</definedName>
    <definedName name="FDD_201_1" hidden="1">"A31047"</definedName>
    <definedName name="FDD_201_10" hidden="1">"A34334"</definedName>
    <definedName name="FDD_201_11" hidden="1">"A34699"</definedName>
    <definedName name="FDD_201_12" hidden="1">"A35064"</definedName>
    <definedName name="FDD_201_13" hidden="1">"A35430"</definedName>
    <definedName name="FDD_201_14" hidden="1">"A35795"</definedName>
    <definedName name="FDD_201_2" hidden="1">"A31412"</definedName>
    <definedName name="FDD_201_3" hidden="1">"A31777"</definedName>
    <definedName name="FDD_201_4" hidden="1">"A32142"</definedName>
    <definedName name="FDD_201_5" hidden="1">"A32508"</definedName>
    <definedName name="FDD_201_6" hidden="1">"A32873"</definedName>
    <definedName name="FDD_201_7" hidden="1">"A33238"</definedName>
    <definedName name="FDD_201_8" hidden="1">"A33603"</definedName>
    <definedName name="FDD_201_9" hidden="1">"A33969"</definedName>
    <definedName name="FDD_202_0" hidden="1">"A30681"</definedName>
    <definedName name="FDD_202_1" hidden="1">"A31047"</definedName>
    <definedName name="FDD_202_10" hidden="1">"A34334"</definedName>
    <definedName name="FDD_202_11" hidden="1">"A34699"</definedName>
    <definedName name="FDD_202_12" hidden="1">"A35064"</definedName>
    <definedName name="FDD_202_13" hidden="1">"A35430"</definedName>
    <definedName name="FDD_202_14" hidden="1">"A35795"</definedName>
    <definedName name="FDD_202_2" hidden="1">"A31412"</definedName>
    <definedName name="FDD_202_3" hidden="1">"A31777"</definedName>
    <definedName name="FDD_202_4" hidden="1">"A32142"</definedName>
    <definedName name="FDD_202_5" hidden="1">"A32508"</definedName>
    <definedName name="FDD_202_6" hidden="1">"A32873"</definedName>
    <definedName name="FDD_202_7" hidden="1">"A33238"</definedName>
    <definedName name="FDD_202_8" hidden="1">"A33603"</definedName>
    <definedName name="FDD_202_9" hidden="1">"A33969"</definedName>
    <definedName name="FDD_203_0" hidden="1">"E36160"</definedName>
    <definedName name="FDD_203_1" hidden="1">"E36525"</definedName>
    <definedName name="FDD_203_2" hidden="1">"E36891"</definedName>
    <definedName name="FDD_204_0" hidden="1">"A25569"</definedName>
    <definedName name="FDD_205_0" hidden="1">"A25569"</definedName>
    <definedName name="FDD_206_0" hidden="1">"A25569"</definedName>
    <definedName name="FDD_207_0" hidden="1">"A25569"</definedName>
    <definedName name="FDD_208_0" hidden="1">"E36160"</definedName>
    <definedName name="FDD_208_1" hidden="1">"E36525"</definedName>
    <definedName name="FDD_208_2" hidden="1">"E36891"</definedName>
    <definedName name="FDD_209_0" hidden="1">"A25569"</definedName>
    <definedName name="FDD_21_0" hidden="1">"A25569"</definedName>
    <definedName name="FDD_210_0" hidden="1">"A25569"</definedName>
    <definedName name="FDD_211_0" hidden="1">"A25569"</definedName>
    <definedName name="FDD_212_0" hidden="1">"A25569"</definedName>
    <definedName name="FDD_213_0" hidden="1">"E36160"</definedName>
    <definedName name="FDD_213_1" hidden="1">"E36525"</definedName>
    <definedName name="FDD_213_2" hidden="1">"E36891"</definedName>
    <definedName name="FDD_214_0" hidden="1">"A25569"</definedName>
    <definedName name="FDD_215_0" hidden="1">"A25569"</definedName>
    <definedName name="FDD_216_0" hidden="1">"A25569"</definedName>
    <definedName name="FDD_217_0" hidden="1">"A25569"</definedName>
    <definedName name="FDD_218_0" hidden="1">"E36160"</definedName>
    <definedName name="FDD_218_1" hidden="1">"E36525"</definedName>
    <definedName name="FDD_218_2" hidden="1">"E36891"</definedName>
    <definedName name="FDD_219_0" hidden="1">"U25569"</definedName>
    <definedName name="FDD_22_0" hidden="1">"A25569"</definedName>
    <definedName name="FDD_220_0" hidden="1">"U25569"</definedName>
    <definedName name="FDD_221_0" hidden="1">"U25569"</definedName>
    <definedName name="FDD_222_0" hidden="1">"U25569"</definedName>
    <definedName name="FDD_223_0" hidden="1">"E36160"</definedName>
    <definedName name="FDD_223_1" hidden="1">"E36525"</definedName>
    <definedName name="FDD_223_2" hidden="1">"E36891"</definedName>
    <definedName name="FDD_224_0" hidden="1">"A25569"</definedName>
    <definedName name="FDD_225_0" hidden="1">"A25569"</definedName>
    <definedName name="FDD_226_0" hidden="1">"A25569"</definedName>
    <definedName name="FDD_227_0" hidden="1">"A25569"</definedName>
    <definedName name="FDD_228_0" hidden="1">"E36160"</definedName>
    <definedName name="FDD_228_1" hidden="1">"E36525"</definedName>
    <definedName name="FDD_228_2" hidden="1">"E36891"</definedName>
    <definedName name="FDD_229_0" hidden="1">"A25569"</definedName>
    <definedName name="FDD_23_0" hidden="1">"A25569"</definedName>
    <definedName name="FDD_230_0" hidden="1">"A25569"</definedName>
    <definedName name="FDD_231_0" hidden="1">"A25569"</definedName>
    <definedName name="FDD_232_0" hidden="1">"A25569"</definedName>
    <definedName name="FDD_233_0" hidden="1">"A25569"</definedName>
    <definedName name="FDD_234_0" hidden="1">"A25569"</definedName>
    <definedName name="FDD_235_0" hidden="1">"A25569"</definedName>
    <definedName name="FDD_236_0" hidden="1">"A25569"</definedName>
    <definedName name="FDD_237_0" hidden="1">"A25569"</definedName>
    <definedName name="FDD_238_0" hidden="1">"A30681"</definedName>
    <definedName name="FDD_238_1" hidden="1">"A31047"</definedName>
    <definedName name="FDD_238_10" hidden="1">"A34334"</definedName>
    <definedName name="FDD_238_11" hidden="1">"A34699"</definedName>
    <definedName name="FDD_238_12" hidden="1">"A35064"</definedName>
    <definedName name="FDD_238_13" hidden="1">"A35430"</definedName>
    <definedName name="FDD_238_14" hidden="1">"A35795"</definedName>
    <definedName name="FDD_238_2" hidden="1">"A31412"</definedName>
    <definedName name="FDD_238_3" hidden="1">"A31777"</definedName>
    <definedName name="FDD_238_4" hidden="1">"A32142"</definedName>
    <definedName name="FDD_238_5" hidden="1">"A32508"</definedName>
    <definedName name="FDD_238_6" hidden="1">"A32873"</definedName>
    <definedName name="FDD_238_7" hidden="1">"A33238"</definedName>
    <definedName name="FDD_238_8" hidden="1">"A33603"</definedName>
    <definedName name="FDD_238_9" hidden="1">"A33969"</definedName>
    <definedName name="FDD_24_0" hidden="1">"A25569"</definedName>
    <definedName name="FDD_243_0" hidden="1">"E36160"</definedName>
    <definedName name="FDD_243_1" hidden="1">"E36525"</definedName>
    <definedName name="FDD_243_2" hidden="1">"E36891"</definedName>
    <definedName name="FDD_244_0" hidden="1">"A25569"</definedName>
    <definedName name="FDD_245_0" hidden="1">"A25569"</definedName>
    <definedName name="FDD_246_0" hidden="1">"A25569"</definedName>
    <definedName name="FDD_247_0" hidden="1">"A25569"</definedName>
    <definedName name="FDD_248_0" hidden="1">"E36160"</definedName>
    <definedName name="FDD_248_1" hidden="1">"E36525"</definedName>
    <definedName name="FDD_248_2" hidden="1">"E36891"</definedName>
    <definedName name="FDD_249_0" hidden="1">"A25569"</definedName>
    <definedName name="FDD_25_0" hidden="1">"A25569"</definedName>
    <definedName name="FDD_250_0" hidden="1">"A25569"</definedName>
    <definedName name="FDD_251_0" hidden="1">"A25569"</definedName>
    <definedName name="FDD_252_0" hidden="1">"A25569"</definedName>
    <definedName name="FDD_253_0" hidden="1">"E36160"</definedName>
    <definedName name="FDD_253_1" hidden="1">"E36525"</definedName>
    <definedName name="FDD_253_2" hidden="1">"E36891"</definedName>
    <definedName name="FDD_254_0" hidden="1">"E36160"</definedName>
    <definedName name="FDD_254_1" hidden="1">"E36525"</definedName>
    <definedName name="FDD_254_2" hidden="1">"E36891"</definedName>
    <definedName name="FDD_255_0" hidden="1">"E36160"</definedName>
    <definedName name="FDD_255_1" hidden="1">"E36525"</definedName>
    <definedName name="FDD_255_2" hidden="1">"E36891"</definedName>
    <definedName name="FDD_256_0" hidden="1">"U36160"</definedName>
    <definedName name="FDD_256_1" hidden="1">"U36525"</definedName>
    <definedName name="FDD_256_2" hidden="1">"U36891"</definedName>
    <definedName name="FDD_257_0" hidden="1">"E36160"</definedName>
    <definedName name="FDD_257_1" hidden="1">"E36525"</definedName>
    <definedName name="FDD_257_2" hidden="1">"E36891"</definedName>
    <definedName name="FDD_258_0" hidden="1">"E36160"</definedName>
    <definedName name="FDD_258_1" hidden="1">"E36525"</definedName>
    <definedName name="FDD_258_2" hidden="1">"E36891"</definedName>
    <definedName name="FDD_259_0" hidden="1">"E36160"</definedName>
    <definedName name="FDD_259_1" hidden="1">"E36525"</definedName>
    <definedName name="FDD_259_2" hidden="1">"E36891"</definedName>
    <definedName name="FDD_26_0" hidden="1">"A25569"</definedName>
    <definedName name="FDD_260_0" hidden="1">"E36160"</definedName>
    <definedName name="FDD_260_1" hidden="1">"E36525"</definedName>
    <definedName name="FDD_260_2" hidden="1">"E36891"</definedName>
    <definedName name="FDD_261_0" hidden="1">"E36160"</definedName>
    <definedName name="FDD_261_1" hidden="1">"E36525"</definedName>
    <definedName name="FDD_261_2" hidden="1">"E36891"</definedName>
    <definedName name="FDD_264_0" hidden="1">"E36160"</definedName>
    <definedName name="FDD_264_1" hidden="1">"E36525"</definedName>
    <definedName name="FDD_264_2" hidden="1">"E36891"</definedName>
    <definedName name="FDD_265_0" hidden="1">"A25569"</definedName>
    <definedName name="FDD_266_0" hidden="1">"A25569"</definedName>
    <definedName name="FDD_267_0" hidden="1">"A25569"</definedName>
    <definedName name="FDD_268_0" hidden="1">"A25569"</definedName>
    <definedName name="FDD_269_0" hidden="1">"E36160"</definedName>
    <definedName name="FDD_269_1" hidden="1">"E36525"</definedName>
    <definedName name="FDD_269_2" hidden="1">"E36891"</definedName>
    <definedName name="FDD_27_0" hidden="1">"A25569"</definedName>
    <definedName name="FDD_270_0" hidden="1">"A25569"</definedName>
    <definedName name="FDD_271_0" hidden="1">"A25569"</definedName>
    <definedName name="FDD_272_0" hidden="1">"A25569"</definedName>
    <definedName name="FDD_273_0" hidden="1">"A25569"</definedName>
    <definedName name="FDD_274_0" hidden="1">"E36160"</definedName>
    <definedName name="FDD_274_1" hidden="1">"E36525"</definedName>
    <definedName name="FDD_274_2" hidden="1">"E36891"</definedName>
    <definedName name="FDD_275_0" hidden="1">"A25569"</definedName>
    <definedName name="FDD_276_0" hidden="1">"A25569"</definedName>
    <definedName name="FDD_277_0" hidden="1">"A25569"</definedName>
    <definedName name="FDD_278_0" hidden="1">"A25569"</definedName>
    <definedName name="FDD_279_0" hidden="1">"E36160"</definedName>
    <definedName name="FDD_279_1" hidden="1">"E36525"</definedName>
    <definedName name="FDD_279_2" hidden="1">"E36891"</definedName>
    <definedName name="FDD_28_0" hidden="1">"A25569"</definedName>
    <definedName name="FDD_280_0" hidden="1">"E36160"</definedName>
    <definedName name="FDD_280_1" hidden="1">"E36525"</definedName>
    <definedName name="FDD_280_2" hidden="1">"E36891"</definedName>
    <definedName name="FDD_281_0" hidden="1">"E36160"</definedName>
    <definedName name="FDD_281_1" hidden="1">"E36525"</definedName>
    <definedName name="FDD_281_2" hidden="1">"E36891"</definedName>
    <definedName name="FDD_282_0" hidden="1">"E36160"</definedName>
    <definedName name="FDD_282_1" hidden="1">"E36525"</definedName>
    <definedName name="FDD_282_2" hidden="1">"E36891"</definedName>
    <definedName name="FDD_283_0" hidden="1">"E36160"</definedName>
    <definedName name="FDD_283_1" hidden="1">"E36525"</definedName>
    <definedName name="FDD_283_2" hidden="1">"E36891"</definedName>
    <definedName name="FDD_284_0" hidden="1">"A30681"</definedName>
    <definedName name="FDD_284_1" hidden="1">"A31047"</definedName>
    <definedName name="FDD_284_10" hidden="1">"A34334"</definedName>
    <definedName name="FDD_284_11" hidden="1">"A34699"</definedName>
    <definedName name="FDD_284_12" hidden="1">"A35064"</definedName>
    <definedName name="FDD_284_13" hidden="1">"A35430"</definedName>
    <definedName name="FDD_284_14" hidden="1">"A35795"</definedName>
    <definedName name="FDD_284_2" hidden="1">"A31412"</definedName>
    <definedName name="FDD_284_3" hidden="1">"A31777"</definedName>
    <definedName name="FDD_284_4" hidden="1">"A32142"</definedName>
    <definedName name="FDD_284_5" hidden="1">"A32508"</definedName>
    <definedName name="FDD_284_6" hidden="1">"A32873"</definedName>
    <definedName name="FDD_284_7" hidden="1">"A33238"</definedName>
    <definedName name="FDD_284_8" hidden="1">"A33603"</definedName>
    <definedName name="FDD_284_9" hidden="1">"A33969"</definedName>
    <definedName name="FDD_285_0" hidden="1">"A35795"</definedName>
    <definedName name="FDD_285_1" hidden="1">"E36160"</definedName>
    <definedName name="FDD_285_10" hidden="1">"E39447"</definedName>
    <definedName name="FDD_285_11" hidden="1">"E39813"</definedName>
    <definedName name="FDD_285_12" hidden="1">"E40178"</definedName>
    <definedName name="FDD_285_13" hidden="1">"E40543"</definedName>
    <definedName name="FDD_285_14" hidden="1">"E40908"</definedName>
    <definedName name="FDD_285_15" hidden="1">"E41274"</definedName>
    <definedName name="FDD_285_16" hidden="1">"E41639"</definedName>
    <definedName name="FDD_285_17" hidden="1">"E42004"</definedName>
    <definedName name="FDD_285_18" hidden="1">"E42369"</definedName>
    <definedName name="FDD_285_19" hidden="1">"E42735"</definedName>
    <definedName name="FDD_285_2" hidden="1">"E36525"</definedName>
    <definedName name="FDD_285_20" hidden="1">"E43100"</definedName>
    <definedName name="FDD_285_21" hidden="1">"E43465"</definedName>
    <definedName name="FDD_285_22" hidden="1">"E43830"</definedName>
    <definedName name="FDD_285_23" hidden="1">"E44196"</definedName>
    <definedName name="FDD_285_24" hidden="1">"E44561"</definedName>
    <definedName name="FDD_285_25" hidden="1">"E44926"</definedName>
    <definedName name="FDD_285_3" hidden="1">"E36891"</definedName>
    <definedName name="FDD_285_4" hidden="1">"E37256"</definedName>
    <definedName name="FDD_285_5" hidden="1">"E37621"</definedName>
    <definedName name="FDD_285_6" hidden="1">"E37986"</definedName>
    <definedName name="FDD_285_7" hidden="1">"E38352"</definedName>
    <definedName name="FDD_285_8" hidden="1">"E38717"</definedName>
    <definedName name="FDD_285_9" hidden="1">"E39082"</definedName>
    <definedName name="FDD_286_0" hidden="1">"E36160"</definedName>
    <definedName name="FDD_286_1" hidden="1">"E36525"</definedName>
    <definedName name="FDD_286_10" hidden="1">"E39813"</definedName>
    <definedName name="FDD_286_11" hidden="1">"E40178"</definedName>
    <definedName name="FDD_286_12" hidden="1">"E40543"</definedName>
    <definedName name="FDD_286_13" hidden="1">"E40908"</definedName>
    <definedName name="FDD_286_14" hidden="1">"E41274"</definedName>
    <definedName name="FDD_286_15" hidden="1">"E41639"</definedName>
    <definedName name="FDD_286_16" hidden="1">"E42004"</definedName>
    <definedName name="FDD_286_17" hidden="1">"E42369"</definedName>
    <definedName name="FDD_286_18" hidden="1">"E42735"</definedName>
    <definedName name="FDD_286_19" hidden="1">"E43100"</definedName>
    <definedName name="FDD_286_2" hidden="1">"E36891"</definedName>
    <definedName name="FDD_286_20" hidden="1">"E43465"</definedName>
    <definedName name="FDD_286_21" hidden="1">"E43830"</definedName>
    <definedName name="FDD_286_22" hidden="1">"E44196"</definedName>
    <definedName name="FDD_286_23" hidden="1">"E44561"</definedName>
    <definedName name="FDD_286_24" hidden="1">"E44926"</definedName>
    <definedName name="FDD_286_3" hidden="1">"E37256"</definedName>
    <definedName name="FDD_286_4" hidden="1">"E37621"</definedName>
    <definedName name="FDD_286_5" hidden="1">"E37986"</definedName>
    <definedName name="FDD_286_6" hidden="1">"E38352"</definedName>
    <definedName name="FDD_286_7" hidden="1">"E38717"</definedName>
    <definedName name="FDD_286_8" hidden="1">"E39082"</definedName>
    <definedName name="FDD_286_9" hidden="1">"E39447"</definedName>
    <definedName name="FDD_287_0" hidden="1">"A25569"</definedName>
    <definedName name="FDD_288_0" hidden="1">"A25569"</definedName>
    <definedName name="FDD_289_0" hidden="1">"A36890"</definedName>
    <definedName name="FDD_29_0" hidden="1">"A25569"</definedName>
    <definedName name="FDD_290_0" hidden="1">"A36890"</definedName>
    <definedName name="FDD_291_0" hidden="1">"A25569"</definedName>
    <definedName name="FDD_295_0" hidden="1">"U25569"</definedName>
    <definedName name="FDD_296_0" hidden="1">"A25569"</definedName>
    <definedName name="FDD_297_0" hidden="1">"A25569"</definedName>
    <definedName name="FDD_298_0" hidden="1">"A25569"</definedName>
    <definedName name="FDD_299_0" hidden="1">"A25569"</definedName>
    <definedName name="FDD_3_0" hidden="1">"A25569"</definedName>
    <definedName name="FDD_30_0" hidden="1">"A25569"</definedName>
    <definedName name="FDD_300_0" hidden="1">"U25569"</definedName>
    <definedName name="FDD_301_0" hidden="1">"U35795"</definedName>
    <definedName name="FDD_301_1" hidden="1">"U36160"</definedName>
    <definedName name="FDD_301_2" hidden="1">"U36525"</definedName>
    <definedName name="FDD_302_0" hidden="1">"U35795"</definedName>
    <definedName name="FDD_302_1" hidden="1">"U36160"</definedName>
    <definedName name="FDD_302_2" hidden="1">"U36525"</definedName>
    <definedName name="FDD_303_0" hidden="1">"U35795"</definedName>
    <definedName name="FDD_303_1" hidden="1">"U36160"</definedName>
    <definedName name="FDD_303_2" hidden="1">"U36525"</definedName>
    <definedName name="FDD_304_0" hidden="1">"U35795"</definedName>
    <definedName name="FDD_304_1" hidden="1">"U36160"</definedName>
    <definedName name="FDD_304_2" hidden="1">"U36525"</definedName>
    <definedName name="FDD_305_0" hidden="1">"A30681"</definedName>
    <definedName name="FDD_305_1" hidden="1">"A31047"</definedName>
    <definedName name="FDD_305_10" hidden="1">"U34334"</definedName>
    <definedName name="FDD_305_11" hidden="1">"U34699"</definedName>
    <definedName name="FDD_305_12" hidden="1">"U35064"</definedName>
    <definedName name="FDD_305_13" hidden="1">"U35430"</definedName>
    <definedName name="FDD_305_14" hidden="1">"U35795"</definedName>
    <definedName name="FDD_305_2" hidden="1">"A31412"</definedName>
    <definedName name="FDD_305_3" hidden="1">"U31777"</definedName>
    <definedName name="FDD_305_4" hidden="1">"U32142"</definedName>
    <definedName name="FDD_305_5" hidden="1">"U32508"</definedName>
    <definedName name="FDD_305_6" hidden="1">"U32873"</definedName>
    <definedName name="FDD_305_7" hidden="1">"U33238"</definedName>
    <definedName name="FDD_305_8" hidden="1">"U33603"</definedName>
    <definedName name="FDD_305_9" hidden="1">"U33969"</definedName>
    <definedName name="FDD_306_0" hidden="1">"U35795"</definedName>
    <definedName name="FDD_306_1" hidden="1">"E36160"</definedName>
    <definedName name="FDD_306_2" hidden="1">"U36525"</definedName>
    <definedName name="FDD_307_0" hidden="1">"A35795"</definedName>
    <definedName name="FDD_307_1" hidden="1">"U36160"</definedName>
    <definedName name="FDD_307_2" hidden="1">"U36525"</definedName>
    <definedName name="FDD_31_0" hidden="1">"A25569"</definedName>
    <definedName name="FDD_32_0" hidden="1">"A25569"</definedName>
    <definedName name="FDD_33_0" hidden="1">"A25569"</definedName>
    <definedName name="FDD_34_0" hidden="1">"A25569"</definedName>
    <definedName name="FDD_35_0" hidden="1">"A25569"</definedName>
    <definedName name="FDD_36_0" hidden="1">"A25569"</definedName>
    <definedName name="FDD_37_0" hidden="1">"A25569"</definedName>
    <definedName name="FDD_38_0" hidden="1">"A25569"</definedName>
    <definedName name="FDD_39_0" hidden="1">"A25569"</definedName>
    <definedName name="FDD_4_0" hidden="1">"A25569"</definedName>
    <definedName name="FDD_40_0" hidden="1">"A25569"</definedName>
    <definedName name="FDD_41_0" hidden="1">"U25569"</definedName>
    <definedName name="FDD_42_0" hidden="1">"U25569"</definedName>
    <definedName name="FDD_43_0" hidden="1">"A25569"</definedName>
    <definedName name="FDD_44_0" hidden="1">"A30681"</definedName>
    <definedName name="FDD_44_1" hidden="1">"A31047"</definedName>
    <definedName name="FDD_44_10" hidden="1">"A34334"</definedName>
    <definedName name="FDD_44_11" hidden="1">"A34699"</definedName>
    <definedName name="FDD_44_12" hidden="1">"A35064"</definedName>
    <definedName name="FDD_44_13" hidden="1">"A35430"</definedName>
    <definedName name="FDD_44_14" hidden="1">"A35795"</definedName>
    <definedName name="FDD_44_2" hidden="1">"A31412"</definedName>
    <definedName name="FDD_44_3" hidden="1">"A31777"</definedName>
    <definedName name="FDD_44_4" hidden="1">"A32142"</definedName>
    <definedName name="FDD_44_5" hidden="1">"A32508"</definedName>
    <definedName name="FDD_44_6" hidden="1">"A32873"</definedName>
    <definedName name="FDD_44_7" hidden="1">"A33238"</definedName>
    <definedName name="FDD_44_8" hidden="1">"A33603"</definedName>
    <definedName name="FDD_44_9" hidden="1">"A33969"</definedName>
    <definedName name="FDD_45_0" hidden="1">"A30681"</definedName>
    <definedName name="FDD_45_1" hidden="1">"A31047"</definedName>
    <definedName name="FDD_45_10" hidden="1">"A34334"</definedName>
    <definedName name="FDD_45_11" hidden="1">"A34699"</definedName>
    <definedName name="FDD_45_12" hidden="1">"A35064"</definedName>
    <definedName name="FDD_45_13" hidden="1">"A35430"</definedName>
    <definedName name="FDD_45_14" hidden="1">"A35795"</definedName>
    <definedName name="FDD_45_2" hidden="1">"A31412"</definedName>
    <definedName name="FDD_45_3" hidden="1">"A31777"</definedName>
    <definedName name="FDD_45_4" hidden="1">"A32142"</definedName>
    <definedName name="FDD_45_5" hidden="1">"A32508"</definedName>
    <definedName name="FDD_45_6" hidden="1">"A32873"</definedName>
    <definedName name="FDD_45_7" hidden="1">"A33238"</definedName>
    <definedName name="FDD_45_8" hidden="1">"A33603"</definedName>
    <definedName name="FDD_45_9" hidden="1">"A33969"</definedName>
    <definedName name="FDD_46_0" hidden="1">"A30681"</definedName>
    <definedName name="FDD_46_1" hidden="1">"A31047"</definedName>
    <definedName name="FDD_46_10" hidden="1">"A34334"</definedName>
    <definedName name="FDD_46_11" hidden="1">"A34699"</definedName>
    <definedName name="FDD_46_12" hidden="1">"A35064"</definedName>
    <definedName name="FDD_46_13" hidden="1">"A35430"</definedName>
    <definedName name="FDD_46_14" hidden="1">"A35795"</definedName>
    <definedName name="FDD_46_2" hidden="1">"A31412"</definedName>
    <definedName name="FDD_46_3" hidden="1">"A31777"</definedName>
    <definedName name="FDD_46_4" hidden="1">"A32142"</definedName>
    <definedName name="FDD_46_5" hidden="1">"A32508"</definedName>
    <definedName name="FDD_46_6" hidden="1">"A32873"</definedName>
    <definedName name="FDD_46_7" hidden="1">"A33238"</definedName>
    <definedName name="FDD_46_8" hidden="1">"A33603"</definedName>
    <definedName name="FDD_46_9" hidden="1">"A33969"</definedName>
    <definedName name="FDD_47_0" hidden="1">"A30681"</definedName>
    <definedName name="FDD_47_1" hidden="1">"A31047"</definedName>
    <definedName name="FDD_47_10" hidden="1">"A34334"</definedName>
    <definedName name="FDD_47_11" hidden="1">"A34699"</definedName>
    <definedName name="FDD_47_12" hidden="1">"A35064"</definedName>
    <definedName name="FDD_47_13" hidden="1">"A35430"</definedName>
    <definedName name="FDD_47_14" hidden="1">"A35795"</definedName>
    <definedName name="FDD_47_2" hidden="1">"A31412"</definedName>
    <definedName name="FDD_47_3" hidden="1">"A31777"</definedName>
    <definedName name="FDD_47_4" hidden="1">"A32142"</definedName>
    <definedName name="FDD_47_5" hidden="1">"A32508"</definedName>
    <definedName name="FDD_47_6" hidden="1">"A32873"</definedName>
    <definedName name="FDD_47_7" hidden="1">"A33238"</definedName>
    <definedName name="FDD_47_8" hidden="1">"A33603"</definedName>
    <definedName name="FDD_47_9" hidden="1">"A33969"</definedName>
    <definedName name="FDD_48_0" hidden="1">"A30681"</definedName>
    <definedName name="FDD_48_1" hidden="1">"A31047"</definedName>
    <definedName name="FDD_48_10" hidden="1">"A34334"</definedName>
    <definedName name="FDD_48_11" hidden="1">"A34699"</definedName>
    <definedName name="FDD_48_12" hidden="1">"A35064"</definedName>
    <definedName name="FDD_48_13" hidden="1">"A35430"</definedName>
    <definedName name="FDD_48_14" hidden="1">"A35795"</definedName>
    <definedName name="FDD_48_2" hidden="1">"A31412"</definedName>
    <definedName name="FDD_48_3" hidden="1">"A31777"</definedName>
    <definedName name="FDD_48_4" hidden="1">"A32142"</definedName>
    <definedName name="FDD_48_5" hidden="1">"A32508"</definedName>
    <definedName name="FDD_48_6" hidden="1">"A32873"</definedName>
    <definedName name="FDD_48_7" hidden="1">"A33238"</definedName>
    <definedName name="FDD_48_8" hidden="1">"A33603"</definedName>
    <definedName name="FDD_48_9" hidden="1">"A33969"</definedName>
    <definedName name="FDD_49_0" hidden="1">"A30681"</definedName>
    <definedName name="FDD_49_1" hidden="1">"A31047"</definedName>
    <definedName name="FDD_49_10" hidden="1">"A34334"</definedName>
    <definedName name="FDD_49_11" hidden="1">"A34699"</definedName>
    <definedName name="FDD_49_12" hidden="1">"A35064"</definedName>
    <definedName name="FDD_49_13" hidden="1">"A35430"</definedName>
    <definedName name="FDD_49_14" hidden="1">"A35795"</definedName>
    <definedName name="FDD_49_2" hidden="1">"A31412"</definedName>
    <definedName name="FDD_49_3" hidden="1">"A31777"</definedName>
    <definedName name="FDD_49_4" hidden="1">"A32142"</definedName>
    <definedName name="FDD_49_5" hidden="1">"A32508"</definedName>
    <definedName name="FDD_49_6" hidden="1">"A32873"</definedName>
    <definedName name="FDD_49_7" hidden="1">"A33238"</definedName>
    <definedName name="FDD_49_8" hidden="1">"A33603"</definedName>
    <definedName name="FDD_49_9" hidden="1">"A33969"</definedName>
    <definedName name="FDD_5_0" hidden="1">"A25569"</definedName>
    <definedName name="FDD_50_0" hidden="1">"A30681"</definedName>
    <definedName name="FDD_50_1" hidden="1">"A31047"</definedName>
    <definedName name="FDD_50_10" hidden="1">"A34334"</definedName>
    <definedName name="FDD_50_11" hidden="1">"A34699"</definedName>
    <definedName name="FDD_50_12" hidden="1">"A35064"</definedName>
    <definedName name="FDD_50_13" hidden="1">"A35430"</definedName>
    <definedName name="FDD_50_14" hidden="1">"A35795"</definedName>
    <definedName name="FDD_50_2" hidden="1">"A31412"</definedName>
    <definedName name="FDD_50_3" hidden="1">"A31777"</definedName>
    <definedName name="FDD_50_4" hidden="1">"A32142"</definedName>
    <definedName name="FDD_50_5" hidden="1">"A32508"</definedName>
    <definedName name="FDD_50_6" hidden="1">"A32873"</definedName>
    <definedName name="FDD_50_7" hidden="1">"A33238"</definedName>
    <definedName name="FDD_50_8" hidden="1">"A33603"</definedName>
    <definedName name="FDD_50_9" hidden="1">"A33969"</definedName>
    <definedName name="FDD_51_0" hidden="1">"A30681"</definedName>
    <definedName name="FDD_51_1" hidden="1">"A31047"</definedName>
    <definedName name="FDD_51_10" hidden="1">"A34334"</definedName>
    <definedName name="FDD_51_11" hidden="1">"A34699"</definedName>
    <definedName name="FDD_51_12" hidden="1">"A35064"</definedName>
    <definedName name="FDD_51_13" hidden="1">"A35430"</definedName>
    <definedName name="FDD_51_14" hidden="1">"A35795"</definedName>
    <definedName name="FDD_51_2" hidden="1">"A31412"</definedName>
    <definedName name="FDD_51_3" hidden="1">"A31777"</definedName>
    <definedName name="FDD_51_4" hidden="1">"A32142"</definedName>
    <definedName name="FDD_51_5" hidden="1">"A32508"</definedName>
    <definedName name="FDD_51_6" hidden="1">"A32873"</definedName>
    <definedName name="FDD_51_7" hidden="1">"A33238"</definedName>
    <definedName name="FDD_51_8" hidden="1">"A33603"</definedName>
    <definedName name="FDD_51_9" hidden="1">"A33969"</definedName>
    <definedName name="FDD_52_0" hidden="1">"A30681"</definedName>
    <definedName name="FDD_52_1" hidden="1">"A31047"</definedName>
    <definedName name="FDD_52_10" hidden="1">"A34334"</definedName>
    <definedName name="FDD_52_11" hidden="1">"A34699"</definedName>
    <definedName name="FDD_52_12" hidden="1">"A35064"</definedName>
    <definedName name="FDD_52_13" hidden="1">"A35430"</definedName>
    <definedName name="FDD_52_14" hidden="1">"A35795"</definedName>
    <definedName name="FDD_52_2" hidden="1">"A31412"</definedName>
    <definedName name="FDD_52_3" hidden="1">"A31777"</definedName>
    <definedName name="FDD_52_4" hidden="1">"A32142"</definedName>
    <definedName name="FDD_52_5" hidden="1">"A32508"</definedName>
    <definedName name="FDD_52_6" hidden="1">"A32873"</definedName>
    <definedName name="FDD_52_7" hidden="1">"A33238"</definedName>
    <definedName name="FDD_52_8" hidden="1">"A33603"</definedName>
    <definedName name="FDD_52_9" hidden="1">"A33969"</definedName>
    <definedName name="FDD_53_0" hidden="1">"U30681"</definedName>
    <definedName name="FDD_53_1" hidden="1">"A31047"</definedName>
    <definedName name="FDD_53_10" hidden="1">"A34334"</definedName>
    <definedName name="FDD_53_11" hidden="1">"A34699"</definedName>
    <definedName name="FDD_53_12" hidden="1">"A35064"</definedName>
    <definedName name="FDD_53_13" hidden="1">"A35430"</definedName>
    <definedName name="FDD_53_14" hidden="1">"A35795"</definedName>
    <definedName name="FDD_53_2" hidden="1">"A31412"</definedName>
    <definedName name="FDD_53_3" hidden="1">"A31777"</definedName>
    <definedName name="FDD_53_4" hidden="1">"A32142"</definedName>
    <definedName name="FDD_53_5" hidden="1">"A32508"</definedName>
    <definedName name="FDD_53_6" hidden="1">"A32873"</definedName>
    <definedName name="FDD_53_7" hidden="1">"A33238"</definedName>
    <definedName name="FDD_53_8" hidden="1">"A33603"</definedName>
    <definedName name="FDD_53_9" hidden="1">"A33969"</definedName>
    <definedName name="FDD_54_0" hidden="1">"A30681"</definedName>
    <definedName name="FDD_54_1" hidden="1">"A31047"</definedName>
    <definedName name="FDD_54_10" hidden="1">"A34334"</definedName>
    <definedName name="FDD_54_11" hidden="1">"A34699"</definedName>
    <definedName name="FDD_54_12" hidden="1">"A35064"</definedName>
    <definedName name="FDD_54_13" hidden="1">"A35430"</definedName>
    <definedName name="FDD_54_14" hidden="1">"A35795"</definedName>
    <definedName name="FDD_54_2" hidden="1">"A31412"</definedName>
    <definedName name="FDD_54_3" hidden="1">"A31777"</definedName>
    <definedName name="FDD_54_4" hidden="1">"A32142"</definedName>
    <definedName name="FDD_54_5" hidden="1">"A32508"</definedName>
    <definedName name="FDD_54_6" hidden="1">"A32873"</definedName>
    <definedName name="FDD_54_7" hidden="1">"A33238"</definedName>
    <definedName name="FDD_54_8" hidden="1">"A33603"</definedName>
    <definedName name="FDD_54_9" hidden="1">"A33969"</definedName>
    <definedName name="FDD_55_0" hidden="1">"A30681"</definedName>
    <definedName name="FDD_55_1" hidden="1">"A31047"</definedName>
    <definedName name="FDD_55_10" hidden="1">"A34334"</definedName>
    <definedName name="FDD_55_11" hidden="1">"A34699"</definedName>
    <definedName name="FDD_55_12" hidden="1">"A35064"</definedName>
    <definedName name="FDD_55_13" hidden="1">"A35430"</definedName>
    <definedName name="FDD_55_14" hidden="1">"A35795"</definedName>
    <definedName name="FDD_55_2" hidden="1">"A31412"</definedName>
    <definedName name="FDD_55_3" hidden="1">"A31777"</definedName>
    <definedName name="FDD_55_4" hidden="1">"A32142"</definedName>
    <definedName name="FDD_55_5" hidden="1">"A32508"</definedName>
    <definedName name="FDD_55_6" hidden="1">"A32873"</definedName>
    <definedName name="FDD_55_7" hidden="1">"A33238"</definedName>
    <definedName name="FDD_55_8" hidden="1">"A33603"</definedName>
    <definedName name="FDD_55_9" hidden="1">"A33969"</definedName>
    <definedName name="FDD_56_0" hidden="1">"A30681"</definedName>
    <definedName name="FDD_56_1" hidden="1">"A31047"</definedName>
    <definedName name="FDD_56_10" hidden="1">"A34334"</definedName>
    <definedName name="FDD_56_11" hidden="1">"A34699"</definedName>
    <definedName name="FDD_56_12" hidden="1">"A35064"</definedName>
    <definedName name="FDD_56_13" hidden="1">"A35430"</definedName>
    <definedName name="FDD_56_14" hidden="1">"A35795"</definedName>
    <definedName name="FDD_56_2" hidden="1">"A31412"</definedName>
    <definedName name="FDD_56_3" hidden="1">"A31777"</definedName>
    <definedName name="FDD_56_4" hidden="1">"A32142"</definedName>
    <definedName name="FDD_56_5" hidden="1">"A32508"</definedName>
    <definedName name="FDD_56_6" hidden="1">"A32873"</definedName>
    <definedName name="FDD_56_7" hidden="1">"A33238"</definedName>
    <definedName name="FDD_56_8" hidden="1">"A33603"</definedName>
    <definedName name="FDD_56_9" hidden="1">"A33969"</definedName>
    <definedName name="FDD_57_0" hidden="1">"A30681"</definedName>
    <definedName name="FDD_57_1" hidden="1">"A31047"</definedName>
    <definedName name="FDD_57_10" hidden="1">"A34334"</definedName>
    <definedName name="FDD_57_11" hidden="1">"A34699"</definedName>
    <definedName name="FDD_57_12" hidden="1">"A35064"</definedName>
    <definedName name="FDD_57_13" hidden="1">"A35430"</definedName>
    <definedName name="FDD_57_14" hidden="1">"A35795"</definedName>
    <definedName name="FDD_57_2" hidden="1">"A31412"</definedName>
    <definedName name="FDD_57_3" hidden="1">"A31777"</definedName>
    <definedName name="FDD_57_4" hidden="1">"A32142"</definedName>
    <definedName name="FDD_57_5" hidden="1">"A32508"</definedName>
    <definedName name="FDD_57_6" hidden="1">"A32873"</definedName>
    <definedName name="FDD_57_7" hidden="1">"A33238"</definedName>
    <definedName name="FDD_57_8" hidden="1">"A33603"</definedName>
    <definedName name="FDD_57_9" hidden="1">"A33969"</definedName>
    <definedName name="FDD_58_0" hidden="1">"A30681"</definedName>
    <definedName name="FDD_58_1" hidden="1">"A31047"</definedName>
    <definedName name="FDD_58_10" hidden="1">"A34334"</definedName>
    <definedName name="FDD_58_11" hidden="1">"A34699"</definedName>
    <definedName name="FDD_58_12" hidden="1">"A35064"</definedName>
    <definedName name="FDD_58_13" hidden="1">"A35430"</definedName>
    <definedName name="FDD_58_14" hidden="1">"A35795"</definedName>
    <definedName name="FDD_58_2" hidden="1">"A31412"</definedName>
    <definedName name="FDD_58_3" hidden="1">"A31777"</definedName>
    <definedName name="FDD_58_4" hidden="1">"A32142"</definedName>
    <definedName name="FDD_58_5" hidden="1">"A32508"</definedName>
    <definedName name="FDD_58_6" hidden="1">"A32873"</definedName>
    <definedName name="FDD_58_7" hidden="1">"A33238"</definedName>
    <definedName name="FDD_58_8" hidden="1">"A33603"</definedName>
    <definedName name="FDD_58_9" hidden="1">"A33969"</definedName>
    <definedName name="FDD_59_0" hidden="1">"A30681"</definedName>
    <definedName name="FDD_59_1" hidden="1">"A31047"</definedName>
    <definedName name="FDD_59_10" hidden="1">"A34334"</definedName>
    <definedName name="FDD_59_11" hidden="1">"A34699"</definedName>
    <definedName name="FDD_59_12" hidden="1">"A35064"</definedName>
    <definedName name="FDD_59_13" hidden="1">"A35430"</definedName>
    <definedName name="FDD_59_14" hidden="1">"A35795"</definedName>
    <definedName name="FDD_59_2" hidden="1">"A31412"</definedName>
    <definedName name="FDD_59_3" hidden="1">"A31777"</definedName>
    <definedName name="FDD_59_4" hidden="1">"A32142"</definedName>
    <definedName name="FDD_59_5" hidden="1">"A32508"</definedName>
    <definedName name="FDD_59_6" hidden="1">"A32873"</definedName>
    <definedName name="FDD_59_7" hidden="1">"A33238"</definedName>
    <definedName name="FDD_59_8" hidden="1">"A33603"</definedName>
    <definedName name="FDD_59_9" hidden="1">"A33969"</definedName>
    <definedName name="FDD_6_0" hidden="1">"A25569"</definedName>
    <definedName name="FDD_60_0" hidden="1">"A30681"</definedName>
    <definedName name="FDD_60_1" hidden="1">"A31047"</definedName>
    <definedName name="FDD_60_10" hidden="1">"A34334"</definedName>
    <definedName name="FDD_60_11" hidden="1">"A34699"</definedName>
    <definedName name="FDD_60_12" hidden="1">"A35064"</definedName>
    <definedName name="FDD_60_13" hidden="1">"A35430"</definedName>
    <definedName name="FDD_60_14" hidden="1">"A35795"</definedName>
    <definedName name="FDD_60_2" hidden="1">"A31412"</definedName>
    <definedName name="FDD_60_3" hidden="1">"A31777"</definedName>
    <definedName name="FDD_60_4" hidden="1">"A32142"</definedName>
    <definedName name="FDD_60_5" hidden="1">"A32508"</definedName>
    <definedName name="FDD_60_6" hidden="1">"A32873"</definedName>
    <definedName name="FDD_60_7" hidden="1">"A33238"</definedName>
    <definedName name="FDD_60_8" hidden="1">"A33603"</definedName>
    <definedName name="FDD_60_9" hidden="1">"A33969"</definedName>
    <definedName name="FDD_61_0" hidden="1">"A30681"</definedName>
    <definedName name="FDD_61_1" hidden="1">"A31047"</definedName>
    <definedName name="FDD_61_10" hidden="1">"A34334"</definedName>
    <definedName name="FDD_61_11" hidden="1">"A34699"</definedName>
    <definedName name="FDD_61_12" hidden="1">"A35064"</definedName>
    <definedName name="FDD_61_13" hidden="1">"A35430"</definedName>
    <definedName name="FDD_61_14" hidden="1">"A35795"</definedName>
    <definedName name="FDD_61_2" hidden="1">"A31412"</definedName>
    <definedName name="FDD_61_3" hidden="1">"A31777"</definedName>
    <definedName name="FDD_61_4" hidden="1">"A32142"</definedName>
    <definedName name="FDD_61_5" hidden="1">"A32508"</definedName>
    <definedName name="FDD_61_6" hidden="1">"A32873"</definedName>
    <definedName name="FDD_61_7" hidden="1">"A33238"</definedName>
    <definedName name="FDD_61_8" hidden="1">"A33603"</definedName>
    <definedName name="FDD_61_9" hidden="1">"A33969"</definedName>
    <definedName name="FDD_62_0" hidden="1">"A30681"</definedName>
    <definedName name="FDD_62_1" hidden="1">"A31047"</definedName>
    <definedName name="FDD_62_10" hidden="1">"A34334"</definedName>
    <definedName name="FDD_62_11" hidden="1">"A34699"</definedName>
    <definedName name="FDD_62_12" hidden="1">"A35064"</definedName>
    <definedName name="FDD_62_13" hidden="1">"A35430"</definedName>
    <definedName name="FDD_62_14" hidden="1">"A35795"</definedName>
    <definedName name="FDD_62_2" hidden="1">"A31412"</definedName>
    <definedName name="FDD_62_3" hidden="1">"A31777"</definedName>
    <definedName name="FDD_62_4" hidden="1">"A32142"</definedName>
    <definedName name="FDD_62_5" hidden="1">"A32508"</definedName>
    <definedName name="FDD_62_6" hidden="1">"A32873"</definedName>
    <definedName name="FDD_62_7" hidden="1">"A33238"</definedName>
    <definedName name="FDD_62_8" hidden="1">"A33603"</definedName>
    <definedName name="FDD_62_9" hidden="1">"A33969"</definedName>
    <definedName name="FDD_63_0" hidden="1">"A30681"</definedName>
    <definedName name="FDD_63_1" hidden="1">"A31047"</definedName>
    <definedName name="FDD_63_10" hidden="1">"A34334"</definedName>
    <definedName name="FDD_63_11" hidden="1">"A34699"</definedName>
    <definedName name="FDD_63_12" hidden="1">"A35064"</definedName>
    <definedName name="FDD_63_13" hidden="1">"A35430"</definedName>
    <definedName name="FDD_63_14" hidden="1">"A35795"</definedName>
    <definedName name="FDD_63_2" hidden="1">"A31412"</definedName>
    <definedName name="FDD_63_3" hidden="1">"A31777"</definedName>
    <definedName name="FDD_63_4" hidden="1">"A32142"</definedName>
    <definedName name="FDD_63_5" hidden="1">"A32508"</definedName>
    <definedName name="FDD_63_6" hidden="1">"A32873"</definedName>
    <definedName name="FDD_63_7" hidden="1">"A33238"</definedName>
    <definedName name="FDD_63_8" hidden="1">"A33603"</definedName>
    <definedName name="FDD_63_9" hidden="1">"A33969"</definedName>
    <definedName name="FDD_64_0" hidden="1">"A30681"</definedName>
    <definedName name="FDD_64_1" hidden="1">"A31047"</definedName>
    <definedName name="FDD_64_10" hidden="1">"A34334"</definedName>
    <definedName name="FDD_64_11" hidden="1">"A34699"</definedName>
    <definedName name="FDD_64_12" hidden="1">"A35064"</definedName>
    <definedName name="FDD_64_13" hidden="1">"A35430"</definedName>
    <definedName name="FDD_64_14" hidden="1">"A35795"</definedName>
    <definedName name="FDD_64_2" hidden="1">"A31412"</definedName>
    <definedName name="FDD_64_3" hidden="1">"A31777"</definedName>
    <definedName name="FDD_64_4" hidden="1">"A32142"</definedName>
    <definedName name="FDD_64_5" hidden="1">"A32508"</definedName>
    <definedName name="FDD_64_6" hidden="1">"A32873"</definedName>
    <definedName name="FDD_64_7" hidden="1">"A33238"</definedName>
    <definedName name="FDD_64_8" hidden="1">"A33603"</definedName>
    <definedName name="FDD_64_9" hidden="1">"A33969"</definedName>
    <definedName name="FDD_65_0" hidden="1">"A30681"</definedName>
    <definedName name="FDD_65_1" hidden="1">"A31047"</definedName>
    <definedName name="FDD_65_10" hidden="1">"A34334"</definedName>
    <definedName name="FDD_65_11" hidden="1">"A34699"</definedName>
    <definedName name="FDD_65_12" hidden="1">"A35064"</definedName>
    <definedName name="FDD_65_13" hidden="1">"A35430"</definedName>
    <definedName name="FDD_65_14" hidden="1">"A35795"</definedName>
    <definedName name="FDD_65_2" hidden="1">"A31412"</definedName>
    <definedName name="FDD_65_3" hidden="1">"A31777"</definedName>
    <definedName name="FDD_65_4" hidden="1">"A32142"</definedName>
    <definedName name="FDD_65_5" hidden="1">"A32508"</definedName>
    <definedName name="FDD_65_6" hidden="1">"A32873"</definedName>
    <definedName name="FDD_65_7" hidden="1">"A33238"</definedName>
    <definedName name="FDD_65_8" hidden="1">"A33603"</definedName>
    <definedName name="FDD_65_9" hidden="1">"A33969"</definedName>
    <definedName name="FDD_66_0" hidden="1">"A30681"</definedName>
    <definedName name="FDD_66_1" hidden="1">"A31047"</definedName>
    <definedName name="FDD_66_10" hidden="1">"A34334"</definedName>
    <definedName name="FDD_66_11" hidden="1">"A34699"</definedName>
    <definedName name="FDD_66_12" hidden="1">"A35064"</definedName>
    <definedName name="FDD_66_13" hidden="1">"A35430"</definedName>
    <definedName name="FDD_66_14" hidden="1">"A35795"</definedName>
    <definedName name="FDD_66_2" hidden="1">"A31412"</definedName>
    <definedName name="FDD_66_3" hidden="1">"A31777"</definedName>
    <definedName name="FDD_66_4" hidden="1">"A32142"</definedName>
    <definedName name="FDD_66_5" hidden="1">"A32508"</definedName>
    <definedName name="FDD_66_6" hidden="1">"A32873"</definedName>
    <definedName name="FDD_66_7" hidden="1">"A33238"</definedName>
    <definedName name="FDD_66_8" hidden="1">"A33603"</definedName>
    <definedName name="FDD_66_9" hidden="1">"A33969"</definedName>
    <definedName name="FDD_67_0" hidden="1">"A30681"</definedName>
    <definedName name="FDD_67_1" hidden="1">"A31047"</definedName>
    <definedName name="FDD_67_10" hidden="1">"A34334"</definedName>
    <definedName name="FDD_67_11" hidden="1">"A34699"</definedName>
    <definedName name="FDD_67_12" hidden="1">"A35064"</definedName>
    <definedName name="FDD_67_13" hidden="1">"A35430"</definedName>
    <definedName name="FDD_67_14" hidden="1">"A35795"</definedName>
    <definedName name="FDD_67_2" hidden="1">"A31412"</definedName>
    <definedName name="FDD_67_3" hidden="1">"A31777"</definedName>
    <definedName name="FDD_67_4" hidden="1">"A32142"</definedName>
    <definedName name="FDD_67_5" hidden="1">"A32508"</definedName>
    <definedName name="FDD_67_6" hidden="1">"A32873"</definedName>
    <definedName name="FDD_67_7" hidden="1">"A33238"</definedName>
    <definedName name="FDD_67_8" hidden="1">"A33603"</definedName>
    <definedName name="FDD_67_9" hidden="1">"A33969"</definedName>
    <definedName name="FDD_68_0" hidden="1">"A30681"</definedName>
    <definedName name="FDD_68_1" hidden="1">"A31047"</definedName>
    <definedName name="FDD_68_10" hidden="1">"A34334"</definedName>
    <definedName name="FDD_68_11" hidden="1">"A34699"</definedName>
    <definedName name="FDD_68_12" hidden="1">"A35064"</definedName>
    <definedName name="FDD_68_13" hidden="1">"A35430"</definedName>
    <definedName name="FDD_68_14" hidden="1">"A35795"</definedName>
    <definedName name="FDD_68_2" hidden="1">"A31412"</definedName>
    <definedName name="FDD_68_3" hidden="1">"A31777"</definedName>
    <definedName name="FDD_68_4" hidden="1">"A32142"</definedName>
    <definedName name="FDD_68_5" hidden="1">"A32508"</definedName>
    <definedName name="FDD_68_6" hidden="1">"A32873"</definedName>
    <definedName name="FDD_68_7" hidden="1">"A33238"</definedName>
    <definedName name="FDD_68_8" hidden="1">"A33603"</definedName>
    <definedName name="FDD_68_9" hidden="1">"A33969"</definedName>
    <definedName name="FDD_69_0" hidden="1">"U30681"</definedName>
    <definedName name="FDD_69_1" hidden="1">"A31047"</definedName>
    <definedName name="FDD_69_10" hidden="1">"A34334"</definedName>
    <definedName name="FDD_69_11" hidden="1">"A34699"</definedName>
    <definedName name="FDD_69_12" hidden="1">"A35064"</definedName>
    <definedName name="FDD_69_13" hidden="1">"A35430"</definedName>
    <definedName name="FDD_69_14" hidden="1">"A35795"</definedName>
    <definedName name="FDD_69_2" hidden="1">"A31412"</definedName>
    <definedName name="FDD_69_3" hidden="1">"A31777"</definedName>
    <definedName name="FDD_69_4" hidden="1">"A32142"</definedName>
    <definedName name="FDD_69_5" hidden="1">"A32508"</definedName>
    <definedName name="FDD_69_6" hidden="1">"A32873"</definedName>
    <definedName name="FDD_69_7" hidden="1">"A33238"</definedName>
    <definedName name="FDD_69_8" hidden="1">"A33603"</definedName>
    <definedName name="FDD_69_9" hidden="1">"A33969"</definedName>
    <definedName name="FDD_7_0" hidden="1">"A25569"</definedName>
    <definedName name="FDD_70_0" hidden="1">"A30681"</definedName>
    <definedName name="FDD_70_1" hidden="1">"A31047"</definedName>
    <definedName name="FDD_70_10" hidden="1">"A34334"</definedName>
    <definedName name="FDD_70_11" hidden="1">"A34699"</definedName>
    <definedName name="FDD_70_12" hidden="1">"A35064"</definedName>
    <definedName name="FDD_70_13" hidden="1">"A35430"</definedName>
    <definedName name="FDD_70_14" hidden="1">"A35795"</definedName>
    <definedName name="FDD_70_2" hidden="1">"A31412"</definedName>
    <definedName name="FDD_70_3" hidden="1">"A31777"</definedName>
    <definedName name="FDD_70_4" hidden="1">"A32142"</definedName>
    <definedName name="FDD_70_5" hidden="1">"A32508"</definedName>
    <definedName name="FDD_70_6" hidden="1">"A32873"</definedName>
    <definedName name="FDD_70_7" hidden="1">"A33238"</definedName>
    <definedName name="FDD_70_8" hidden="1">"A33603"</definedName>
    <definedName name="FDD_70_9" hidden="1">"A33969"</definedName>
    <definedName name="FDD_71_0" hidden="1">"A30681"</definedName>
    <definedName name="FDD_71_1" hidden="1">"A31047"</definedName>
    <definedName name="FDD_71_10" hidden="1">"A34334"</definedName>
    <definedName name="FDD_71_11" hidden="1">"A34699"</definedName>
    <definedName name="FDD_71_12" hidden="1">"A35064"</definedName>
    <definedName name="FDD_71_13" hidden="1">"A35430"</definedName>
    <definedName name="FDD_71_14" hidden="1">"A35795"</definedName>
    <definedName name="FDD_71_2" hidden="1">"A31412"</definedName>
    <definedName name="FDD_71_3" hidden="1">"A31777"</definedName>
    <definedName name="FDD_71_4" hidden="1">"A32142"</definedName>
    <definedName name="FDD_71_5" hidden="1">"A32508"</definedName>
    <definedName name="FDD_71_6" hidden="1">"A32873"</definedName>
    <definedName name="FDD_71_7" hidden="1">"A33238"</definedName>
    <definedName name="FDD_71_8" hidden="1">"A33603"</definedName>
    <definedName name="FDD_71_9" hidden="1">"A33969"</definedName>
    <definedName name="FDD_72_0" hidden="1">"A30681"</definedName>
    <definedName name="FDD_72_1" hidden="1">"A31047"</definedName>
    <definedName name="FDD_72_10" hidden="1">"A34334"</definedName>
    <definedName name="FDD_72_11" hidden="1">"A34699"</definedName>
    <definedName name="FDD_72_12" hidden="1">"A35064"</definedName>
    <definedName name="FDD_72_13" hidden="1">"A35430"</definedName>
    <definedName name="FDD_72_14" hidden="1">"A35795"</definedName>
    <definedName name="FDD_72_2" hidden="1">"A31412"</definedName>
    <definedName name="FDD_72_3" hidden="1">"A31777"</definedName>
    <definedName name="FDD_72_4" hidden="1">"A32142"</definedName>
    <definedName name="FDD_72_5" hidden="1">"A32508"</definedName>
    <definedName name="FDD_72_6" hidden="1">"A32873"</definedName>
    <definedName name="FDD_72_7" hidden="1">"A33238"</definedName>
    <definedName name="FDD_72_8" hidden="1">"A33603"</definedName>
    <definedName name="FDD_72_9" hidden="1">"A33969"</definedName>
    <definedName name="FDD_73_0" hidden="1">"A30681"</definedName>
    <definedName name="FDD_73_1" hidden="1">"A31047"</definedName>
    <definedName name="FDD_73_10" hidden="1">"A34334"</definedName>
    <definedName name="FDD_73_11" hidden="1">"A34699"</definedName>
    <definedName name="FDD_73_12" hidden="1">"A35064"</definedName>
    <definedName name="FDD_73_13" hidden="1">"A35430"</definedName>
    <definedName name="FDD_73_14" hidden="1">"A35795"</definedName>
    <definedName name="FDD_73_2" hidden="1">"A31412"</definedName>
    <definedName name="FDD_73_3" hidden="1">"A31777"</definedName>
    <definedName name="FDD_73_4" hidden="1">"A32142"</definedName>
    <definedName name="FDD_73_5" hidden="1">"A32508"</definedName>
    <definedName name="FDD_73_6" hidden="1">"A32873"</definedName>
    <definedName name="FDD_73_7" hidden="1">"A33238"</definedName>
    <definedName name="FDD_73_8" hidden="1">"A33603"</definedName>
    <definedName name="FDD_73_9" hidden="1">"A33969"</definedName>
    <definedName name="FDD_74_0" hidden="1">"A30681"</definedName>
    <definedName name="FDD_74_1" hidden="1">"A31047"</definedName>
    <definedName name="FDD_74_10" hidden="1">"A34334"</definedName>
    <definedName name="FDD_74_11" hidden="1">"A34699"</definedName>
    <definedName name="FDD_74_12" hidden="1">"A35064"</definedName>
    <definedName name="FDD_74_13" hidden="1">"A35430"</definedName>
    <definedName name="FDD_74_14" hidden="1">"A35795"</definedName>
    <definedName name="FDD_74_2" hidden="1">"A31412"</definedName>
    <definedName name="FDD_74_3" hidden="1">"A31777"</definedName>
    <definedName name="FDD_74_4" hidden="1">"A32142"</definedName>
    <definedName name="FDD_74_5" hidden="1">"A32508"</definedName>
    <definedName name="FDD_74_6" hidden="1">"A32873"</definedName>
    <definedName name="FDD_74_7" hidden="1">"A33238"</definedName>
    <definedName name="FDD_74_8" hidden="1">"A33603"</definedName>
    <definedName name="FDD_74_9" hidden="1">"A33969"</definedName>
    <definedName name="FDD_75_0" hidden="1">"A30681"</definedName>
    <definedName name="FDD_75_1" hidden="1">"A31047"</definedName>
    <definedName name="FDD_75_10" hidden="1">"A34334"</definedName>
    <definedName name="FDD_75_11" hidden="1">"A34699"</definedName>
    <definedName name="FDD_75_12" hidden="1">"A35064"</definedName>
    <definedName name="FDD_75_13" hidden="1">"A35430"</definedName>
    <definedName name="FDD_75_14" hidden="1">"A35795"</definedName>
    <definedName name="FDD_75_2" hidden="1">"A31412"</definedName>
    <definedName name="FDD_75_3" hidden="1">"A31777"</definedName>
    <definedName name="FDD_75_4" hidden="1">"A32142"</definedName>
    <definedName name="FDD_75_5" hidden="1">"A32508"</definedName>
    <definedName name="FDD_75_6" hidden="1">"A32873"</definedName>
    <definedName name="FDD_75_7" hidden="1">"A33238"</definedName>
    <definedName name="FDD_75_8" hidden="1">"A33603"</definedName>
    <definedName name="FDD_75_9" hidden="1">"A33969"</definedName>
    <definedName name="FDD_76_0" hidden="1">"A30681"</definedName>
    <definedName name="FDD_76_1" hidden="1">"A31047"</definedName>
    <definedName name="FDD_76_10" hidden="1">"A34334"</definedName>
    <definedName name="FDD_76_11" hidden="1">"A34699"</definedName>
    <definedName name="FDD_76_12" hidden="1">"A35064"</definedName>
    <definedName name="FDD_76_13" hidden="1">"A35430"</definedName>
    <definedName name="FDD_76_14" hidden="1">"A35795"</definedName>
    <definedName name="FDD_76_2" hidden="1">"A31412"</definedName>
    <definedName name="FDD_76_3" hidden="1">"A31777"</definedName>
    <definedName name="FDD_76_4" hidden="1">"A32142"</definedName>
    <definedName name="FDD_76_5" hidden="1">"A32508"</definedName>
    <definedName name="FDD_76_6" hidden="1">"A32873"</definedName>
    <definedName name="FDD_76_7" hidden="1">"A33238"</definedName>
    <definedName name="FDD_76_8" hidden="1">"A33603"</definedName>
    <definedName name="FDD_76_9" hidden="1">"A33969"</definedName>
    <definedName name="FDD_77_0" hidden="1">"A30681"</definedName>
    <definedName name="FDD_77_1" hidden="1">"A31047"</definedName>
    <definedName name="FDD_77_10" hidden="1">"A34334"</definedName>
    <definedName name="FDD_77_11" hidden="1">"A34699"</definedName>
    <definedName name="FDD_77_12" hidden="1">"A35064"</definedName>
    <definedName name="FDD_77_13" hidden="1">"A35430"</definedName>
    <definedName name="FDD_77_14" hidden="1">"A35795"</definedName>
    <definedName name="FDD_77_2" hidden="1">"A31412"</definedName>
    <definedName name="FDD_77_3" hidden="1">"A31777"</definedName>
    <definedName name="FDD_77_4" hidden="1">"A32142"</definedName>
    <definedName name="FDD_77_5" hidden="1">"A32508"</definedName>
    <definedName name="FDD_77_6" hidden="1">"A32873"</definedName>
    <definedName name="FDD_77_7" hidden="1">"A33238"</definedName>
    <definedName name="FDD_77_8" hidden="1">"A33603"</definedName>
    <definedName name="FDD_77_9" hidden="1">"A33969"</definedName>
    <definedName name="FDD_78_0" hidden="1">"A30681"</definedName>
    <definedName name="FDD_78_1" hidden="1">"A31047"</definedName>
    <definedName name="FDD_78_10" hidden="1">"A34334"</definedName>
    <definedName name="FDD_78_11" hidden="1">"A34699"</definedName>
    <definedName name="FDD_78_12" hidden="1">"A35064"</definedName>
    <definedName name="FDD_78_13" hidden="1">"A35430"</definedName>
    <definedName name="FDD_78_14" hidden="1">"A35795"</definedName>
    <definedName name="FDD_78_2" hidden="1">"A31412"</definedName>
    <definedName name="FDD_78_3" hidden="1">"A31777"</definedName>
    <definedName name="FDD_78_4" hidden="1">"A32142"</definedName>
    <definedName name="FDD_78_5" hidden="1">"A32508"</definedName>
    <definedName name="FDD_78_6" hidden="1">"A32873"</definedName>
    <definedName name="FDD_78_7" hidden="1">"A33238"</definedName>
    <definedName name="FDD_78_8" hidden="1">"A33603"</definedName>
    <definedName name="FDD_78_9" hidden="1">"A33969"</definedName>
    <definedName name="FDD_79_0" hidden="1">"A30681"</definedName>
    <definedName name="FDD_79_1" hidden="1">"A31047"</definedName>
    <definedName name="FDD_79_10" hidden="1">"A34334"</definedName>
    <definedName name="FDD_79_11" hidden="1">"A34699"</definedName>
    <definedName name="FDD_79_12" hidden="1">"A35064"</definedName>
    <definedName name="FDD_79_13" hidden="1">"A35430"</definedName>
    <definedName name="FDD_79_14" hidden="1">"A35795"</definedName>
    <definedName name="FDD_79_2" hidden="1">"A31412"</definedName>
    <definedName name="FDD_79_3" hidden="1">"A31777"</definedName>
    <definedName name="FDD_79_4" hidden="1">"A32142"</definedName>
    <definedName name="FDD_79_5" hidden="1">"A32508"</definedName>
    <definedName name="FDD_79_6" hidden="1">"A32873"</definedName>
    <definedName name="FDD_79_7" hidden="1">"A33238"</definedName>
    <definedName name="FDD_79_8" hidden="1">"A33603"</definedName>
    <definedName name="FDD_79_9" hidden="1">"A33969"</definedName>
    <definedName name="FDD_8_0" hidden="1">"A25569"</definedName>
    <definedName name="FDD_80_0" hidden="1">"A30681"</definedName>
    <definedName name="FDD_80_1" hidden="1">"A31047"</definedName>
    <definedName name="FDD_80_10" hidden="1">"A34334"</definedName>
    <definedName name="FDD_80_11" hidden="1">"A34699"</definedName>
    <definedName name="FDD_80_12" hidden="1">"A35064"</definedName>
    <definedName name="FDD_80_13" hidden="1">"A35430"</definedName>
    <definedName name="FDD_80_14" hidden="1">"A35795"</definedName>
    <definedName name="FDD_80_2" hidden="1">"A31412"</definedName>
    <definedName name="FDD_80_3" hidden="1">"A31777"</definedName>
    <definedName name="FDD_80_4" hidden="1">"A32142"</definedName>
    <definedName name="FDD_80_5" hidden="1">"A32508"</definedName>
    <definedName name="FDD_80_6" hidden="1">"A32873"</definedName>
    <definedName name="FDD_80_7" hidden="1">"A33238"</definedName>
    <definedName name="FDD_80_8" hidden="1">"A33603"</definedName>
    <definedName name="FDD_80_9" hidden="1">"A33969"</definedName>
    <definedName name="FDD_81_0" hidden="1">"A30681"</definedName>
    <definedName name="FDD_81_1" hidden="1">"A31047"</definedName>
    <definedName name="FDD_81_10" hidden="1">"A34334"</definedName>
    <definedName name="FDD_81_11" hidden="1">"A34699"</definedName>
    <definedName name="FDD_81_12" hidden="1">"A35064"</definedName>
    <definedName name="FDD_81_13" hidden="1">"A35430"</definedName>
    <definedName name="FDD_81_14" hidden="1">"A35795"</definedName>
    <definedName name="FDD_81_2" hidden="1">"A31412"</definedName>
    <definedName name="FDD_81_3" hidden="1">"A31777"</definedName>
    <definedName name="FDD_81_4" hidden="1">"A32142"</definedName>
    <definedName name="FDD_81_5" hidden="1">"A32508"</definedName>
    <definedName name="FDD_81_6" hidden="1">"A32873"</definedName>
    <definedName name="FDD_81_7" hidden="1">"A33238"</definedName>
    <definedName name="FDD_81_8" hidden="1">"A33603"</definedName>
    <definedName name="FDD_81_9" hidden="1">"A33969"</definedName>
    <definedName name="FDD_82_0" hidden="1">"A30681"</definedName>
    <definedName name="FDD_82_1" hidden="1">"A31047"</definedName>
    <definedName name="FDD_82_10" hidden="1">"A34334"</definedName>
    <definedName name="FDD_82_11" hidden="1">"A34699"</definedName>
    <definedName name="FDD_82_12" hidden="1">"A35064"</definedName>
    <definedName name="FDD_82_13" hidden="1">"A35430"</definedName>
    <definedName name="FDD_82_14" hidden="1">"A35795"</definedName>
    <definedName name="FDD_82_2" hidden="1">"A31412"</definedName>
    <definedName name="FDD_82_3" hidden="1">"A31777"</definedName>
    <definedName name="FDD_82_4" hidden="1">"A32142"</definedName>
    <definedName name="FDD_82_5" hidden="1">"A32508"</definedName>
    <definedName name="FDD_82_6" hidden="1">"A32873"</definedName>
    <definedName name="FDD_82_7" hidden="1">"A33238"</definedName>
    <definedName name="FDD_82_8" hidden="1">"A33603"</definedName>
    <definedName name="FDD_82_9" hidden="1">"A33969"</definedName>
    <definedName name="FDD_83_0" hidden="1">"A30681"</definedName>
    <definedName name="FDD_83_1" hidden="1">"A31047"</definedName>
    <definedName name="FDD_83_10" hidden="1">"A34334"</definedName>
    <definedName name="FDD_83_11" hidden="1">"A34699"</definedName>
    <definedName name="FDD_83_12" hidden="1">"A35064"</definedName>
    <definedName name="FDD_83_13" hidden="1">"A35430"</definedName>
    <definedName name="FDD_83_14" hidden="1">"A35795"</definedName>
    <definedName name="FDD_83_2" hidden="1">"A31412"</definedName>
    <definedName name="FDD_83_3" hidden="1">"A31777"</definedName>
    <definedName name="FDD_83_4" hidden="1">"A32142"</definedName>
    <definedName name="FDD_83_5" hidden="1">"A32508"</definedName>
    <definedName name="FDD_83_6" hidden="1">"A32873"</definedName>
    <definedName name="FDD_83_7" hidden="1">"A33238"</definedName>
    <definedName name="FDD_83_8" hidden="1">"A33603"</definedName>
    <definedName name="FDD_83_9" hidden="1">"A33969"</definedName>
    <definedName name="FDD_84_0" hidden="1">"A30681"</definedName>
    <definedName name="FDD_84_1" hidden="1">"A31047"</definedName>
    <definedName name="FDD_84_10" hidden="1">"A34334"</definedName>
    <definedName name="FDD_84_11" hidden="1">"A34699"</definedName>
    <definedName name="FDD_84_12" hidden="1">"A35064"</definedName>
    <definedName name="FDD_84_13" hidden="1">"A35430"</definedName>
    <definedName name="FDD_84_14" hidden="1">"A35795"</definedName>
    <definedName name="FDD_84_2" hidden="1">"A31412"</definedName>
    <definedName name="FDD_84_3" hidden="1">"A31777"</definedName>
    <definedName name="FDD_84_4" hidden="1">"A32142"</definedName>
    <definedName name="FDD_84_5" hidden="1">"A32508"</definedName>
    <definedName name="FDD_84_6" hidden="1">"A32873"</definedName>
    <definedName name="FDD_84_7" hidden="1">"A33238"</definedName>
    <definedName name="FDD_84_8" hidden="1">"A33603"</definedName>
    <definedName name="FDD_84_9" hidden="1">"A33969"</definedName>
    <definedName name="FDD_85_0" hidden="1">"A30681"</definedName>
    <definedName name="FDD_85_1" hidden="1">"A31047"</definedName>
    <definedName name="FDD_85_10" hidden="1">"A34334"</definedName>
    <definedName name="FDD_85_11" hidden="1">"A34699"</definedName>
    <definedName name="FDD_85_12" hidden="1">"A35064"</definedName>
    <definedName name="FDD_85_13" hidden="1">"A35430"</definedName>
    <definedName name="FDD_85_14" hidden="1">"A35795"</definedName>
    <definedName name="FDD_85_2" hidden="1">"A31412"</definedName>
    <definedName name="FDD_85_3" hidden="1">"A31777"</definedName>
    <definedName name="FDD_85_4" hidden="1">"A32142"</definedName>
    <definedName name="FDD_85_5" hidden="1">"A32508"</definedName>
    <definedName name="FDD_85_6" hidden="1">"A32873"</definedName>
    <definedName name="FDD_85_7" hidden="1">"A33238"</definedName>
    <definedName name="FDD_85_8" hidden="1">"A33603"</definedName>
    <definedName name="FDD_85_9" hidden="1">"A33969"</definedName>
    <definedName name="FDD_86_0" hidden="1">"A30681"</definedName>
    <definedName name="FDD_86_1" hidden="1">"A31047"</definedName>
    <definedName name="FDD_86_10" hidden="1">"A34334"</definedName>
    <definedName name="FDD_86_11" hidden="1">"A34699"</definedName>
    <definedName name="FDD_86_12" hidden="1">"A35064"</definedName>
    <definedName name="FDD_86_13" hidden="1">"A35430"</definedName>
    <definedName name="FDD_86_14" hidden="1">"A35795"</definedName>
    <definedName name="FDD_86_2" hidden="1">"A31412"</definedName>
    <definedName name="FDD_86_3" hidden="1">"A31777"</definedName>
    <definedName name="FDD_86_4" hidden="1">"A32142"</definedName>
    <definedName name="FDD_86_5" hidden="1">"A32508"</definedName>
    <definedName name="FDD_86_6" hidden="1">"A32873"</definedName>
    <definedName name="FDD_86_7" hidden="1">"A33238"</definedName>
    <definedName name="FDD_86_8" hidden="1">"A33603"</definedName>
    <definedName name="FDD_86_9" hidden="1">"A33969"</definedName>
    <definedName name="FDD_87_0" hidden="1">"A30681"</definedName>
    <definedName name="FDD_87_1" hidden="1">"A31047"</definedName>
    <definedName name="FDD_87_10" hidden="1">"A34334"</definedName>
    <definedName name="FDD_87_11" hidden="1">"A34699"</definedName>
    <definedName name="FDD_87_12" hidden="1">"A35064"</definedName>
    <definedName name="FDD_87_13" hidden="1">"A35430"</definedName>
    <definedName name="FDD_87_14" hidden="1">"A35795"</definedName>
    <definedName name="FDD_87_2" hidden="1">"A31412"</definedName>
    <definedName name="FDD_87_3" hidden="1">"A31777"</definedName>
    <definedName name="FDD_87_4" hidden="1">"A32142"</definedName>
    <definedName name="FDD_87_5" hidden="1">"A32508"</definedName>
    <definedName name="FDD_87_6" hidden="1">"A32873"</definedName>
    <definedName name="FDD_87_7" hidden="1">"A33238"</definedName>
    <definedName name="FDD_87_8" hidden="1">"A33603"</definedName>
    <definedName name="FDD_87_9" hidden="1">"A33969"</definedName>
    <definedName name="FDD_88_0" hidden="1">"A30681"</definedName>
    <definedName name="FDD_88_1" hidden="1">"A31047"</definedName>
    <definedName name="FDD_88_10" hidden="1">"A34334"</definedName>
    <definedName name="FDD_88_11" hidden="1">"A34699"</definedName>
    <definedName name="FDD_88_12" hidden="1">"A35064"</definedName>
    <definedName name="FDD_88_13" hidden="1">"A35430"</definedName>
    <definedName name="FDD_88_14" hidden="1">"A35795"</definedName>
    <definedName name="FDD_88_2" hidden="1">"A31412"</definedName>
    <definedName name="FDD_88_3" hidden="1">"A31777"</definedName>
    <definedName name="FDD_88_4" hidden="1">"A32142"</definedName>
    <definedName name="FDD_88_5" hidden="1">"A32508"</definedName>
    <definedName name="FDD_88_6" hidden="1">"A32873"</definedName>
    <definedName name="FDD_88_7" hidden="1">"A33238"</definedName>
    <definedName name="FDD_88_8" hidden="1">"A33603"</definedName>
    <definedName name="FDD_88_9" hidden="1">"A33969"</definedName>
    <definedName name="FDD_89_0" hidden="1">"A30681"</definedName>
    <definedName name="FDD_89_1" hidden="1">"A31047"</definedName>
    <definedName name="FDD_89_10" hidden="1">"A34334"</definedName>
    <definedName name="FDD_89_11" hidden="1">"A34699"</definedName>
    <definedName name="FDD_89_12" hidden="1">"A35064"</definedName>
    <definedName name="FDD_89_13" hidden="1">"A35430"</definedName>
    <definedName name="FDD_89_14" hidden="1">"A35795"</definedName>
    <definedName name="FDD_89_2" hidden="1">"A31412"</definedName>
    <definedName name="FDD_89_3" hidden="1">"A31777"</definedName>
    <definedName name="FDD_89_4" hidden="1">"A32142"</definedName>
    <definedName name="FDD_89_5" hidden="1">"A32508"</definedName>
    <definedName name="FDD_89_6" hidden="1">"A32873"</definedName>
    <definedName name="FDD_89_7" hidden="1">"A33238"</definedName>
    <definedName name="FDD_89_8" hidden="1">"A33603"</definedName>
    <definedName name="FDD_89_9" hidden="1">"A33969"</definedName>
    <definedName name="FDD_9_0" hidden="1">"A25569"</definedName>
    <definedName name="FDD_90_0" hidden="1">"A30681"</definedName>
    <definedName name="FDD_90_1" hidden="1">"A31047"</definedName>
    <definedName name="FDD_90_10" hidden="1">"A34334"</definedName>
    <definedName name="FDD_90_11" hidden="1">"A34699"</definedName>
    <definedName name="FDD_90_12" hidden="1">"A35064"</definedName>
    <definedName name="FDD_90_13" hidden="1">"A35430"</definedName>
    <definedName name="FDD_90_14" hidden="1">"A35795"</definedName>
    <definedName name="FDD_90_2" hidden="1">"A31412"</definedName>
    <definedName name="FDD_90_3" hidden="1">"A31777"</definedName>
    <definedName name="FDD_90_4" hidden="1">"A32142"</definedName>
    <definedName name="FDD_90_5" hidden="1">"A32508"</definedName>
    <definedName name="FDD_90_6" hidden="1">"A32873"</definedName>
    <definedName name="FDD_90_7" hidden="1">"A33238"</definedName>
    <definedName name="FDD_90_8" hidden="1">"A33603"</definedName>
    <definedName name="FDD_90_9" hidden="1">"A33969"</definedName>
    <definedName name="FDD_91_0" hidden="1">"A30681"</definedName>
    <definedName name="FDD_91_1" hidden="1">"A31047"</definedName>
    <definedName name="FDD_91_10" hidden="1">"A34334"</definedName>
    <definedName name="FDD_91_11" hidden="1">"A34699"</definedName>
    <definedName name="FDD_91_12" hidden="1">"A35064"</definedName>
    <definedName name="FDD_91_13" hidden="1">"A35430"</definedName>
    <definedName name="FDD_91_14" hidden="1">"A35795"</definedName>
    <definedName name="FDD_91_2" hidden="1">"A31412"</definedName>
    <definedName name="FDD_91_3" hidden="1">"A31777"</definedName>
    <definedName name="FDD_91_4" hidden="1">"A32142"</definedName>
    <definedName name="FDD_91_5" hidden="1">"A32508"</definedName>
    <definedName name="FDD_91_6" hidden="1">"A32873"</definedName>
    <definedName name="FDD_91_7" hidden="1">"A33238"</definedName>
    <definedName name="FDD_91_8" hidden="1">"A33603"</definedName>
    <definedName name="FDD_91_9" hidden="1">"A33969"</definedName>
    <definedName name="FDD_92_0" hidden="1">"A30681"</definedName>
    <definedName name="FDD_92_1" hidden="1">"A31047"</definedName>
    <definedName name="FDD_92_10" hidden="1">"A34334"</definedName>
    <definedName name="FDD_92_11" hidden="1">"A34699"</definedName>
    <definedName name="FDD_92_12" hidden="1">"A35064"</definedName>
    <definedName name="FDD_92_13" hidden="1">"A35430"</definedName>
    <definedName name="FDD_92_14" hidden="1">"A35795"</definedName>
    <definedName name="FDD_92_2" hidden="1">"A31412"</definedName>
    <definedName name="FDD_92_3" hidden="1">"A31777"</definedName>
    <definedName name="FDD_92_4" hidden="1">"A32142"</definedName>
    <definedName name="FDD_92_5" hidden="1">"A32508"</definedName>
    <definedName name="FDD_92_6" hidden="1">"A32873"</definedName>
    <definedName name="FDD_92_7" hidden="1">"A33238"</definedName>
    <definedName name="FDD_92_8" hidden="1">"A33603"</definedName>
    <definedName name="FDD_92_9" hidden="1">"A33969"</definedName>
    <definedName name="FDD_93_0" hidden="1">"A30681"</definedName>
    <definedName name="FDD_93_1" hidden="1">"A31047"</definedName>
    <definedName name="FDD_93_10" hidden="1">"A34334"</definedName>
    <definedName name="FDD_93_11" hidden="1">"A34699"</definedName>
    <definedName name="FDD_93_12" hidden="1">"A35064"</definedName>
    <definedName name="FDD_93_13" hidden="1">"A35430"</definedName>
    <definedName name="FDD_93_14" hidden="1">"A35795"</definedName>
    <definedName name="FDD_93_2" hidden="1">"A31412"</definedName>
    <definedName name="FDD_93_3" hidden="1">"A31777"</definedName>
    <definedName name="FDD_93_4" hidden="1">"A32142"</definedName>
    <definedName name="FDD_93_5" hidden="1">"A32508"</definedName>
    <definedName name="FDD_93_6" hidden="1">"A32873"</definedName>
    <definedName name="FDD_93_7" hidden="1">"A33238"</definedName>
    <definedName name="FDD_93_8" hidden="1">"A33603"</definedName>
    <definedName name="FDD_93_9" hidden="1">"A33969"</definedName>
    <definedName name="FDD_94_0" hidden="1">"A30681"</definedName>
    <definedName name="FDD_94_1" hidden="1">"A31047"</definedName>
    <definedName name="FDD_94_10" hidden="1">"A34334"</definedName>
    <definedName name="FDD_94_11" hidden="1">"A34699"</definedName>
    <definedName name="FDD_94_12" hidden="1">"A35064"</definedName>
    <definedName name="FDD_94_13" hidden="1">"A35430"</definedName>
    <definedName name="FDD_94_14" hidden="1">"A35795"</definedName>
    <definedName name="FDD_94_2" hidden="1">"A31412"</definedName>
    <definedName name="FDD_94_3" hidden="1">"A31777"</definedName>
    <definedName name="FDD_94_4" hidden="1">"A32142"</definedName>
    <definedName name="FDD_94_5" hidden="1">"A32508"</definedName>
    <definedName name="FDD_94_6" hidden="1">"A32873"</definedName>
    <definedName name="FDD_94_7" hidden="1">"A33238"</definedName>
    <definedName name="FDD_94_8" hidden="1">"A33603"</definedName>
    <definedName name="FDD_94_9" hidden="1">"A33969"</definedName>
    <definedName name="FDD_95_0" hidden="1">"A30681"</definedName>
    <definedName name="FDD_95_1" hidden="1">"A31047"</definedName>
    <definedName name="FDD_95_10" hidden="1">"A34334"</definedName>
    <definedName name="FDD_95_11" hidden="1">"A34699"</definedName>
    <definedName name="FDD_95_12" hidden="1">"A35064"</definedName>
    <definedName name="FDD_95_13" hidden="1">"A35430"</definedName>
    <definedName name="FDD_95_14" hidden="1">"A35795"</definedName>
    <definedName name="FDD_95_2" hidden="1">"A31412"</definedName>
    <definedName name="FDD_95_3" hidden="1">"A31777"</definedName>
    <definedName name="FDD_95_4" hidden="1">"A32142"</definedName>
    <definedName name="FDD_95_5" hidden="1">"A32508"</definedName>
    <definedName name="FDD_95_6" hidden="1">"A32873"</definedName>
    <definedName name="FDD_95_7" hidden="1">"A33238"</definedName>
    <definedName name="FDD_95_8" hidden="1">"A33603"</definedName>
    <definedName name="FDD_95_9" hidden="1">"A33969"</definedName>
    <definedName name="FDD_96_0" hidden="1">"U30681"</definedName>
    <definedName name="FDD_96_1" hidden="1">"A31047"</definedName>
    <definedName name="FDD_96_10" hidden="1">"A34334"</definedName>
    <definedName name="FDD_96_11" hidden="1">"A34699"</definedName>
    <definedName name="FDD_96_12" hidden="1">"A35064"</definedName>
    <definedName name="FDD_96_13" hidden="1">"A35430"</definedName>
    <definedName name="FDD_96_14" hidden="1">"A35795"</definedName>
    <definedName name="FDD_96_2" hidden="1">"A31412"</definedName>
    <definedName name="FDD_96_3" hidden="1">"A31777"</definedName>
    <definedName name="FDD_96_4" hidden="1">"A32142"</definedName>
    <definedName name="FDD_96_5" hidden="1">"A32508"</definedName>
    <definedName name="FDD_96_6" hidden="1">"A32873"</definedName>
    <definedName name="FDD_96_7" hidden="1">"A33238"</definedName>
    <definedName name="FDD_96_8" hidden="1">"A33603"</definedName>
    <definedName name="FDD_96_9" hidden="1">"A33969"</definedName>
    <definedName name="FDD_97_0" hidden="1">"U30681"</definedName>
    <definedName name="FDD_97_1" hidden="1">"A31047"</definedName>
    <definedName name="FDD_97_10" hidden="1">"A34334"</definedName>
    <definedName name="FDD_97_11" hidden="1">"A34699"</definedName>
    <definedName name="FDD_97_12" hidden="1">"A35064"</definedName>
    <definedName name="FDD_97_13" hidden="1">"A35430"</definedName>
    <definedName name="FDD_97_14" hidden="1">"A35795"</definedName>
    <definedName name="FDD_97_2" hidden="1">"A31412"</definedName>
    <definedName name="FDD_97_3" hidden="1">"A31777"</definedName>
    <definedName name="FDD_97_4" hidden="1">"A32142"</definedName>
    <definedName name="FDD_97_5" hidden="1">"A32508"</definedName>
    <definedName name="FDD_97_6" hidden="1">"A32873"</definedName>
    <definedName name="FDD_97_7" hidden="1">"A33238"</definedName>
    <definedName name="FDD_97_8" hidden="1">"A33603"</definedName>
    <definedName name="FDD_97_9" hidden="1">"A33969"</definedName>
    <definedName name="FDD_98_0" hidden="1">"U30681"</definedName>
    <definedName name="FDD_98_1" hidden="1">"A31047"</definedName>
    <definedName name="FDD_98_10" hidden="1">"A34334"</definedName>
    <definedName name="FDD_98_11" hidden="1">"A34699"</definedName>
    <definedName name="FDD_98_12" hidden="1">"A35064"</definedName>
    <definedName name="FDD_98_13" hidden="1">"A35430"</definedName>
    <definedName name="FDD_98_14" hidden="1">"A35795"</definedName>
    <definedName name="FDD_98_2" hidden="1">"A31412"</definedName>
    <definedName name="FDD_98_3" hidden="1">"A31777"</definedName>
    <definedName name="FDD_98_4" hidden="1">"A32142"</definedName>
    <definedName name="FDD_98_5" hidden="1">"A32508"</definedName>
    <definedName name="FDD_98_6" hidden="1">"A32873"</definedName>
    <definedName name="FDD_98_7" hidden="1">"A33238"</definedName>
    <definedName name="FDD_98_8" hidden="1">"A33603"</definedName>
    <definedName name="FDD_98_9" hidden="1">"A33969"</definedName>
    <definedName name="FDD_99_0" hidden="1">"U30681"</definedName>
    <definedName name="FDD_99_1" hidden="1">"A31047"</definedName>
    <definedName name="FDD_99_10" hidden="1">"A34334"</definedName>
    <definedName name="FDD_99_11" hidden="1">"A34699"</definedName>
    <definedName name="FDD_99_12" hidden="1">"A35064"</definedName>
    <definedName name="FDD_99_13" hidden="1">"A35430"</definedName>
    <definedName name="FDD_99_14" hidden="1">"A35795"</definedName>
    <definedName name="FDD_99_2" hidden="1">"A31412"</definedName>
    <definedName name="FDD_99_3" hidden="1">"A31777"</definedName>
    <definedName name="FDD_99_4" hidden="1">"A32142"</definedName>
    <definedName name="FDD_99_5" hidden="1">"A32508"</definedName>
    <definedName name="FDD_99_6" hidden="1">"A32873"</definedName>
    <definedName name="FDD_99_7" hidden="1">"A33238"</definedName>
    <definedName name="FDD_99_8" hidden="1">"A33603"</definedName>
    <definedName name="FDD_99_9" hidden="1">"A33969"</definedName>
    <definedName name="fgsg" hidden="1">{"consolidated",#N/A,FALSE,"Sheet1";"cms",#N/A,FALSE,"Sheet1";"fse",#N/A,FALSE,"Sheet1"}</definedName>
    <definedName name="file14" hidden="1">{#VALUE!,#N/A,FALSE,0}</definedName>
    <definedName name="file19" hidden="1">{0,0,0,0;0,0,0,0;0,0,0,0}</definedName>
    <definedName name="FootnoteDefaults" hidden="1">{1;TRUE;5;"Times New Roman";FALSE;FALSE;TRUE;18;8;-4.5;-4;1;2;2;1;TRUE;5}</definedName>
    <definedName name="fsfs" hidden="1">{#N/A,#N/A,FALSE,"Calc";#N/A,#N/A,FALSE,"Sensitivity";#N/A,#N/A,FALSE,"LT Earn.Dil.";#N/A,#N/A,FALSE,"Dil. AVP"}</definedName>
    <definedName name="ghost" hidden="1">{#N/A,#N/A,FALSE,"Rev";#N/A,#N/A,FALSE,"Summ"}</definedName>
    <definedName name="HTML_CodePage" hidden="1">1252</definedName>
    <definedName name="HTML_Control" hidden="1">{"'Sheet1'!$E$23"}</definedName>
    <definedName name="HTML_Description" hidden="1">""</definedName>
    <definedName name="HTML_Email" hidden="1">""</definedName>
    <definedName name="HTML_Header" hidden="1">"Sheet1"</definedName>
    <definedName name="HTML_LastUpdate" hidden="1">"8/10/99"</definedName>
    <definedName name="HTML_LineAfter" hidden="1">FALSE</definedName>
    <definedName name="HTML_LineBefore" hidden="1">FALSE</definedName>
    <definedName name="HTML_Name" hidden="1">"Brian Balthazor"</definedName>
    <definedName name="HTML_OBDlg2" hidden="1">TRUE</definedName>
    <definedName name="HTML_OBDlg3" hidden="1">TRUE</definedName>
    <definedName name="HTML_OBDlg4" hidden="1">TRUE</definedName>
    <definedName name="HTML_OS" hidden="1">1</definedName>
    <definedName name="HTML_PathFileMac" hidden="1">"Macintosh HD:Desktop Folder:MyHTML.html"</definedName>
    <definedName name="HTML_PathTemplateMac" hidden="1">"Macintosh HD:Desktop Folder:HTMLTemp.htm"</definedName>
    <definedName name="HTML_Title" hidden="1">"E/E TRACKING CHART"</definedName>
    <definedName name="iiiii" hidden="1">{#N/A,#N/A,FALSE,"Calc";#N/A,#N/A,FALSE,"Sensitivity";#N/A,#N/A,FALSE,"LT Earn.Dil.";#N/A,#N/A,FALSE,"Dil. AVP"}</definedName>
    <definedName name="INFO_BI_EXE_NAME" hidden="1">"BICORE.EXE"</definedName>
    <definedName name="INFO_EXE_SERVER_PATH" hidden="1">"C:\Program Files (x86)\Sage Evolution\BIC\BICORE.EXE"</definedName>
    <definedName name="INFO_EXE_SERVER_PATH_1" hidden="1">"C:\Program Files (x86)\Sage Evolution\BIC\BICORE.EXE"</definedName>
    <definedName name="INFO_INSTANCE_ID" hidden="1">"0"</definedName>
    <definedName name="INFO_INSTANCE_NAME" hidden="1">"Test Income statement by cost centre_20170508_06_12_56_1212.xls"</definedName>
    <definedName name="INFO_INSTANCE_NAME_1" hidden="1">"KV - Custome Income statemeent by segment_20170530_10_08_34_088.xls"</definedName>
    <definedName name="INFO_REPORT_CODE" hidden="1">""</definedName>
    <definedName name="INFO_REPORT_CODE_1" hidden="1">""</definedName>
    <definedName name="INFO_REPORT_ID" hidden="1">"2"</definedName>
    <definedName name="INFO_REPORT_NAAM" hidden="1">"Financial Reports 2-0 (MAS 500)"</definedName>
    <definedName name="INFO_REPORT_NAME" hidden="1">"Test Income statement by cost centre"</definedName>
    <definedName name="INFO_REPORT_NAME_1" hidden="1">"KV - Custome Income statemeent by segment"</definedName>
    <definedName name="INFO_RUN_USER" hidden="1">""</definedName>
    <definedName name="INFO_RUN_WORKSTATION" hidden="1">"LM-NB"</definedName>
    <definedName name="INFO_RUN_WORKSTATION_1" hidden="1">"ALLJHBLPTP92"</definedName>
    <definedName name="IQ_ADDIN" hidden="1">"AUTO"</definedName>
    <definedName name="IQ_AE_BR" hidden="1">"c10"</definedName>
    <definedName name="IQ_AP_BR" hidden="1">"c34"</definedName>
    <definedName name="IQ_AR_BR" hidden="1">"c41"</definedName>
    <definedName name="IQ_ASSET_WRITEDOWN_BR" hidden="1">"c50"</definedName>
    <definedName name="IQ_ASSET_WRITEDOWN_CF_BR" hidden="1">"c53"</definedName>
    <definedName name="IQ_AVG_BROKER_REC_NO_REUT" hidden="1">"c5315"</definedName>
    <definedName name="IQ_AVG_BROKER_REC_REUT" hidden="1">"c3630"</definedName>
    <definedName name="IQ_AVG_PRICE_TARGET" hidden="1">"c82"</definedName>
    <definedName name="IQ_BONDRATING_FITCH" hidden="1">"IQ_BONDRATING_FITCH"</definedName>
    <definedName name="IQ_BONDRATING_SP" hidden="1">"IQ_BONDRATING_SP"</definedName>
    <definedName name="IQ_BOOK_VALUE" hidden="1">"IQ_BOOK_VALUE"</definedName>
    <definedName name="IQ_CAPEX_BR" hidden="1">"c111"</definedName>
    <definedName name="IQ_CH">110000</definedName>
    <definedName name="IQ_CHANGE_AP_BR" hidden="1">"c135"</definedName>
    <definedName name="IQ_CHANGE_AR_BR" hidden="1">"c142"</definedName>
    <definedName name="IQ_CHANGE_OTHER_NET_OPER_ASSETS_BR" hidden="1">"c3595"</definedName>
    <definedName name="IQ_CHANGE_OTHER_WORK_CAP_BR" hidden="1">"c154"</definedName>
    <definedName name="IQ_COMMERCIAL_DOM" hidden="1">"c177"</definedName>
    <definedName name="IQ_COMMERCIAL_MORT" hidden="1">"c179"</definedName>
    <definedName name="IQ_COMMON_APIC_BR" hidden="1">"c185"</definedName>
    <definedName name="IQ_COMMON_ISSUED_BR" hidden="1">"c199"</definedName>
    <definedName name="IQ_COMMON_REP_BR" hidden="1">"c208"</definedName>
    <definedName name="IQ_CONV_RATE" hidden="1">"c2192"</definedName>
    <definedName name="IQ_CQ">5000</definedName>
    <definedName name="IQ_CURRENCY_GAIN_BR" hidden="1">"c236"</definedName>
    <definedName name="IQ_CURRENT_PORT_DEBT_BR" hidden="1">"c1567"</definedName>
    <definedName name="IQ_CY">10000</definedName>
    <definedName name="IQ_DA_BR" hidden="1">"c248"</definedName>
    <definedName name="IQ_DA_CF_BR" hidden="1">"c251"</definedName>
    <definedName name="IQ_DA_SUPPL_BR" hidden="1">"c260"</definedName>
    <definedName name="IQ_DA_SUPPL_CF_BR" hidden="1">"c263"</definedName>
    <definedName name="IQ_DAILY">500000</definedName>
    <definedName name="IQ_DEF_AMORT_BR" hidden="1">"c278"</definedName>
    <definedName name="IQ_DEF_CHARGES_BR" hidden="1">"c288"</definedName>
    <definedName name="IQ_DEF_CHARGES_LT_BR" hidden="1">"c294"</definedName>
    <definedName name="IQ_DEF_TAX_ASSET_LT_BR" hidden="1">"c304"</definedName>
    <definedName name="IQ_DEF_TAX_LIAB_LT_BR" hidden="1">"c315"</definedName>
    <definedName name="IQ_DNTM" hidden="1">700000</definedName>
    <definedName name="IQ_EARNINGS_ANNOUNCE_DATE_REUT" hidden="1">"c5314"</definedName>
    <definedName name="IQ_EBIT_10K" hidden="1">"EBIT_10K"</definedName>
    <definedName name="IQ_EBIT_10Q" hidden="1">"EBIT_10Q"</definedName>
    <definedName name="IQ_EBIT_10Q1" hidden="1">"EBIT_10Q1"</definedName>
    <definedName name="IQ_EBIT_GROWTH_1" hidden="1">"IQ_EBIT_GROWTH_1"</definedName>
    <definedName name="IQ_EBIT_GROWTH_2" hidden="1">"IQ_EBIT_GROWTH_2"</definedName>
    <definedName name="IQ_EBITDA_10K" hidden="1">"EBITDA_10K"</definedName>
    <definedName name="IQ_EBITDA_10Q" hidden="1">"EBITDA_10Q"</definedName>
    <definedName name="IQ_EBITDA_10Q1" hidden="1">"EBITDA_10Q1"</definedName>
    <definedName name="IQ_EBITDA_EST_REUT" hidden="1">"c3640"</definedName>
    <definedName name="IQ_EBITDA_GROWTH_1" hidden="1">"IQ_EBITDA_GROWTH_1"</definedName>
    <definedName name="IQ_EBITDA_GROWTH_2" hidden="1">"IQ_EBITDA_GROWTH_2"</definedName>
    <definedName name="IQ_EBITDA_HIGH_EST_REUT" hidden="1">"c3642"</definedName>
    <definedName name="IQ_EBITDA_LOW_EST_REUT" hidden="1">"c3643"</definedName>
    <definedName name="IQ_EBITDA_MEDIAN_EST_REUT" hidden="1">"c3641"</definedName>
    <definedName name="IQ_EBITDA_NUM_EST_REUT" hidden="1">"c3644"</definedName>
    <definedName name="IQ_EBITDA_STDDEV_EST_REUT" hidden="1">"c3645"</definedName>
    <definedName name="IQ_EBT_BR" hidden="1">"c378"</definedName>
    <definedName name="IQ_EBT_EXCL_BR" hidden="1">"c381"</definedName>
    <definedName name="IQ_EPS" hidden="1">"IQ_EPS"</definedName>
    <definedName name="IQ_EPS_10K" hidden="1">"EPS_10K"</definedName>
    <definedName name="IQ_EPS_10Q" hidden="1">"EPS_10Q"</definedName>
    <definedName name="IQ_EPS_10Q1" hidden="1">"EPS_10Q1"</definedName>
    <definedName name="IQ_EPS_EST_1" hidden="1">"IQ_EPS_EST_1"</definedName>
    <definedName name="IQ_EPS_EST_REUT" hidden="1">"c5453"</definedName>
    <definedName name="IQ_EPS_ESTIMATE" hidden="1">"IQ_EPS_EST"</definedName>
    <definedName name="IQ_EPS_GW_EST_REUT" hidden="1">"c5389"</definedName>
    <definedName name="IQ_EPS_GW_HIGH_EST_REUT" hidden="1">"c5391"</definedName>
    <definedName name="IQ_EPS_GW_LOW_EST_REUT" hidden="1">"c5392"</definedName>
    <definedName name="IQ_EPS_GW_MEDIAN_EST_REUT" hidden="1">"c5390"</definedName>
    <definedName name="IQ_EPS_GW_NUM_EST_REUT" hidden="1">"c5393"</definedName>
    <definedName name="IQ_EPS_GW_STDDEV_EST_REUT" hidden="1">"c5394"</definedName>
    <definedName name="IQ_EPS_HIGH_EST_REUT" hidden="1">"c5454"</definedName>
    <definedName name="IQ_EPS_LOW_EST_REUT" hidden="1">"c5455"</definedName>
    <definedName name="IQ_EPS_MEDIAN_EST_REUT" hidden="1">"c5456"</definedName>
    <definedName name="IQ_EPS_NORM_EST_REUT" hidden="1">"c5326"</definedName>
    <definedName name="IQ_EPS_NORM_HIGH_EST_REUT" hidden="1">"c5328"</definedName>
    <definedName name="IQ_EPS_NORM_LOW_EST_REUT" hidden="1">"c5329"</definedName>
    <definedName name="IQ_EPS_NORM_MEDIAN_EST_REUT" hidden="1">"c5327"</definedName>
    <definedName name="IQ_EPS_NORM_NUM_EST_REUT" hidden="1">"c5330"</definedName>
    <definedName name="IQ_EPS_NORM_STDDEV_EST_REUT" hidden="1">"c5331"</definedName>
    <definedName name="IQ_EPS_NUM_EST_REUT" hidden="1">"c5451"</definedName>
    <definedName name="IQ_EPS_REPORTED_EST_REUT" hidden="1">"c5396"</definedName>
    <definedName name="IQ_EPS_REPORTED_HIGH_EST_REUT" hidden="1">"c5398"</definedName>
    <definedName name="IQ_EPS_REPORTED_LOW_EST_REUT" hidden="1">"c5399"</definedName>
    <definedName name="IQ_EPS_REPORTED_MEDIAN_EST_REUT" hidden="1">"c5397"</definedName>
    <definedName name="IQ_EPS_REPORTED_NUM_EST_REUT" hidden="1">"c5400"</definedName>
    <definedName name="IQ_EPS_REPORTED_STDDEV_EST_REUT" hidden="1">"c5401"</definedName>
    <definedName name="IQ_EPS_STDDEV_EST_REUT" hidden="1">"c5452"</definedName>
    <definedName name="IQ_EST_ACT_EPS_GW_REUT" hidden="1">"c5395"</definedName>
    <definedName name="IQ_EST_ACT_EPS_NORM_REUT" hidden="1">"c5332"</definedName>
    <definedName name="IQ_EST_ACT_EPS_REPORTED_REUT" hidden="1">"c5402"</definedName>
    <definedName name="IQ_EST_CURRENCY_REUT" hidden="1">"c5437"</definedName>
    <definedName name="IQ_EST_DATE_REUT" hidden="1">"c5438"</definedName>
    <definedName name="IQ_EST_EPS_GROWTH_1YR_REUT" hidden="1">"c3646"</definedName>
    <definedName name="IQ_EST_EPS_GROWTH_5YR_REUT" hidden="1">"c3633"</definedName>
    <definedName name="IQ_EST_EPS_GROWTH_Q_1YR_REUT" hidden="1">"c5410"</definedName>
    <definedName name="IQ_EST_EPS_GW_DIFF_REUT" hidden="1">"c5429"</definedName>
    <definedName name="IQ_EST_EPS_GW_SURPRISE_PERCENT_REUT" hidden="1">"c5430"</definedName>
    <definedName name="IQ_EST_EPS_NORM_DIFF_REUT" hidden="1">"c5411"</definedName>
    <definedName name="IQ_EST_EPS_NORM_SURPRISE_PERCENT_REUT" hidden="1">"c5412"</definedName>
    <definedName name="IQ_EST_EPS_REPORT_DIFF_REUT" hidden="1">"c5431"</definedName>
    <definedName name="IQ_EST_EPS_REPORT_SURPRISE_PERCENT_REUT" hidden="1">"c5432"</definedName>
    <definedName name="IQ_EV_OVER_REVENUE_EST" hidden="1">"IQ_EV_OVER_REVENUE_EST"</definedName>
    <definedName name="IQ_EV_OVER_REVENUE_EST_1" hidden="1">"IQ_EV_OVER_REVENUE_EST_1"</definedName>
    <definedName name="IQ_EXTRA_ACC_ITEMS_BR" hidden="1">"c412"</definedName>
    <definedName name="IQ_FH">100000</definedName>
    <definedName name="IQ_FIN_DIV_CURRENT_PORT_DEBT_TOTAL" hidden="1">"c5524"</definedName>
    <definedName name="IQ_FIN_DIV_CURRENT_PORT_LEASES_TOTAL" hidden="1">"c5523"</definedName>
    <definedName name="IQ_FIN_DIV_DEBT_LT_TOTAL" hidden="1">"c5526"</definedName>
    <definedName name="IQ_FIN_DIV_LEASES_LT_TOTAL" hidden="1">"c5525"</definedName>
    <definedName name="IQ_FIN_DIV_NOTES_PAY_TOTAL" hidden="1">"c5522"</definedName>
    <definedName name="IQ_FQ">500</definedName>
    <definedName name="IQ_FWD" hidden="1">"LTM"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WD_Q3" hidden="1">"504"</definedName>
    <definedName name="IQ_FWD_Q4" hidden="1">"505"</definedName>
    <definedName name="IQ_FWD_Q5" hidden="1">"506"</definedName>
    <definedName name="IQ_FWD_Q6" hidden="1">"507"</definedName>
    <definedName name="IQ_FWD_Q7" hidden="1">"508"</definedName>
    <definedName name="IQ_FWD1" hidden="1">"LTM"</definedName>
    <definedName name="IQ_FY">1000</definedName>
    <definedName name="IQ_FY_DATE" hidden="1">"FY_DATE"</definedName>
    <definedName name="IQ_GAIN_ASSETS_BR" hidden="1">"c454"</definedName>
    <definedName name="IQ_GAIN_ASSETS_CF_BR" hidden="1">"c457"</definedName>
    <definedName name="IQ_GAIN_ASSETS_REV_BR" hidden="1">"c474"</definedName>
    <definedName name="IQ_GAIN_INVEST_BR" hidden="1">"c1464"</definedName>
    <definedName name="IQ_GAIN_INVEST_CF_BR" hidden="1">"c482"</definedName>
    <definedName name="IQ_GAIN_INVEST_REV_BR" hidden="1">"c496"</definedName>
    <definedName name="IQ_GW_AMORT_BR" hidden="1">"c532"</definedName>
    <definedName name="IQ_GW_INTAN_AMORT_BR" hidden="1">"c1470"</definedName>
    <definedName name="IQ_GW_INTAN_AMORT_CF_BR" hidden="1">"c1473"</definedName>
    <definedName name="IQ_HIGH_TARGET_PRICE_REUT" hidden="1">"c5317"</definedName>
    <definedName name="IQ_INC_EQUITY_BR" hidden="1">"c550"</definedName>
    <definedName name="IQ_INS_SETTLE_BR" hidden="1">"c572"</definedName>
    <definedName name="IQ_INT_EXP_BR" hidden="1">"c586"</definedName>
    <definedName name="IQ_INT_INC_BR" hidden="1">"c593"</definedName>
    <definedName name="IQ_INTEREST_INC_10K" hidden="1">"INTEREST_INC_10K"</definedName>
    <definedName name="IQ_INTEREST_INC_10Q" hidden="1">"INTEREST_INC_10Q"</definedName>
    <definedName name="IQ_INTEREST_INC_10Q1" hidden="1">"INTEREST_INC_10Q1"</definedName>
    <definedName name="IQ_INVEST_LOANS_CF_BR" hidden="1">"c630"</definedName>
    <definedName name="IQ_INVEST_SECURITY_CF_BR" hidden="1">"c639"</definedName>
    <definedName name="IQ_LAST_EBIT_MARGIN" hidden="1">"IQ_LAST_EBIT_MARGIN"</definedName>
    <definedName name="IQ_LAST_EBITDA_MARGIN" hidden="1">"IQ_LAST_EBITDA_MARGIN"</definedName>
    <definedName name="IQ_LAST_GROSS_MARGIN" hidden="1">"IQ_LAST_GROSS_MARGIN"</definedName>
    <definedName name="IQ_LAST_NET_INC_MARGIN" hidden="1">"IQ_LAST_NET_INC_MARGIN"</definedName>
    <definedName name="IQ_LATEST" hidden="1">"1"</definedName>
    <definedName name="IQ_LATESTK" hidden="1">1000</definedName>
    <definedName name="IQ_LATESTKFR" hidden="1">"50"</definedName>
    <definedName name="IQ_LATESTQ" hidden="1">500</definedName>
    <definedName name="IQ_LATESTQFR" hidden="1">"100"</definedName>
    <definedName name="IQ_LEGAL_SETTLE_BR" hidden="1">"c649"</definedName>
    <definedName name="IQ_LOANS_CF_BR" hidden="1">"c661"</definedName>
    <definedName name="IQ_LOW_TARGET_PRICE_REUT" hidden="1">"c5318"</definedName>
    <definedName name="IQ_LT_DEBT_BR" hidden="1">"c676"</definedName>
    <definedName name="IQ_LT_DEBT_ISSUED_BR" hidden="1">"c683"</definedName>
    <definedName name="IQ_LT_DEBT_REPAID_BR" hidden="1">"c691"</definedName>
    <definedName name="IQ_LT_INVEST_BR" hidden="1">"c698"</definedName>
    <definedName name="IQ_LTM">2000</definedName>
    <definedName name="IQ_LTM_DATE" hidden="1">"LTM_DATE"</definedName>
    <definedName name="IQ_LTMMONTH" hidden="1">120000</definedName>
    <definedName name="IQ_MEDIAN_TARGET_PRICE_REUT" hidden="1">"c5316"</definedName>
    <definedName name="IQ_MERGER_BR" hidden="1">"c715"</definedName>
    <definedName name="IQ_MERGER_RESTRUCTURE_BR" hidden="1">"c721"</definedName>
    <definedName name="IQ_MINORITY_INTEREST_BR" hidden="1">"c729"</definedName>
    <definedName name="IQ_MKTCAP_TOTAL_REV_FWD_REUT" hidden="1">"c4048"</definedName>
    <definedName name="IQ_MONTH">15000</definedName>
    <definedName name="IQ_MTD" hidden="1">800000</definedName>
    <definedName name="IQ_NAMES_REVISION_DATE_" hidden="1">43661.4464814815</definedName>
    <definedName name="IQ_NAV_ACT_OR_EST" hidden="1">"c2225"</definedName>
    <definedName name="IQ_NET_DEBT_ISSUED_BR" hidden="1">"c753"</definedName>
    <definedName name="IQ_NET_INC_10K" hidden="1">"NET_INC_10K"</definedName>
    <definedName name="IQ_NET_INC_10Q" hidden="1">"NET_INC_10Q"</definedName>
    <definedName name="IQ_NET_INC_10Q1" hidden="1">"NET_INC_10Q1"</definedName>
    <definedName name="IQ_NET_INC_GROWTH_1" hidden="1">"IQ_NET_INC_GROWTH_1"</definedName>
    <definedName name="IQ_NET_INC_GROWTH_2" hidden="1">"IQ_NET_INC_GROWTH_2"</definedName>
    <definedName name="IQ_NET_INT_INC_BR" hidden="1">"c765"</definedName>
    <definedName name="IQ_NTM">6000</definedName>
    <definedName name="IQ_OG_TOTAL_OIL_PRODUCTON" hidden="1">"c2059"</definedName>
    <definedName name="IQ_OPER_INC_BR" hidden="1">"c850"</definedName>
    <definedName name="IQ_OTHER_AMORT_BR" hidden="1">"c5566"</definedName>
    <definedName name="IQ_OTHER_ASSETS_BR" hidden="1">"c862"</definedName>
    <definedName name="IQ_OTHER_CA_SUPPL_BR" hidden="1">"c871"</definedName>
    <definedName name="IQ_OTHER_CL_SUPPL_BR" hidden="1">"c880"</definedName>
    <definedName name="IQ_OTHER_EQUITY_BR" hidden="1">"c888"</definedName>
    <definedName name="IQ_OTHER_FINANCE_ACT_BR" hidden="1">"c895"</definedName>
    <definedName name="IQ_OTHER_FINANCE_ACT_SUPPL_BR" hidden="1">"c901"</definedName>
    <definedName name="IQ_OTHER_INTAN_BR" hidden="1">"c909"</definedName>
    <definedName name="IQ_OTHER_INVEST_ACT_BR" hidden="1">"c918"</definedName>
    <definedName name="IQ_OTHER_INVEST_ACT_SUPPL_BR" hidden="1">"c924"</definedName>
    <definedName name="IQ_OTHER_LIAB_BR" hidden="1">"c932"</definedName>
    <definedName name="IQ_OTHER_LIAB_LT_BR" hidden="1">"c937"</definedName>
    <definedName name="IQ_OTHER_LT_ASSETS_BR" hidden="1">"c948"</definedName>
    <definedName name="IQ_OTHER_NON_OPER_EXP_BR" hidden="1">"c957"</definedName>
    <definedName name="IQ_OTHER_NON_OPER_EXP_SUPPL_BR" hidden="1">"c962"</definedName>
    <definedName name="IQ_OTHER_OPER_ACT_BR" hidden="1">"c985"</definedName>
    <definedName name="IQ_OTHER_OPER_BR" hidden="1">"c990"</definedName>
    <definedName name="IQ_OTHER_OPER_SUPPL_BR" hidden="1">"c994"</definedName>
    <definedName name="IQ_OTHER_OPER_TOT_BR" hidden="1">"c1000"</definedName>
    <definedName name="IQ_OTHER_REV_BR" hidden="1">"c1011"</definedName>
    <definedName name="IQ_OTHER_REV_SUPPL_BR" hidden="1">"c1016"</definedName>
    <definedName name="IQ_OTHER_UNUSUAL_BR" hidden="1">"c1561"</definedName>
    <definedName name="IQ_OTHER_UNUSUAL_SUPPL_BR" hidden="1">"c1496"</definedName>
    <definedName name="IQ_PC_WRITTEN" hidden="1">"c1027"</definedName>
    <definedName name="IQ_PE_EXCL_FWD_REUT" hidden="1">"c4049"</definedName>
    <definedName name="IQ_PEG_FWD_REUT" hidden="1">"c4052"</definedName>
    <definedName name="IQ_PERCENT_CHANGE_EST_FFO_12MONTHS" hidden="1">"c1828"</definedName>
    <definedName name="IQ_PERCENT_CHANGE_EST_FFO_18MONTHS" hidden="1">"c1829"</definedName>
    <definedName name="IQ_PERCENT_CHANGE_EST_FFO_3MONTHS" hidden="1">"c1825"</definedName>
    <definedName name="IQ_PERCENT_CHANGE_EST_FFO_6MONTHS" hidden="1">"c1826"</definedName>
    <definedName name="IQ_PERCENT_CHANGE_EST_FFO_9MONTHS" hidden="1">"c1827"</definedName>
    <definedName name="IQ_PERCENT_CHANGE_EST_FFO_DAY" hidden="1">"c1822"</definedName>
    <definedName name="IQ_PERCENT_CHANGE_EST_FFO_MONTH" hidden="1">"c1824"</definedName>
    <definedName name="IQ_PERCENT_CHANGE_EST_FFO_WEEK" hidden="1">"c1823"</definedName>
    <definedName name="IQ_PREF_ISSUED_BR" hidden="1">"c1047"</definedName>
    <definedName name="IQ_PREF_OTHER_BR" hidden="1">"c1055"</definedName>
    <definedName name="IQ_PREF_REP_BR" hidden="1">"c1062"</definedName>
    <definedName name="IQ_PRETAX_INC" hidden="1">"IQ_PRETAX_INC"</definedName>
    <definedName name="IQ_PRETAX_INC_10K" hidden="1">"PRETAX_INC_10K"</definedName>
    <definedName name="IQ_PRETAX_INC_10Q" hidden="1">"PRETAX_INC_10Q"</definedName>
    <definedName name="IQ_PRETAX_INC_10Q1" hidden="1">"PRETAX_INC_10Q1"</definedName>
    <definedName name="IQ_PRICE_OVER_EPS_EST" hidden="1">"IQ_PRICE_OVER_EPS_EST"</definedName>
    <definedName name="IQ_PRICE_OVER_EPS_EST_1" hidden="1">"IQ_PRICE_OVER_EPS_EST_1"</definedName>
    <definedName name="IQ_PRICE_TARGET_REUT" hidden="1">"c3631"</definedName>
    <definedName name="IQ_PRICEDATETIME" hidden="1">"IQ_PRICEDATETIME"</definedName>
    <definedName name="IQ_QTD" hidden="1">750000</definedName>
    <definedName name="IQ_RESIDENTIAL_LOANS" hidden="1">"c1102"</definedName>
    <definedName name="IQ_RESTRUCTURE_BR" hidden="1">"c1106"</definedName>
    <definedName name="IQ_RETURN_ASSETS_BROK" hidden="1">"c1115"</definedName>
    <definedName name="IQ_RETURN_EQUITY_BROK" hidden="1">"c1120"</definedName>
    <definedName name="IQ_REV_STDDEV_EST_REUT" hidden="1">"c3639"</definedName>
    <definedName name="IQ_REVENUE_10K" hidden="1">"REVENUE_10K"</definedName>
    <definedName name="IQ_REVENUE_10Q" hidden="1">"REVENUE_10Q"</definedName>
    <definedName name="IQ_REVENUE_10Q1" hidden="1">"REVENUE_10Q1"</definedName>
    <definedName name="IQ_REVENUE_EST_1" hidden="1">"IQ_REVENUE_EST_1"</definedName>
    <definedName name="IQ_REVENUE_EST_REUT" hidden="1">"c3634"</definedName>
    <definedName name="IQ_REVENUE_GROWTH_1" hidden="1">"IQ_REVENUE_GROWTH_1"</definedName>
    <definedName name="IQ_REVENUE_GROWTH_2" hidden="1">"IQ_REVENUE_GROWTH_2"</definedName>
    <definedName name="IQ_REVENUE_HIGH_EST_REUT" hidden="1">"c3636"</definedName>
    <definedName name="IQ_REVENUE_LOW_EST_REUT" hidden="1">"c3637"</definedName>
    <definedName name="IQ_REVENUE_MEDIAN_EST_REUT" hidden="1">"c3635"</definedName>
    <definedName name="IQ_REVENUE_NUM_EST_REUT" hidden="1">"c3638"</definedName>
    <definedName name="IQ_SALE_INTAN_CF_BR" hidden="1">"c1133"</definedName>
    <definedName name="IQ_SALE_PPE_CF_BR" hidden="1">"c1139"</definedName>
    <definedName name="IQ_SALE_REAL_ESTATE_CF_BR" hidden="1">"c1145"</definedName>
    <definedName name="IQ_SHAREOUTSTANDING" hidden="1">"c1347"</definedName>
    <definedName name="IQ_SPECIAL_DIV_CF_BR" hidden="1">"c1171"</definedName>
    <definedName name="IQ_ST_DEBT_BR" hidden="1">"c1178"</definedName>
    <definedName name="IQ_ST_DEBT_ISSUED_BR" hidden="1">"c1183"</definedName>
    <definedName name="IQ_ST_DEBT_REPAID_BR" hidden="1">"c1191"</definedName>
    <definedName name="IQ_TARGET_PRICE_NUM_REUT" hidden="1">"c5319"</definedName>
    <definedName name="IQ_TARGET_PRICE_STDDEV_REUT" hidden="1">"c5320"</definedName>
    <definedName name="IQ_TEV_EBITDA_FWD_REUT" hidden="1">"c4050"</definedName>
    <definedName name="IQ_TEV_TOTAL_REV_FWD_REUT" hidden="1">"c4051"</definedName>
    <definedName name="IQ_TODAY" hidden="1">0</definedName>
    <definedName name="IQ_TOTAL_AR_BR" hidden="1">"c1231"</definedName>
    <definedName name="IQ_TOTAL_DEBT_ISSUED_BR" hidden="1">"c1253"</definedName>
    <definedName name="IQ_TOTAL_DEBT_REPAID_BR" hidden="1">"c1260"</definedName>
    <definedName name="IQ_TOTAL_LIAB_BR" hidden="1">"c1278"</definedName>
    <definedName name="IQ_TOTAL_OPER_EXP_BR" hidden="1">"c1284"</definedName>
    <definedName name="IQ_TOTAL_PENSION_OBLIGATION" hidden="1">"c1292"</definedName>
    <definedName name="IQ_TOTAL_REV_BR" hidden="1">"c1303"</definedName>
    <definedName name="IQ_TOTAL_UNUSUAL_BR" hidden="1">"c5517"</definedName>
    <definedName name="IQ_TREASURY_OTHER_EQUITY_BR" hidden="1">"c1314"</definedName>
    <definedName name="IQ_UNEARN_REV_CURRENT_BR" hidden="1">"c1324"</definedName>
    <definedName name="IQ_WEEK">50000</definedName>
    <definedName name="IQ_YTD">3000</definedName>
    <definedName name="IQ_YTDMONTH" hidden="1">130000</definedName>
    <definedName name="klinsi" hidden="1">{#N/A,#N/A,FALSE,"Mittelherkunft";#N/A,#N/A,FALSE,"Mittelverwendung"}</definedName>
    <definedName name="limcount" hidden="1">1</definedName>
    <definedName name="lklkl" hidden="1">{"consolidated",#N/A,FALSE,"Sheet1";"cms",#N/A,FALSE,"Sheet1";"fse",#N/A,FALSE,"Sheet1"}</definedName>
    <definedName name="LOCAL_MYSQL_DATE_FORMAT" hidden="1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m" hidden="1">{0,0,0,0,1,-4105,42.5196850393701,42.5196850393701,42.5196850393701,42.5196850393701,2,TRUE,TRUE,FALSE,FALSE,FALSE,#N/A,1,85,1,1,"","","","&amp;""Kennerly,Roman Bold""&amp;14L&amp;12EHMAN &amp;14 B&amp;12ROTHERS","","",FALSE}</definedName>
    <definedName name="Management" hidden="1">{#N/A,"Faber45",FALSE,"LBPROFOR";#N/A,"Faber50",FALSE,"LBPROFOR";#N/A,"Faber55",FALSE,"LBPROFOR";#N/A,"Faber60",FALSE,"LBPROFOR"}</definedName>
    <definedName name="Managemnt" hidden="1">{#N/A,"Faber45",FALSE,"LBPROFOR";#N/A,"Faber50",FALSE,"LBPROFOR";#N/A,"Faber55",FALSE,"LBPROFOR";#N/A,"Faber60",FALSE,"LBPROFOR"}</definedName>
    <definedName name="Mgmt" hidden="1">{#N/A,"Faber45",FALSE,"LBPROFOR";#N/A,"Faber50",FALSE,"LBPROFOR";#N/A,"Faber55",FALSE,"LBPROFOR";#N/A,"Faber60",FALSE,"LBPROFOR"}</definedName>
    <definedName name="Mgmt." hidden="1">{#N/A,"Faber45",FALSE,"LBPROFOR";#N/A,"Faber50",FALSE,"LBPROFOR";#N/A,"Faber55",FALSE,"LBPROFOR";#N/A,"Faber60",FALSE,"LBPROFOR"}</definedName>
    <definedName name="mmmmm" hidden="1">{#N/A,#N/A,FALSE,"Calc";#N/A,#N/A,FALSE,"Sensitivity";#N/A,#N/A,FALSE,"LT Earn.Dil.";#N/A,#N/A,FALSE,"Dil. AVP"}</definedName>
    <definedName name="n" hidden="1">{#N/A,#N/A,FALSE,"DCF";#N/A,#N/A,FALSE,"WACC";#N/A,#N/A,FALSE,"Sales_EBIT";#N/A,#N/A,FALSE,"Capex_Depreciation";#N/A,#N/A,FALSE,"WC";#N/A,#N/A,FALSE,"Interest";#N/A,#N/A,FALSE,"Assumptions"}</definedName>
    <definedName name="neu" hidden="1">{#N/A,#N/A,FALSE,"DCF";#N/A,#N/A,FALSE,"WACC";#N/A,#N/A,FALSE,"Sales_EBIT";#N/A,#N/A,FALSE,"Capex_Depreciation";#N/A,#N/A,FALSE,"WC";#N/A,#N/A,FALSE,"Interest";#N/A,#N/A,FALSE,"Assumptions"}</definedName>
    <definedName name="noidea" hidden="1">{#N/A,#N/A,FALSE,"Calc";#N/A,#N/A,FALSE,"Sensitivity";#N/A,#N/A,FALSE,"LT Earn.Dil.";#N/A,#N/A,FALSE,"Dil. AVP"}</definedName>
    <definedName name="NoteTextNames" hidden="1">{"Text 9";"Text 10";"Text 11";"Text 12"}</definedName>
    <definedName name="Nuevo" hidden="1">{"Resumen",#N/A,TRUE,"Proyección 1998-2007";#N/A,#N/A,TRUE,"Proyección 1998-2007 %";"Temáticos",#N/A,TRUE,"Proyección 1998-2007";"Events Media Park",#N/A,TRUE,"Proyección 1998-2007";"Producción Audiovisual",#N/A,TRUE,"Proyección 1998-2007";#N/A,#N/A,TRUE,"Hipótesis";"Servicios a la Producción",#N/A,TRUE,"Proyección 1998-2007"}</definedName>
    <definedName name="o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ooooo" hidden="1">{#N/A,#N/A,FALSE,"Calc";#N/A,#N/A,FALSE,"Sensitivity";#N/A,#N/A,FALSE,"LT Earn.Dil.";#N/A,#N/A,FALSE,"Dil. AVP"}</definedName>
    <definedName name="Presentation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_xlnm.Print_Area" localSheetId="2">'Current Data'!$B$1:$U$22</definedName>
    <definedName name="Q" hidden="1">{#N/A,#N/A,FALSE,"Rev";#N/A,#N/A,FALSE,"Summ"}</definedName>
    <definedName name="s" hidden="1">{#N/A,#N/A,FALSE,"Calc";#N/A,#N/A,FALSE,"Sensitivity";#N/A,#N/A,FALSE,"LT Earn.Dil.";#N/A,#N/A,FALSE,"Dil. AVP"}</definedName>
    <definedName name="sdf" hidden="1">{"page1",#N/A,FALSE,"PRESENTATION";"page2",#N/A,FALSE,"PRESENTATION";#N/A,#N/A,FALSE,"Valuation Summary"}</definedName>
    <definedName name="sencount" hidden="1">1</definedName>
    <definedName name="sfgv" hidden="1">{"consolidated",#N/A,FALSE,"Sheet1";"cms",#N/A,FALSE,"Sheet1";"fse",#N/A,FALSE,"Sheet1"}</definedName>
    <definedName name="sfq" hidden="1">{#N/A,#N/A,FALSE,"Calc";#N/A,#N/A,FALSE,"Sensitivity";#N/A,#N/A,FALSE,"LT Earn.Dil.";#N/A,#N/A,FALSE,"Dil. AVP"}</definedName>
    <definedName name="sgdg" hidden="1">{#N/A,#N/A,FALSE,"Calc";#N/A,#N/A,FALSE,"Sensitivity";#N/A,#N/A,FALSE,"LT Earn.Dil.";#N/A,#N/A,FALSE,"Dil. AVP"}</definedName>
    <definedName name="sgsx" hidden="1">{"consolidated",#N/A,FALSE,"Sheet1";"cms",#N/A,FALSE,"Sheet1";"fse",#N/A,FALSE,"Sheet1"}</definedName>
    <definedName name="Shoreline" hidden="1">{#N/A,#N/A,FALSE,"Rev";#N/A,#N/A,FALSE,"Summ"}</definedName>
    <definedName name="solver_adj" hidden="1">'[3]stockholm projections CY'!$C$8</definedName>
    <definedName name="solver_cvg" hidden="1">0.001</definedName>
    <definedName name="solver_drv" hidden="1">1</definedName>
    <definedName name="solver_est" hidden="1">1</definedName>
    <definedName name="solver_itr" hidden="1">100</definedName>
    <definedName name="solver_lin" hidden="1">0</definedName>
    <definedName name="solver_neg" hidden="1">2</definedName>
    <definedName name="solver_num" hidden="1">0</definedName>
    <definedName name="solver_nwt" hidden="1">1</definedName>
    <definedName name="solver_opt" hidden="1">'[3]stockholm projections CY'!$N$30</definedName>
    <definedName name="solver_pre" hidden="1">0.000001</definedName>
    <definedName name="solver_scl" hidden="1">2</definedName>
    <definedName name="solver_sho" hidden="1">2</definedName>
    <definedName name="solver_tim" hidden="1">100</definedName>
    <definedName name="solver_tol" hidden="1">0.05</definedName>
    <definedName name="solver_typ" hidden="1">3</definedName>
    <definedName name="solver_val" hidden="1">0.6</definedName>
    <definedName name="ss" hidden="1">{#N/A,#N/A,FALSE,"Calc";#N/A,#N/A,FALSE,"Sensitivity";#N/A,#N/A,FALSE,"LT Earn.Dil.";#N/A,#N/A,FALSE,"Dil. AVP"}</definedName>
    <definedName name="sssss" hidden="1">{#N/A,#N/A,FALSE,"Calc";#N/A,#N/A,FALSE,"Sensitivity";#N/A,#N/A,FALSE,"LT Earn.Dil.";#N/A,#N/A,FALSE,"Dil. AVP"}</definedName>
    <definedName name="SV_AUTO_CONN_CATALOG" hidden="1">"All Life Accounting"</definedName>
    <definedName name="SV_AUTO_CONN_SERVER" hidden="1">"alltersage01"</definedName>
    <definedName name="SV_AUTO_CONN_SERVER_1" hidden="1">"ALLTERSAGE01"</definedName>
    <definedName name="SV_AUTO_CONN_SERVER_2" hidden="1">"(local)"</definedName>
    <definedName name="SV_ENCPT_AUTO_CONN_PASSWORD" hidden="1">"083096084083070"</definedName>
    <definedName name="SV_ENCPT_AUTO_CONN_PASSWORD_1" hidden="1">"083096084083070"</definedName>
    <definedName name="SV_ENCPT_AUTO_CONN_USER" hidden="1">"095094088070084"</definedName>
    <definedName name="SV_ENCPT_AUTO_CONN_USER_1" hidden="1">"095094088070084"</definedName>
    <definedName name="SV_ENCPT_EVOCOMMON_PASSWORD" hidden="1">"083096084083070121105098111052057116111108114"</definedName>
    <definedName name="SV_ENCPT_EVOCOMMON_USER" hidden="1">"095094088070084121098"</definedName>
    <definedName name="SV_ENCPT_LOGON_PWD" hidden="1">"078104085088070"</definedName>
    <definedName name="SV_ENCPT_LOGON_USER" hidden="1">"095094088070084082118117106097114102111"</definedName>
    <definedName name="SV_ENCPT_LOGON_USER_1" hidden="1">"095094088070084078102111116111"</definedName>
    <definedName name="SV_EVOCOMMON_CATALOG" hidden="1">"EvolutionCommon"</definedName>
    <definedName name="SV_EVOCOMMON_SERVER" hidden="1">"HANS"</definedName>
    <definedName name="SV_PAS_PastelCompanyPath" hidden="1">"Z:\ALCGROUP"</definedName>
    <definedName name="SV_PAS_PastelDatabase" hidden="1">"PAS11ALCGROUP"</definedName>
    <definedName name="SV_PAS_PervasiveServer" hidden="1">"ALCHEMEX-SRV64"</definedName>
    <definedName name="thth" hidden="1">{#N/A,#N/A,FALSE,"Calc";#N/A,#N/A,FALSE,"Sensitivity";#N/A,#N/A,FALSE,"LT Earn.Dil.";#N/A,#N/A,FALSE,"Dil. AVP"}</definedName>
    <definedName name="tr" hidden="1">{"Contents",#N/A,FALSE,"Contents";"Acq_Cons PL",#N/A,FALSE,"Consolidating P&amp;L";"Quarterly Summary",#N/A,FALSE,"Summary";"Summary 96_97",#N/A,FALSE,"FY96 VS. FY97";"Acq 96_97 Rollforward",#N/A,FALSE,"96v.97 Rollforward";"Acq Q2",#N/A,FALSE,"Consolidating P&amp;L Q2";"Acq Q3",#N/A,FALSE,"Consolidating P&amp;L Q3"}</definedName>
    <definedName name="vi" hidden="1">{#N/A,#N/A,FALSE,"val";#N/A,#N/A,FALSE,"price";#N/A,#N/A,FALSE,"stake";#N/A,#N/A,FALSE,"issued";#N/A,#N/A,FALSE,"I_S";#N/A,#N/A,FALSE,"compare";#N/A,#N/A,FALSE,"IPO_VAL"}</definedName>
    <definedName name="vo" hidden="1">{"consolidated",#N/A,FALSE,"Sheet1";"cms",#N/A,FALSE,"Sheet1";"fse",#N/A,FALSE,"Sheet1"}</definedName>
    <definedName name="w" hidden="1">{#N/A,#N/A,FALSE,"Naming &amp; Assumptions";#N/A,#N/A,FALSE,"Summary";#N/A,#N/A,FALSE,"Equity Summary";#N/A,#N/A,FALSE,"Price Summary";#N/A,#N/A,FALSE,"DCF";#N/A,#N/A,FALSE,"IRR";#N/A,#N/A,FALSE,"Ratios";#N/A,#N/A,FALSE,"Debt Paydown";#N/A,#N/A,FALSE,"JAII Amort. Schedule";#N/A,#N/A,FALSE,"JAII Assumptions";#N/A,#N/A,FALSE,"JAII Income";#N/A,#N/A,FALSE,"JAII Balance";#N/A,#N/A,FALSE,"JAII Cashflow";#N/A,#N/A,FALSE,"JAC";#N/A,#N/A,FALSE,"JAC Buildup";#N/A,#N/A,FALSE,"JAC%";#N/A,#N/A,FALSE,"Bostrom";#N/A,#N/A,FALSE,"Fabco";#N/A,#N/A,FALSE,"Brillion";#N/A,#N/A,FALSE,"Gunite";#N/A,#N/A,FALSE,"Interco";#N/A,#N/A,FALSE,"JAIX"}</definedName>
    <definedName name="wert" hidden="1">{"page1",#N/A,FALSE,"PRESENTATION";"page2",#N/A,FALSE,"PRESENTATION";#N/A,#N/A,FALSE,"Valuation Summary"}</definedName>
    <definedName name="whocares" hidden="1">{#N/A,#N/A,FALSE,"Rev";#N/A,#N/A,FALSE,"Summ"}</definedName>
    <definedName name="wrn.1." hidden="1">{#N/A,#N/A,FALSE,"Calc";#N/A,#N/A,FALSE,"Sensitivity";#N/A,#N/A,FALSE,"LT Earn.Dil.";#N/A,#N/A,FALSE,"Dil. AVP"}</definedName>
    <definedName name="wrn.7._.Year._.FS." hidden="1">{"VP1-7",#N/A,FALSE,"Variables";"VP2-7",#N/A,FALSE,"Variables";"Layered PL7",#N/A,FALSE,"FS";"Ratios7",#N/A,FALSE,"Ratios";"Summary PL7",#N/A,FALSE,"FS";"BS7",#N/A,FALSE,"FS";"CF7",#N/A,FALSE,"FS"}</definedName>
    <definedName name="wrn.Acquisition._.Package." hidden="1">{"Contents",#N/A,FALSE,"Contents";"Acq_Cons PL",#N/A,FALSE,"Consolidating P&amp;L";"Quarterly Summary",#N/A,FALSE,"Summary";"Summary 96_97",#N/A,FALSE,"FY96 VS. FY97";"Acq 96_97 Rollforward",#N/A,FALSE,"96v.97 Rollforward";"Acq Q2",#N/A,FALSE,"Consolidating P&amp;L Q2";"Acq Q3",#N/A,FALSE,"Consolidating P&amp;L Q3"}</definedName>
    <definedName name="wrn.adj95." hidden="1">{"adj95mult",#N/A,FALSE,"COMPCO";"adj95est",#N/A,FALSE,"COMPCO"}</definedName>
    <definedName name="wrn.al." hidden="1">{#N/A,#N/A,FALSE,"DCF";#N/A,#N/A,FALSE,"WACC";#N/A,#N/A,FALSE,"Sales_EBIT";#N/A,#N/A,FALSE,"Capex_Depreciation";#N/A,#N/A,FALSE,"WC";#N/A,#N/A,FALSE,"Interest";#N/A,#N/A,FALSE,"Assumptions"}</definedName>
    <definedName name="wrn.ALL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ll.." hidden="1">{#N/A,#N/A,FALSE,"DCF";#N/A,#N/A,FALSE,"WACC";#N/A,#N/A,FALSE,"Sales_EBIT";#N/A,#N/A,FALSE,"Capex_Depreciation";#N/A,#N/A,FALSE,"WC";#N/A,#N/A,FALSE,"Interest";#N/A,#N/A,FALSE,"Assumptions"}</definedName>
    <definedName name="wrn.all..." hidden="1">{#N/A,#N/A,FALSE,"DCF";#N/A,#N/A,FALSE,"WACC";#N/A,#N/A,FALSE,"Sales_EBIT";#N/A,#N/A,FALSE,"Capex_Depreciation";#N/A,#N/A,FALSE,"WC";#N/A,#N/A,FALSE,"Interest";#N/A,#N/A,FALSE,"Assumptions"}</definedName>
    <definedName name="wrn.all...." hidden="1">{#N/A,#N/A,FALSE,"DCF";#N/A,#N/A,FALSE,"WACC";#N/A,#N/A,FALSE,"Sales_EBIT";#N/A,#N/A,FALSE,"Capex_Depreciation";#N/A,#N/A,FALSE,"WC";#N/A,#N/A,FALSE,"Interest";#N/A,#N/A,FALSE,"Assumptions"}</definedName>
    <definedName name="wrn.all....." hidden="1">{#N/A,#N/A,FALSE,"DCF";#N/A,#N/A,FALSE,"WACC";#N/A,#N/A,FALSE,"Sales_EBIT";#N/A,#N/A,FALSE,"Capex_Depreciation";#N/A,#N/A,FALSE,"WC";#N/A,#N/A,FALSE,"Interest";#N/A,#N/A,FALSE,"Assumptions"}</definedName>
    <definedName name="wrn.all......" hidden="1">{#N/A,#N/A,FALSE,"DCF";#N/A,#N/A,FALSE,"WACC";#N/A,#N/A,FALSE,"Sales_EBIT";#N/A,#N/A,FALSE,"Capex_Depreciation";#N/A,#N/A,FALSE,"WC";#N/A,#N/A,FALSE,"Interest";#N/A,#N/A,FALSE,"Assumptions"}</definedName>
    <definedName name="wrn.all._.input." hidden="1">{"basic esc rates",#N/A,FALSE,"Basic data";"basic units on",#N/A,FALSE,"Basic data";"basic capacity",#N/A,FALSE,"Basic data";"basic cap factor",#N/A,FALSE,"Basic data";"basic heat rates",#N/A,FALSE,"Basic data";"basic generation",#N/A,FALSE,"Basic data";"basic price",#N/A,FALSE,"Basic data";"basic rev mp",#N/A,FALSE,"Basic data";"basic rev cos",#N/A,FALSE,"Basic data";"basic fuel cost",#N/A,FALSE,"Basic data";"basic o_m",#N/A,FALSE,"Basic data";"basic nox o_m",#N/A,FALSE,"Basic data";"basic env o_m",#N/A,FALSE,"Basic data";"basic corp oh",#N/A,FALSE,"Basic data";"basic oil inv",#N/A,FALSE,"Basic data";"basic prop tax",#N/A,FALSE,"Basic data";"basic summary costs",#N/A,FALSE,"Basic data";"basic gross book value",#N/A,FALSE,"Basic data";"basic cap add",#N/A,FALSE,"Basic data";"basic nox cap add",#N/A,FALSE,"Basic data";"basic other env cap add",#N/A,FALSE,"Basic data";"basic deprec",#N/A,FALSE,"Basic data";"basic decom",#N/A,FALSE,"Basic data";"basic rate base",#N/A,FALSE,"Basic data";"basic summary book value",#N/A,FALSE,"Basic data"}</definedName>
    <definedName name="wrn.All._.Pages." hidden="1">{"income statement",#N/A,FALSE,"P&amp;L";"Balance Sheet",#N/A,FALSE,"BS";"Cash Flow",#N/A,FALSE,"CF";"Debt and Interest",#N/A,FALSE,"Debt &amp; Int";"Working Capital",#N/A,FALSE,"Wking Cap";"Capex and Depreciation",#N/A,FALSE,"Capex &amp; Depr";"Tax and Equity",#N/A,FALSE,"Tax &amp; Equity";"DCF",#N/A,FALSE,"DCF";"Sensitivity on Discount Rate",#N/A,FALSE,"Sensit-Rate";"WACC",#N/A,FALSE,"WACC";"Sensitivity on Sales Growth",#N/A,FALSE,"Sensit-Sales"}</definedName>
    <definedName name="wrn.all.2" hidden="1">{#N/A,#N/A,FALSE,"DCF";#N/A,#N/A,FALSE,"WACC";#N/A,#N/A,FALSE,"Sales_EBIT";#N/A,#N/A,FALSE,"Capex_Depreciation";#N/A,#N/A,FALSE,"WC";#N/A,#N/A,FALSE,"Interest";#N/A,#N/A,FALSE,"Assumptions"}</definedName>
    <definedName name="wrn.ALL2." hidden="1">{#N/A,#N/A,FALSE,"DCF";#N/A,#N/A,FALSE,"WACC";#N/A,#N/A,FALSE,"Sales_EBIT";#N/A,#N/A,FALSE,"Capex_Depreciation";#N/A,#N/A,FALSE,"WC";#N/A,#N/A,FALSE,"Interest";#N/A,#N/A,FALSE,"Assumptions"}</definedName>
    <definedName name="wrn.ALL4" hidden="1">{#N/A,#N/A,FALSE,"ASSUMPTIONS";#N/A,#N/A,FALSE,"Valuation Summary";"page1",#N/A,FALSE,"PRESENTATION";"page2",#N/A,FALSE,"PRESENTATION";#N/A,#N/A,FALSE,"ORIGINAL_ROLLBACK"}</definedName>
    <definedName name="wrn.ALL5" hidden="1">{#N/A,#N/A,FALSE,"ASSUMPTIONS";#N/A,#N/A,FALSE,"Valuation Summary";"page1",#N/A,FALSE,"PRESENTATION";"page2",#N/A,FALSE,"PRESENTATION";#N/A,#N/A,FALSE,"ORIGINAL_ROLLBACK"}</definedName>
    <definedName name="wrn.ALL6" hidden="1">{#N/A,#N/A,FALSE,"ASSUMPTIONS";#N/A,#N/A,FALSE,"Valuation Summary";"page1",#N/A,FALSE,"PRESENTATION";"page2",#N/A,FALSE,"PRESENTATION";#N/A,#N/A,FALSE,"ORIGINAL_ROLLBACK"}</definedName>
    <definedName name="wrn.ALL8" hidden="1">{#N/A,#N/A,FALSE,"ASSUMPTIONS";#N/A,#N/A,FALSE,"Valuation Summary";"page1",#N/A,FALSE,"PRESENTATION";"page2",#N/A,FALSE,"PRESENTATION";#N/A,#N/A,FALSE,"ORIGINAL_ROLLBACK"}</definedName>
    <definedName name="wrn.allneu" hidden="1">{#N/A,#N/A,FALSE,"DCF";#N/A,#N/A,FALSE,"WACC";#N/A,#N/A,FALSE,"Sales_EBIT";#N/A,#N/A,FALSE,"Capex_Depreciation";#N/A,#N/A,FALSE,"WC";#N/A,#N/A,FALSE,"Interest";#N/A,#N/A,FALSE,"Assumptions"}</definedName>
    <definedName name="wrn.allneu.." hidden="1">{#N/A,#N/A,FALSE,"DCF";#N/A,#N/A,FALSE,"WACC";#N/A,#N/A,FALSE,"Sales_EBIT";#N/A,#N/A,FALSE,"Capex_Depreciation";#N/A,#N/A,FALSE,"WC";#N/A,#N/A,FALSE,"Interest";#N/A,#N/A,FALSE,"Assumptions"}</definedName>
    <definedName name="wrn.allneu..." hidden="1">{#N/A,#N/A,FALSE,"DCF";#N/A,#N/A,FALSE,"WACC";#N/A,#N/A,FALSE,"Sales_EBIT";#N/A,#N/A,FALSE,"Capex_Depreciation";#N/A,#N/A,FALSE,"WC";#N/A,#N/A,FALSE,"Interest";#N/A,#N/A,FALSE,"Assumptions"}</definedName>
    <definedName name="wrn.Asia." hidden="1">{"rawdata",#N/A,TRUE,"HKT";"in",#N/A,TRUE,"HKT";"rawdata",#N/A,TRUE,"PTInd";"in",#N/A,TRUE,"PTInd";"rawdata",#N/A,TRUE,"NTT";"in",#N/A,TRUE,"NTT";"rawdata",#N/A,TRUE,"PLD";"in",#N/A,TRUE,"PLD";"rawdata",#N/A,TRUE,"PTTelk";"in",#N/A,TRUE,"PTTelk";"rawdata",#N/A,TRUE,"ST ";"in",#N/A,TRUE,"ST ";"rawdata",#N/A,TRUE,"TAsia";"in",#N/A,TRUE,"TAsia";"rawdata",#N/A,TRUE,"TNZ";"in",#N/A,TRUE,"TNZ";"rawdata",#N/A,TRUE,"TMal";"in",#N/A,TRUE,"TMal";"rawdata",#N/A,TRUE,"TTT";"in",#N/A,TRUE,"TTT";"rawdata",#N/A,TRUE,"Telst";"in",#N/A,TRUE,"Telst"}</definedName>
    <definedName name="wrn.Auto._.Comp." hidden="1">{#N/A,#N/A,FALSE,"Sheet1"}</definedName>
    <definedName name="wrn.Bewegungsbilanz." hidden="1">{#N/A,#N/A,FALSE,"Mittelherkunft";#N/A,#N/A,FALSE,"Mittelverwendung"}</definedName>
    <definedName name="wrn.Bilanz." hidden="1">{#N/A,#N/A,FALSE,"Layout Aktiva";#N/A,#N/A,FALSE,"Layout Passiva"}</definedName>
    <definedName name="wrn.Cash._.Flow." hidden="1">{#N/A,#N/A,FALSE,"Layout Cash Flow"}</definedName>
    <definedName name="wrn.comision._.ejecutiva._.mayo._.98." hidden="1">{#N/A,#N/A,FALSE,"ingtemat";"HOJARESUMIDA",#N/A,FALSE,"calc1998-2007";"hipotesis tematicos",#N/A,FALSE,"calc1998-2007";"HIPÓTESIS CABLE",#N/A,FALSE,"calc1998-2007";#N/A,#N/A,FALSE,"Proyección 1998-2007";"estadistica de ventas",#N/A,FALSE,"estad.ventas"}</definedName>
    <definedName name="wrn.COMPCO." hidden="1">{"Page1",#N/A,FALSE,"CompCo";"Page2",#N/A,FALSE,"CompCo"}</definedName>
    <definedName name="wrn.CONSOLIDATION." hidden="1">{"PAGE1",#N/A,FALSE,"Consolidation";"PAGE2",#N/A,FALSE,"Consolidation";"PAGE3",#N/A,FALSE,"Consolidation";"PAGE4",#N/A,FALSE,"Consolidation";"PAGE5",#N/A,FALSE,"Consolidation";"PAGE6",#N/A,FALSE,"Consolidation";"PAGE7",#N/A,FALSE,"Consolidation"}</definedName>
    <definedName name="wrn.Continous._.Page._.Numbers._.DCF." hidden="1">{#N/A,#N/A,TRUE,"Cover Page";#N/A,#N/A,TRUE,"Assumptions MPM";#N/A,#N/A,TRUE,"Summary Sheet MPM";#N/A,#N/A,TRUE,"Output MPM";#N/A,#N/A,TRUE,"Input MPM";#N/A,#N/A,TRUE,"Assets MPM";#N/A,#N/A,TRUE,"Valuation Summary MPM";#N/A,#N/A,TRUE,"KMK";#N/A,#N/A,TRUE,"Demag";#N/A,#N/A,TRUE,"Van Dorn";#N/A,#N/A,TRUE,"Billion";#N/A,#N/A,TRUE,"Berstorff";#N/A,#N/A,TRUE,"Assumptions Netstal";#N/A,#N/A,TRUE,"Summary Sheet Netstal";#N/A,#N/A,TRUE,"Output Netstal";#N/A,#N/A,TRUE,"Input Netstal";#N/A,#N/A,TRUE,"Assets Netstal";#N/A,#N/A,TRUE,"Valuation Summary Netstal";#N/A,#N/A,TRUE,"Growth Assumpt BUs";#N/A,#N/A,TRUE,"Growth Analysis";#N/A,#N/A,TRUE,"Assumptions MPM ex N";#N/A,#N/A,TRUE,"Summary Sheet MPM ex N";#N/A,#N/A,TRUE,"Output MPM ex N";#N/A,#N/A,TRUE,"Input MPM ex N";#N/A,#N/A,TRUE,"Assets MPM ex N";#N/A,#N/A,TRUE,"Valuation Summary MPM ex N"}</definedName>
    <definedName name="wrn.CORR." hidden="1">{"INCSTMT1",#N/A,FALSE,"COR";"INCSTMT2",#N/A,FALSE,"COR"}</definedName>
    <definedName name="wrn.Cover." hidden="1">{"coverall",#N/A,FALSE,"Definitions";"cover1",#N/A,FALSE,"Definitions";"cover2",#N/A,FALSE,"Definitions";"cover3",#N/A,FALSE,"Definitions";"cover4",#N/A,FALSE,"Definitions";"cover5",#N/A,FALSE,"Definitions";"blank",#N/A,FALSE,"Definitions"}</definedName>
    <definedName name="wrn.DCF." hidden="1">{"DCF1",#N/A,FALSE,"SIERRA DCF";"MATRIX1",#N/A,FALSE,"SIERRA DCF"}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etail." hidden="1">{#N/A,#N/A,FALSE,"TOTAL SSS";#N/A,#N/A,FALSE,"SES Y93";#N/A,#N/A,FALSE,"SES AW FEE";#N/A,#N/A,FALSE,"DSP BK14";#N/A,#N/A,FALSE,"DSP BK14 AW FEE";#N/A,#N/A,FALSE,"DSP BLK 14 FPLOE";#N/A,#N/A,FALSE,"DSP BLK 14 FPLOE";#N/A,#N/A,FALSE,"S14 DESGN";#N/A,#N/A,FALSE,"DSP BLK 18";#N/A,#N/A,FALSE,"DSP BLK 18 AW FEE";#N/A,#N/A,FALSE,"DSP BL18 FFP";#N/A,#N/A,FALSE,"DSP BLK18 CPAF";#N/A,#N/A,FALSE,"DSP BLK 23";#N/A,#N/A,FALSE,"DSP BLK 23 AW FEE";#N/A,#N/A,FALSE,"DSP 23 TERM";#N/A,#N/A,FALSE,"H2O DAMAGE";#N/A,#N/A,FALSE,"DSP ENG";#N/A,#N/A,FALSE,"SBIR";#N/A,#N/A,FALSE,"SBIR STUDY";#N/A,#N/A,FALSE,"CTPP";#N/A,#N/A,FALSE,"CTPP AW FEE";#N/A,#N/A,FALSE,"JTAGS";#N/A,#N/A,FALSE,"TSD";#N/A,#N/A,FALSE,"TSDE";#N/A,#N/A,FALSE,"SRSU";#N/A,#N/A,FALSE,"SRSU Spares";#N/A,#N/A,FALSE,"TSS";#N/A,#N/A,FALSE,"LVI";#N/A,#N/A,FALSE,"GS14";#N/A,#N/A,FALSE,"GS14 CPFF";#N/A,#N/A,FALSE,"GCO";#N/A,#N/A,FALSE,"GCO";#N/A,#N/A,FALSE,"PUP";#N/A,#N/A,FALSE,"CENTRAL FP";#N/A,#N/A,FALSE,"CENTRAL CPFF";#N/A,#N/A,FALSE,"CENTRAL TERM";#N/A,#N/A,FALSE,"WAM";#N/A,#N/A,FALSE,"SPIRIT III";#N/A,#N/A,FALSE,"LLUM";#N/A,#N/A,FALSE,"Mixed Signal";#N/A,#N/A,FALSE,"HGCDTE";#N/A,#N/A,FALSE,"CO INV";#N/A,#N/A,FALSE,"MISC"}</definedName>
    <definedName name="wrn.detalles._.total." hidden="1">{"total","abonados garantia",FALSE,"detalle19982007"}</definedName>
    <definedName name="wrn.document." hidden="1">{"consolidated",#N/A,FALSE,"Sheet1";"cms",#N/A,FALSE,"Sheet1";"fse",#N/A,FALSE,"Sheet1"}</definedName>
    <definedName name="wrn.Economic._.Value._.Added._.Analysis." hidden="1">{"EVA",#N/A,FALSE,"EVA";"WACC",#N/A,FALSE,"WACC"}</definedName>
    <definedName name="wrn.Europe." hidden="1">{"rawdata",#N/A,TRUE,"BT ";"in",#N/A,TRUE,"BT ";"rawdata",#N/A,TRUE,"CW ";"in",#N/A,TRUE,"CW ";"rawdata",#N/A,TRUE,"KPN";"in",#N/A,TRUE,"KPN";"rawdata",#N/A,TRUE,"OTE";"in",#N/A,TRUE,"OTE";"rawdata",#N/A,TRUE,"Port";"in",#N/A,TRUE,"Port";"rawdata",#N/A,TRUE,"SPT";"in",#N/A,TRUE,"SPT";"rawdata",#N/A,TRUE,"TD ";"in",#N/A,TRUE,"TD ";"rawdata",#N/A,TRUE,"TItal";"rawdata2",#N/A,TRUE,"TItal";"in",#N/A,TRUE,"TItal";"rawdata",#N/A,TRUE,"TdEsp";"in",#N/A,TRUE,"TdEsp";"rawdata",#N/A,TRUE,"Belg";"in",#N/A,TRUE,"Belg";"rawdata",#N/A,TRUE,"BEZEQ";"in",#N/A,TRUE,"BEZEQ";"rawdata",#N/A,TRUE,"DT ";"in",#N/A,TRUE,"DT ";"rawdata",#N/A,TRUE,"FT ";"in",#N/A,TRUE,"FT ";"rawdata",#N/A,TRUE,"MAT";"in",#N/A,TRUE,"MAT";"rawdata",#N/A,TRUE,"Eire";"in",#N/A,TRUE,"Eire";"rawdata",#N/A,TRUE,"TFin";"in",#N/A,TRUE,"TFin";"rawdata",#N/A,TRUE,"TNor";"in",#N/A,TRUE,"TNor";"rawdata",#N/A,TRUE,"Telia";"in",#N/A,TRUE,"Telia";"rawdata",#N/A,TRUE,"TPSA";"in",#N/A,TRUE,"TPSA";"rawdata",#N/A,TRUE,"TSAfr";"in",#N/A,TRUE,"TSAfr";"rawdata",#N/A,TRUE,"Turk";"in",#N/A,TRUE,"Turk"}</definedName>
    <definedName name="wrn.FCB." hidden="1">{"FCB_ALL",#N/A,FALSE,"FCB"}</definedName>
    <definedName name="wrn.fcb2" hidden="1">{"FCB_ALL",#N/A,FALSE,"FCB"}</definedName>
    <definedName name="wrn.Financial._.Statements." hidden="1">{#N/A,#N/A,TRUE,"Cover";"Balance Sheet",#N/A,TRUE,"FS";"Income Statement",#N/A,TRUE,"FS";"Cash Flow",#N/A,TRUE,"FS";"Cap Statement",#N/A,TRUE,"cap";"Sched of Investments - Pships",#N/A,TRUE,"CPE Sched";"Sched of Investment - Directly Held",#N/A,TRUE,"Marketables"}</definedName>
    <definedName name="wrn.Finanzbedarfsrechnung." hidden="1">{#N/A,#N/A,FALSE,"Finanzbedarfsrechnung"}</definedName>
    <definedName name="wrn.Forecast._.w_Schedules." hidden="1">{"Contents",#N/A,TRUE,"Contents";#N/A,#N/A,TRUE,"Forecast Changes";"Page 1",#N/A,TRUE,"Consolidating P&amp;L";"Page 2",#N/A,TRUE,"Summary";"Page 3",#N/A,TRUE,"FY96 VS. FY97";"Acq 96_97 Rollforward",#N/A,TRUE,"96v.97 Rollforward";"Page 4.1",#N/A,TRUE,"Consolidating P&amp;L Q1";"Page 4.2",#N/A,TRUE,"Consolidating P&amp;L Q2";"Page 4.3",#N/A,TRUE,"Consolidating P&amp;L Q3";"Page 4.4",#N/A,TRUE,"Consolidating P&amp;L Q4";"Page 5",#N/A,TRUE,"Detail Consolidation";"Page 6",#N/A,TRUE,"Detail Consolidation";"DS Tab",#N/A,TRUE,"Direct Sales";"MMD Tab",#N/A,TRUE,"MMD";"Brann Tab",#N/A,TRUE,"Brann";"MS Tab",#N/A,TRUE,"Marketing Services";"AMZ Tab",#N/A,TRUE,"AMZ";"Admin Tab",#N/A,TRUE,"Administration";"Sample Tab",#N/A,TRUE,"Sample";"Page 10",#N/A,TRUE,"Bounty"}</definedName>
    <definedName name="wrn.Full._.Model." hidden="1">{"P&amp;L",#N/A,FALSE,"P&amp;LPlan";"Cashflow",#N/A,FALSE,"Cash Flow";"Bal Sht",#N/A,FALSE,"Bal Sht";"Revenue",#N/A,FALSE,"Revenue";"Capital",#N/A,FALSE,"Capital";"Assumptions",#N/A,FALSE,"Assumptions";"G&amp;A",#N/A,FALSE,"G&amp;A";"Sales",#N/A,FALSE,"Sales";"Mktg",#N/A,FALSE,"Mktg";"R&amp;D",#N/A,FALSE,"R&amp;D";"Ttl Svc Cost",#N/A,FALSE,"TotalSvcCost";"Tech Sppt",#N/A,FALSE,"Tech Support";"Consulting",#N/A,FALSE,"Consulting";"Training",#N/A,FALSE,"Training"}</definedName>
    <definedName name="wrn.Full._.Page." hidden="1">{"Normal",#N/A,FALSE,"Terms";"Series Ownership",#N/A,FALSE,"Terms"}</definedName>
    <definedName name="wrn.Full._.Report." hidden="1">{#N/A,#N/A,TRUE,"Income Statement";#N/A,#N/A,TRUE,"Gas Assumptions";#N/A,#N/A,TRUE,"DCF";#N/A,#N/A,TRUE,"Depreciation Matrix";#N/A,#N/A,TRUE,"Matrix";#N/A,#N/A,TRUE,"Matrix_Perpetuity"}</definedName>
    <definedName name="wrn.FY97SBP." hidden="1">{#N/A,#N/A,FALSE,"FY97";#N/A,#N/A,FALSE,"FY98";#N/A,#N/A,FALSE,"FY99";#N/A,#N/A,FALSE,"FY00";#N/A,#N/A,FALSE,"FY01"}</definedName>
    <definedName name="wrn.Gross._.Profit._.Report." hidden="1">{"Monthly",#N/A,FALSE,"Phosphate Gross Profit";"Quarterly",#N/A,FALSE,"Phosphate Gross Profit"}</definedName>
    <definedName name="wrn.GuV." hidden="1">{#N/A,#N/A,FALSE,"Layout GuV"}</definedName>
    <definedName name="wrn.Hipótesis._.A." hidden="1">{#N/A,"Hipótesis A",FALSE,"desglose";#N/A,#N/A,FALSE,"p&amp;g";#N/A,#N/A,FALSE,"detallder+dob (A)";#N/A,#N/A,FALSE,"costotitulo(A)";#N/A,#N/A,FALSE,"costohora(A)"}</definedName>
    <definedName name="wrn.Hipótesis._.B." hidden="1">{#N/A,"Hipótesis B",FALSE,"desglose";#N/A,#N/A,FALSE,"p&amp;g";#N/A,#N/A,FALSE,"detallder+dob (B)";#N/A,#N/A,FALSE,"costotitulo(B)";#N/A,#N/A,FALSE,"costohora(B)"}</definedName>
    <definedName name="wrn.Hipótesis._.C." hidden="1">{#N/A,"Hipótesis C",FALSE,"desglose";#N/A,#N/A,FALSE,"p&amp;g";#N/A,#N/A,FALSE,"detallder+dob (C)";#N/A,#N/A,FALSE,"costotitulo(C)";#N/A,#N/A,FALSE,"costohora(C)"}</definedName>
    <definedName name="wrn.income._.statement." hidden="1">{"income statement",#N/A,FALSE,"ATLAS-A"}</definedName>
    <definedName name="wrn.juegocompleto." hidden="1">{#N/A,#N/A,FALSE,"ingtemysat";#N/A,#N/A,FALSE,"ingtemycab";#N/A,#N/A,FALSE,"Hipoproy9807";#N/A,#N/A,FALSE,"unineg";#N/A,#N/A,FALSE,"detall9807";#N/A,#N/A,FALSE,"costohora";#N/A,"tasa de repetición de 12",FALSE,"costotitulo";#N/A,"tasa de repetición de 10",FALSE,"costotitulo"}</definedName>
    <definedName name="wrn.Komplettausdruck." hidden="1">{#N/A,#N/A,FALSE,"Layout Aktiva";#N/A,#N/A,FALSE,"Layout Passiva";#N/A,#N/A,FALSE,"Layout GuV";#N/A,#N/A,FALSE,"Layout Cash Flow";#N/A,#N/A,FALSE,"Mittelherkunft";#N/A,#N/A,FALSE,"Mittelverwendung";#N/A,#N/A,FALSE,"Finanzbedarfsrechnung"}</definedName>
    <definedName name="wrn.Main._.Report._.All._.Sections." hidden="1">{"Print",#N/A,FALSE,"Assmptns";"Print",#N/A,FALSE,"Scenarios";"Print",#N/A,FALSE,"DCF";"Print",#N/A,FALSE,"Plas_Forcst";"Print",#N/A,FALSE,"Bal_Sht";"Print",#N/A,FALSE,"Graphs";"Print",#N/A,FALSE,"Cap_Assuptn";"Print",#N/A,FALSE,"Waves";"Print",#N/A,FALSE,"Valuation";"Print1",#N/A,FALSE,"Comp_ChemSys";"Print1",#N/A,FALSE,"Scenarios";"Print Graphs",#N/A,FALSE,"Comp_ChemSys";"Print",#N/A,FALSE,"Bal_Graphs"}</definedName>
    <definedName name="wrn.Model._.Detail." hidden="1">{"Corp Val",#N/A,FALSE,"Corp Val";"Liquidation Value",#N/A,FALSE,"Corp Val";"Well Count",#N/A,FALSE,"Wells";"Finding Cost",#N/A,FALSE,"Res Add Sum";"Operating Assumptions",#N/A,FALSE,"Assumptions";"DD&amp;A",#N/A,FALSE,"Res Add Sum"}</definedName>
    <definedName name="wrn.model_1." hidden="1">{#N/A,#N/A,FALSE,"Rev";#N/A,#N/A,FALSE,"Summ"}</definedName>
    <definedName name="wrn.Output." hidden="1">{"definitions",#N/A,TRUE,"Definitions";"out1",#N/A,TRUE,"Valuation";"out2",#N/A,TRUE,"Valuation";"out3",#N/A,TRUE,"Valuation";"out4",#N/A,TRUE,"Valuation";"out",#N/A,TRUE,"Efficiency";"out1",#N/A,TRUE,"Growth,Margin,Rev Split";"out2",#N/A,TRUE,"Growth,Margin,Rev Split";"out1",#N/A,TRUE,"Financial Ratios";"out2",#N/A,TRUE,"Financial Ratios";"outeg",#N/A,TRUE,"Efficiency";"test1",#N/A,TRUE,"Prices";"test2",#N/A,TRUE,"Prices";"test3",#N/A,TRUE,"Prices";"test1",#N/A,TRUE,"Segments";"test2",#N/A,TRUE,"Segments";"in",#N/A,TRUE,"Country";"in",#N/A,TRUE,"Housekeeping"}</definedName>
    <definedName name="wrn.Page._.9._.10." hidden="1">{#N/A,#N/A,FALSE,"AMZ"}</definedName>
    <definedName name="wrn.Page._.9._.11." hidden="1">{#N/A,#N/A,FALSE,"Administration"}</definedName>
    <definedName name="wrn.Page._.9._.12." hidden="1">{#N/A,#N/A,FALSE,"Detail Consolidation"}</definedName>
    <definedName name="wrn.Page._.9._.13." hidden="1">{#N/A,#N/A,FALSE,"Division Summary"}</definedName>
    <definedName name="wrn.Page._.9._.14." hidden="1">{#N/A,#N/A,FALSE,"Trend Graphs"}</definedName>
    <definedName name="wrn.par." hidden="1">{#N/A,#N/A,FALSE,"par"}</definedName>
    <definedName name="wrn.PRES_OUT." hidden="1">{"page1",#N/A,FALSE,"PRESENTATION";"page2",#N/A,FALSE,"PRESENTATION";#N/A,#N/A,FALSE,"Valuation Summary"}</definedName>
    <definedName name="wrn.PRES_OUT2" hidden="1">{"page1",#N/A,FALSE,"PRESENTATION";"page2",#N/A,FALSE,"PRESENTATION";#N/A,#N/A,FALSE,"Valuation Summary"}</definedName>
    <definedName name="wrn.Pres_OUT3" hidden="1">{"page1",#N/A,FALSE,"PRESENTATION";"page2",#N/A,FALSE,"PRESENTATION";#N/A,#N/A,FALSE,"Valuation Summary"}</definedName>
    <definedName name="wrn.PRES_OUT4" hidden="1">{"page1",#N/A,FALSE,"PRESENTATION";"page2",#N/A,FALSE,"PRESENTATION";#N/A,#N/A,FALSE,"Valuation Summary"}</definedName>
    <definedName name="wrn.PRES_OUT5" hidden="1">{"page1",#N/A,FALSE,"PRESENTATION";"page2",#N/A,FALSE,"PRESENTATION";#N/A,#N/A,FALSE,"Valuation Summary"}</definedName>
    <definedName name="wrn.PRES_OUT6" hidden="1">{"page1",#N/A,FALSE,"PRESENTATION";"page2",#N/A,FALSE,"PRESENTATION";#N/A,#N/A,FALSE,"Valuation Summary"}</definedName>
    <definedName name="wrn.PRES_OUT8" hidden="1">{"page1",#N/A,FALSE,"PRESENTATION";"page2",#N/A,FALSE,"PRESENTATION";#N/A,#N/A,FALSE,"Valuation Summary"}</definedName>
    <definedName name="wrn.print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" hidden="1">{"page1",#N/A,FALSE,"PROFORMA";"page2",#N/A,FALSE,"PROFORMA";"page3",#N/A,FALSE,"PROFORMA";"page4",#N/A,FALSE,"PROFORMA";"page5",#N/A,FALSE,"PROFORMA";"page6",#N/A,FALSE,"PROFORMA";"page7",#N/A,FALSE,"PROFORMA";"page8",#N/A,FALSE,"PROFORMA"}</definedName>
    <definedName name="wrn.print._.graphs." hidden="1">{"cap_structure",#N/A,FALSE,"Graph-Mkt Cap";"price",#N/A,FALSE,"Graph-Price";"ebit",#N/A,FALSE,"Graph-EBITDA";"ebitda",#N/A,FALSE,"Graph-EBITDA"}</definedName>
    <definedName name="wrn.print._.raw._.data._.entry." hidden="1">{"inputs raw data",#N/A,TRUE,"INPUT"}</definedName>
    <definedName name="wrn.print._.summary._.sheets." hidden="1">{"summary1",#N/A,TRUE,"Comps";"summary2",#N/A,TRUE,"Comps";"summary3",#N/A,TRUE,"Comps"}</definedName>
    <definedName name="wrn.Print_Buyer." hidden="1">{#N/A,"DR",FALSE,"increm pf";#N/A,"MAMSI",FALSE,"increm pf";#N/A,"MAXI",FALSE,"increm pf";#N/A,"PCAM",FALSE,"increm pf";#N/A,"PHSV",FALSE,"increm pf";#N/A,"SIE",FALSE,"increm pf"}</definedName>
    <definedName name="wrn.Print_Target." hidden="1">{#N/A,"Foundation Health",FALSE,"increm pf";#N/A,"FHP International",FALSE,"increm pf";#N/A,"Healthsource",FALSE,"increm pf";#N/A,"Humana",FALSE,"increm pf";#N/A,"Oxford Health Plans",FALSE,"increm pf";#N/A,"PacifiCare",FALSE,"increm pf";#N/A,"United HealthCare",FALSE,"increm pf";#N/A,"U.S. Healthcare",FALSE,"increm pf";#N/A,"Value Health",FALSE,"increm pf";#N/A,"WellPoint",FALSE,"increm pf"}</definedName>
    <definedName name="wrn.Print_Valuation." hidden="1">{#N/A,#N/A,TRUE,"Memo Input";#N/A,#N/A,TRUE,"YTD";#N/A,#N/A,TRUE,"Projections";#N/A,#N/A,TRUE,"Balance Sheet (DEM)";#N/A,#N/A,TRUE,"Balance Sheet (EUR)";#N/A,#N/A,TRUE,"Cash Flow";#N/A,#N/A,TRUE,"DCF Valuation";#N/A,#N/A,TRUE,"Working Capital Output";#N/A,#N/A,TRUE,"Balance Sheet Input";#N/A,#N/A,TRUE,"Depreciation";#N/A,#N/A,TRUE,"Intra Group Payments";#N/A,#N/A,TRUE," Tax";#N/A,#N/A,TRUE,"WACC";#N/A,#N/A,TRUE,"Beta";#N/A,#N/A,TRUE,"Reconsiliation"}</definedName>
    <definedName name="wrn.PRINTREP." hidden="1">{"PRINTREP",#N/A,FALSE,"Sheet1"}</definedName>
    <definedName name="wrn.Pro._.forma._.financial._.statements." hidden="1">{"Ratios",#N/A,FALSE,"Ratios";"Summary PL",#N/A,FALSE,"FS";"Cash Flow",#N/A,FALSE,"FS";"Balance Sheet",#N/A,FALSE,"FS";"operating assumptions",#N/A,FALSE,"Assumptions";"Variable Page 1",#N/A,FALSE,"Variables";"finding cost",#N/A,FALSE,"Finding Cost";"DD&amp;A",#N/A,FALSE,"Res Add Sum";"corpval1",#N/A,FALSE,"Corp Val";"liquidation value",#N/A,FALSE,"Corp Val"}</definedName>
    <definedName name="wrn.Proyección._.2007." hidden="1">{#N/A,#N/A,TRUE,"ingtemat"}</definedName>
    <definedName name="wrn.prueba." hidden="1">{#N/A,#N/A,FALSE,"Proyección 1998-2007"}</definedName>
    <definedName name="wrn.sales." hidden="1">{"sales",#N/A,FALSE,"Sales";"sales existing",#N/A,FALSE,"Sales";"sales rd1",#N/A,FALSE,"Sales";"sales rd2",#N/A,FALSE,"Sales"}</definedName>
    <definedName name="wrn.Sapere." hidden="1">{"risultati",#N/A,FALSE,"Revenues";"ricavi advertising",#N/A,FALSE,"Revenues";"ricavi e-commerce",#N/A,FALSE,"Revenues";"ricavi fee for content",#N/A,FALSE,"Revenues";"costi infrastruttura",#N/A,FALSE,"Costi";"altri costi",#N/A,FALSE,"Costi";"conto economico",#N/A,FALSE,"Conto economico";"Flussi di cassa",#N/A,FALSE,"FCF"}</definedName>
    <definedName name="wrn.STAND_ALONE_BOTH." hidden="1">{"FCB_ALL",#N/A,FALSE,"FCB";"GREY_ALL",#N/A,FALSE,"GREY"}</definedName>
    <definedName name="wrn.Standard._.Reports." hidden="1">{#N/A,#N/A,FALSE,"Books";#N/A,#N/A,FALSE,"Barge";#N/A,#N/A,FALSE,"Insurance";#N/A,#N/A,FALSE,"Consolidated"}</definedName>
    <definedName name="wrn.summaries." hidden="1">{#N/A,#N/A,FALSE,"YTD SALES";#N/A,#N/A,FALSE,"MONTH SALES";#N/A,#N/A,FALSE,"YTD PROFIT";#N/A,#N/A,FALSE,"MONTH PROFIT";#N/A,#N/A,FALSE,"MONTH PROFIT %";#N/A,#N/A,FALSE,"YTD AWARDS";#N/A,#N/A,FALSE,"MONTH AWARDS";#N/A,#N/A,FALSE,"FUNDED BACKLOG";#N/A,#N/A,FALSE,"CONTRACT BACKLOG";#N/A,#N/A,FALSE,"CONTRACT AWARDS";#N/A,#N/A,FALSE,"CONTRACT VALUES";#N/A,#N/A,FALSE,"YTD WIP";#N/A,#N/A,FALSE,"MONTH WIP";#N/A,#N/A,FALSE,"GROSS INVENTORY";#N/A,#N/A,FALSE,"PP";#N/A,#N/A,FALSE,"NET INVENTORY";#N/A,#N/A,FALSE,"RECEIVABLES"}</definedName>
    <definedName name="wrn.Summary." hidden="1">{"Print Summary",#N/A,FALSE,"Bal_Graphs";"Print Summary",#N/A,FALSE,"DCF";"Print Summary",#N/A,FALSE,"Graphs";"Print Summary",#N/A,FALSE,"Summary"}</definedName>
    <definedName name="wrn.test." hidden="1">{"test2",#N/A,TRUE,"Prices"}</definedName>
    <definedName name="wrn.WHOLE." hidden="1">{#N/A,#N/A,FALSE,"assumptions";#N/A,#N/A,FALSE,"contrib_annual";#N/A,#N/A,FALSE,"historic";#N/A,#N/A,FALSE,"Proforma";#N/A,#N/A,FALSE,"CALENDARIZED";#N/A,#N/A,FALSE,"Has_gets";#N/A,#N/A,FALSE,"DILUTION"}</definedName>
    <definedName name="wrn2.PRES_OUT." hidden="1">{"page1",#N/A,FALSE,"PRESENTATION";"page2",#N/A,FALSE,"PRESENTATION";#N/A,#N/A,FALSE,"Valuation Summary"}</definedName>
    <definedName name="wrn3.ALL." hidden="1">{#N/A,#N/A,FALSE,"DCF";#N/A,#N/A,FALSE,"WACC";#N/A,#N/A,FALSE,"Sales_EBIT";#N/A,#N/A,FALSE,"Capex_Depreciation";#N/A,#N/A,FALSE,"WC";#N/A,#N/A,FALSE,"Interest";#N/A,#N/A,FALSE,"Assumptions"}</definedName>
    <definedName name="wvu.inputs._.raw._.data." hidden="1">{TRUE,TRUE,-1.25,-15.5,604.5,369,FALSE,FALSE,TRUE,TRUE,0,1,83,1,38,4,5,4,TRUE,TRUE,3,TRUE,1,TRUE,75,"Swvu.inputs._.raw._.data.","ACwvu.inputs._.raw._.data.",#N/A,FALSE,FALSE,0.5,0.5,0.5,0.5,2,"&amp;F","&amp;A&amp;RPage &amp;P",FALSE,FALSE,FALSE,FALSE,1,60,#N/A,#N/A,"=R1C61:R53C89","=C1:C5",#N/A,#N/A,FALSE,FALSE,FALSE,1,600,600,FALSE,FALSE,TRUE,TRUE,TRUE}</definedName>
    <definedName name="wvu.summary1." hidden="1">{TRUE,TRUE,-1.25,-15.5,604.5,369,FALSE,FALSE,TRUE,TRUE,0,1,#N/A,1,#N/A,20.5555555555556,28.9285714285714,1,FALSE,FALSE,3,TRUE,1,FALSE,80,"Swvu.summary1.","ACwvu.summary1.",#N/A,FALSE,FALSE,0.5,0.5,0.5,0.5,2,"&amp;F","&amp;L&amp;D&amp;C&amp;A&amp;RPage &amp;P",TRUE,FALSE,FALSE,FALSE,1,50,#N/A,#N/A,"=R1C1:R55C31",FALSE,#N/A,#N/A,FALSE,FALSE,TRUE,1,600,600,FALSE,FALSE,TRUE,TRUE,TRUE}</definedName>
    <definedName name="wvu.summary2." hidden="1">{TRUE,TRUE,-1.25,-15.5,604.5,369,FALSE,FALSE,TRUE,TRUE,0,1,#N/A,41,#N/A,20.5555555555556,27.0714285714286,1,FALSE,FALSE,3,TRUE,1,FALSE,80,"Swvu.summary2.","ACwvu.summary2.",#N/A,FALSE,FALSE,0.5,0.5,0.5,0.5,2,"&amp;F","&amp;A&amp;RPage &amp;P",TRUE,FALSE,FALSE,FALSE,1,50,#N/A,#N/A,"=R56C1:R103C31",FALSE,#N/A,#N/A,FALSE,FALSE,TRUE,1,600,600,FALSE,FALSE,TRUE,TRUE,TRUE}</definedName>
    <definedName name="wvu.summary3." hidden="1">{TRUE,TRUE,-1.25,-15.5,604.5,369,FALSE,FALSE,TRUE,TRUE,0,1,#N/A,91,#N/A,20.5555555555556,24.8571428571429,1,FALSE,FALSE,3,TRUE,1,FALSE,80,"Swvu.summary3.","ACwvu.summary3.",#N/A,FALSE,FALSE,0.5,0.5,0.5,0.5,2,"&amp;F","&amp;A&amp;RPage &amp;P",TRUE,FALSE,FALSE,FALSE,1,50,#N/A,#N/A,"=R104C1:R153C31",FALSE,#N/A,#N/A,FALSE,FALSE,TRUE,1,600,600,FALSE,FALSE,TRUE,TRUE,TRUE}</definedName>
    <definedName name="x" hidden="1">{#N/A,#N/A,FALSE,"FY97";#N/A,#N/A,FALSE,"FY98";#N/A,#N/A,FALSE,"FY99";#N/A,#N/A,FALSE,"FY00";#N/A,#N/A,FALSE,"FY01"}</definedName>
    <definedName name="xxxxx" hidden="1">{#N/A,#N/A,FALSE,"Calc";#N/A,#N/A,FALSE,"Sensitivity";#N/A,#N/A,FALSE,"LT Earn.Dil.";#N/A,#N/A,FALSE,"Dil. AVP"}</definedName>
    <definedName name="yy" hidden="1">{"consolidated",#N/A,FALSE,"Sheet1";"cms",#N/A,FALSE,"Sheet1";"fse",#N/A,FALSE,"Sheet1"}</definedName>
    <definedName name="zaq" hidden="1">{#N/A,#N/A,FALSE,"Calc";#N/A,#N/A,FALSE,"Sensitivity";#N/A,#N/A,FALSE,"LT Earn.Dil.";#N/A,#N/A,FALSE,"Dil. AVP"}</definedName>
    <definedName name="zer" hidden="1">{#N/A,#N/A,FALSE,"Calc";#N/A,#N/A,FALSE,"Sensitivity";#N/A,#N/A,FALSE,"LT Earn.Dil.";#N/A,#N/A,FALSE,"Dil. AVP"}</definedName>
  </definedNames>
  <calcPr calcId="191029" calcMode="autoNoTable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X7" i="4" l="1"/>
  <c r="AX11" i="4" l="1"/>
  <c r="AX8" i="4"/>
  <c r="K38" i="3"/>
  <c r="K36" i="3"/>
  <c r="K34" i="3"/>
  <c r="K32" i="3"/>
  <c r="K30" i="3"/>
  <c r="K28" i="3"/>
  <c r="K26" i="3"/>
  <c r="K19" i="3"/>
  <c r="EW8" i="3"/>
  <c r="EV8" i="3"/>
  <c r="EU8" i="3"/>
  <c r="EW4" i="3" l="1"/>
  <c r="EV4" i="3"/>
  <c r="EU4" i="3"/>
  <c r="ER7" i="3" l="1"/>
  <c r="AV38" i="3" l="1"/>
  <c r="AV36" i="3"/>
  <c r="AV34" i="3"/>
  <c r="AV32" i="3"/>
  <c r="AV30" i="3"/>
  <c r="AV28" i="3"/>
  <c r="AV26" i="3"/>
  <c r="AV21" i="3"/>
  <c r="AV17" i="3"/>
  <c r="AV15" i="3"/>
  <c r="AV13" i="3"/>
  <c r="AV11" i="3"/>
  <c r="AV8" i="3"/>
  <c r="AV7" i="3"/>
  <c r="AV5" i="3"/>
  <c r="AV4" i="3"/>
  <c r="EW23" i="3"/>
  <c r="EW19" i="3" s="1"/>
  <c r="EV23" i="3"/>
  <c r="EV19" i="3" s="1"/>
  <c r="EU23" i="3"/>
  <c r="EW25" i="3"/>
  <c r="EV25" i="3"/>
  <c r="EU25" i="3"/>
  <c r="EW10" i="3"/>
  <c r="EV10" i="3"/>
  <c r="EU10" i="3"/>
  <c r="AV23" i="3" l="1"/>
  <c r="EU19" i="3"/>
  <c r="AV19" i="3"/>
  <c r="AX6" i="4"/>
  <c r="AW18" i="4"/>
  <c r="AW17" i="4"/>
  <c r="AW16" i="4"/>
  <c r="AW11" i="4"/>
  <c r="AW9" i="4"/>
  <c r="AW8" i="4"/>
  <c r="AW7" i="4"/>
  <c r="J19" i="3"/>
  <c r="ET8" i="3" l="1"/>
  <c r="ES8" i="3"/>
  <c r="ER8" i="3"/>
  <c r="ET4" i="3"/>
  <c r="ER4" i="3"/>
  <c r="ES4" i="3"/>
  <c r="AZ10" i="4" l="1"/>
  <c r="AY10" i="4"/>
  <c r="AX10" i="4"/>
  <c r="AX12" i="4" s="1"/>
  <c r="AX14" i="4" s="1"/>
  <c r="AX19" i="4" s="1"/>
  <c r="AX21" i="4" s="1"/>
  <c r="AZ12" i="4"/>
  <c r="AZ14" i="4" s="1"/>
  <c r="AZ19" i="4" s="1"/>
  <c r="AZ21" i="4" s="1"/>
  <c r="AY12" i="4"/>
  <c r="AY14" i="4" s="1"/>
  <c r="AY19" i="4" s="1"/>
  <c r="AY21" i="4" s="1"/>
  <c r="ET21" i="3" l="1"/>
  <c r="ES21" i="3"/>
  <c r="ER21" i="3"/>
  <c r="ET23" i="3"/>
  <c r="ET19" i="3" s="1"/>
  <c r="ES23" i="3"/>
  <c r="ES19" i="3" s="1"/>
  <c r="ER23" i="3"/>
  <c r="ER19" i="3" s="1"/>
  <c r="ET25" i="3"/>
  <c r="ES25" i="3"/>
  <c r="ER25" i="3"/>
  <c r="ET10" i="3"/>
  <c r="ES10" i="3"/>
  <c r="ER10" i="3"/>
  <c r="ET7" i="3"/>
  <c r="ES7" i="3"/>
  <c r="ET5" i="3"/>
  <c r="ES5" i="3"/>
  <c r="ER5" i="3"/>
  <c r="L18" i="4" l="1"/>
  <c r="L17" i="4"/>
  <c r="L16" i="4"/>
  <c r="L11" i="4"/>
  <c r="L9" i="4"/>
  <c r="L8" i="4"/>
  <c r="L7" i="4"/>
  <c r="AU38" i="3"/>
  <c r="AU36" i="3"/>
  <c r="AU34" i="3"/>
  <c r="AU32" i="3"/>
  <c r="AU30" i="3"/>
  <c r="AU28" i="3"/>
  <c r="AU26" i="3"/>
  <c r="AU23" i="3"/>
  <c r="K23" i="3" s="1"/>
  <c r="AU21" i="3"/>
  <c r="K21" i="3" s="1"/>
  <c r="AU19" i="3"/>
  <c r="AU17" i="3"/>
  <c r="K17" i="3" s="1"/>
  <c r="AU15" i="3"/>
  <c r="K15" i="3" s="1"/>
  <c r="AU13" i="3"/>
  <c r="K13" i="3" s="1"/>
  <c r="AU11" i="3"/>
  <c r="K11" i="3" s="1"/>
  <c r="AU8" i="3"/>
  <c r="K8" i="3" s="1"/>
  <c r="AU7" i="3"/>
  <c r="K7" i="3" s="1"/>
  <c r="AU5" i="3"/>
  <c r="K5" i="3" s="1"/>
  <c r="AU4" i="3"/>
  <c r="K10" i="3"/>
  <c r="K25" i="3" s="1"/>
  <c r="AU8" i="4"/>
  <c r="K4" i="3" l="1"/>
  <c r="AW6" i="4"/>
  <c r="EO17" i="3"/>
  <c r="EO13" i="3"/>
  <c r="EO11" i="3"/>
  <c r="AS11" i="3" s="1"/>
  <c r="AU18" i="4"/>
  <c r="AU11" i="4"/>
  <c r="AU7" i="4"/>
  <c r="AS38" i="3"/>
  <c r="AS36" i="3"/>
  <c r="AS34" i="3"/>
  <c r="AS32" i="3"/>
  <c r="AS30" i="3"/>
  <c r="AS28" i="3"/>
  <c r="AS26" i="3"/>
  <c r="AS25" i="3"/>
  <c r="AS21" i="3"/>
  <c r="AS13" i="3"/>
  <c r="AS10" i="3"/>
  <c r="AS5" i="3"/>
  <c r="EO10" i="3"/>
  <c r="EO25" i="3" s="1"/>
  <c r="EN10" i="3"/>
  <c r="EN25" i="3" s="1"/>
  <c r="EM10" i="3"/>
  <c r="EM25" i="3" s="1"/>
  <c r="EO7" i="3"/>
  <c r="AS7" i="3" s="1"/>
  <c r="EO8" i="3"/>
  <c r="EN8" i="3"/>
  <c r="EM8" i="3"/>
  <c r="EO4" i="3"/>
  <c r="EO23" i="3" s="1"/>
  <c r="EO19" i="3" s="1"/>
  <c r="EN4" i="3"/>
  <c r="EN23" i="3" s="1"/>
  <c r="EN19" i="3" s="1"/>
  <c r="EM4" i="3"/>
  <c r="AT11" i="4"/>
  <c r="AT8" i="4"/>
  <c r="AT7" i="4"/>
  <c r="EL8" i="3"/>
  <c r="EK8" i="3"/>
  <c r="EJ8" i="3"/>
  <c r="EL4" i="3"/>
  <c r="EK4" i="3"/>
  <c r="EJ4" i="3"/>
  <c r="AW10" i="4" l="1"/>
  <c r="L6" i="4"/>
  <c r="AS8" i="3"/>
  <c r="AS4" i="3"/>
  <c r="AU6" i="4" s="1"/>
  <c r="AU10" i="4" s="1"/>
  <c r="AU12" i="4" s="1"/>
  <c r="AU14" i="4" s="1"/>
  <c r="AU19" i="4" s="1"/>
  <c r="AU21" i="4" s="1"/>
  <c r="EM23" i="3"/>
  <c r="AS23" i="3" s="1"/>
  <c r="EO15" i="3"/>
  <c r="AT18" i="4"/>
  <c r="AW12" i="4" l="1"/>
  <c r="L10" i="4"/>
  <c r="EM19" i="3"/>
  <c r="AS19" i="3" s="1"/>
  <c r="AS15" i="3"/>
  <c r="AS17" i="3"/>
  <c r="EL23" i="3"/>
  <c r="EL19" i="3" s="1"/>
  <c r="EK23" i="3"/>
  <c r="EK19" i="3" s="1"/>
  <c r="EJ23" i="3"/>
  <c r="EJ19" i="3" s="1"/>
  <c r="AR25" i="3"/>
  <c r="AR21" i="3"/>
  <c r="AR11" i="3"/>
  <c r="AR10" i="3"/>
  <c r="AR8" i="3"/>
  <c r="AR7" i="3"/>
  <c r="AR5" i="3"/>
  <c r="AR4" i="3"/>
  <c r="AR38" i="3"/>
  <c r="J38" i="3" s="1"/>
  <c r="AR36" i="3"/>
  <c r="J36" i="3" s="1"/>
  <c r="AR34" i="3"/>
  <c r="J34" i="3" s="1"/>
  <c r="AR32" i="3"/>
  <c r="J32" i="3" s="1"/>
  <c r="AR30" i="3"/>
  <c r="J30" i="3" s="1"/>
  <c r="AR28" i="3"/>
  <c r="J28" i="3" s="1"/>
  <c r="AR26" i="3"/>
  <c r="J26" i="3" s="1"/>
  <c r="EL10" i="3"/>
  <c r="EL25" i="3" s="1"/>
  <c r="EK10" i="3"/>
  <c r="EK25" i="3" s="1"/>
  <c r="EJ10" i="3"/>
  <c r="EJ25" i="3" s="1"/>
  <c r="AS8" i="4"/>
  <c r="AW14" i="4" l="1"/>
  <c r="L12" i="4"/>
  <c r="AT6" i="4"/>
  <c r="AT10" i="4" s="1"/>
  <c r="AT12" i="4" s="1"/>
  <c r="AT14" i="4" s="1"/>
  <c r="AT19" i="4" s="1"/>
  <c r="AT21" i="4" s="1"/>
  <c r="AR23" i="3"/>
  <c r="AR19" i="3"/>
  <c r="AR13" i="3"/>
  <c r="AR15" i="3"/>
  <c r="AS7" i="4"/>
  <c r="AS16" i="4"/>
  <c r="AS17" i="4"/>
  <c r="AS11" i="4"/>
  <c r="EI11" i="3"/>
  <c r="AW19" i="4" l="1"/>
  <c r="L14" i="4"/>
  <c r="AR17" i="3"/>
  <c r="EI8" i="3"/>
  <c r="EH8" i="3"/>
  <c r="EG8" i="3"/>
  <c r="AW21" i="4" l="1"/>
  <c r="L21" i="4" s="1"/>
  <c r="L19" i="4"/>
  <c r="EI5" i="3"/>
  <c r="EI4" i="3" l="1"/>
  <c r="EI23" i="3" s="1"/>
  <c r="EI19" i="3" s="1"/>
  <c r="EH4" i="3"/>
  <c r="EH23" i="3" s="1"/>
  <c r="EH19" i="3" s="1"/>
  <c r="EG4" i="3"/>
  <c r="EG23" i="3" l="1"/>
  <c r="EG19" i="3" s="1"/>
  <c r="AQ4" i="3"/>
  <c r="AS18" i="4"/>
  <c r="AQ38" i="3" l="1"/>
  <c r="AQ36" i="3"/>
  <c r="AQ34" i="3"/>
  <c r="AQ32" i="3"/>
  <c r="AQ30" i="3"/>
  <c r="AQ28" i="3"/>
  <c r="AQ26" i="3"/>
  <c r="AQ25" i="3"/>
  <c r="AQ23" i="3"/>
  <c r="AQ21" i="3"/>
  <c r="AQ19" i="3"/>
  <c r="AQ17" i="3"/>
  <c r="AQ15" i="3"/>
  <c r="AQ13" i="3"/>
  <c r="AQ11" i="3"/>
  <c r="AQ10" i="3"/>
  <c r="AQ8" i="3"/>
  <c r="AQ7" i="3"/>
  <c r="AQ5" i="3"/>
  <c r="EI10" i="3"/>
  <c r="EI25" i="3" s="1"/>
  <c r="EH10" i="3"/>
  <c r="EH25" i="3" s="1"/>
  <c r="EG10" i="3"/>
  <c r="EG25" i="3" s="1"/>
  <c r="EF8" i="3"/>
  <c r="EE8" i="3"/>
  <c r="ED8" i="3"/>
  <c r="EF4" i="3"/>
  <c r="EE4" i="3"/>
  <c r="ED4" i="3"/>
  <c r="AR18" i="4"/>
  <c r="AR17" i="4"/>
  <c r="AR11" i="4"/>
  <c r="AR7" i="4"/>
  <c r="AS6" i="4" l="1"/>
  <c r="AS10" i="4" s="1"/>
  <c r="AS12" i="4" s="1"/>
  <c r="AS14" i="4" s="1"/>
  <c r="AS19" i="4" s="1"/>
  <c r="AS21" i="4" s="1"/>
  <c r="AR8" i="4"/>
  <c r="K18" i="4" l="1"/>
  <c r="K17" i="4"/>
  <c r="K11" i="4"/>
  <c r="K20" i="4"/>
  <c r="K16" i="4"/>
  <c r="K15" i="4"/>
  <c r="K13" i="4"/>
  <c r="K9" i="4"/>
  <c r="K8" i="4"/>
  <c r="K7" i="4"/>
  <c r="AP38" i="3" l="1"/>
  <c r="AP36" i="3"/>
  <c r="AP34" i="3"/>
  <c r="AP32" i="3"/>
  <c r="AP30" i="3"/>
  <c r="AP28" i="3"/>
  <c r="AP26" i="3"/>
  <c r="J10" i="3" l="1"/>
  <c r="J25" i="3" s="1"/>
  <c r="AP25" i="3"/>
  <c r="AP10" i="3"/>
  <c r="AP21" i="3"/>
  <c r="J21" i="3" s="1"/>
  <c r="AP17" i="3"/>
  <c r="J17" i="3" s="1"/>
  <c r="AP15" i="3"/>
  <c r="J15" i="3" s="1"/>
  <c r="AP13" i="3"/>
  <c r="J13" i="3" s="1"/>
  <c r="AP11" i="3"/>
  <c r="J11" i="3" s="1"/>
  <c r="AP8" i="3"/>
  <c r="J8" i="3" s="1"/>
  <c r="AP7" i="3"/>
  <c r="J7" i="3" s="1"/>
  <c r="AP5" i="3"/>
  <c r="J5" i="3" s="1"/>
  <c r="AP4" i="3"/>
  <c r="J4" i="3" s="1"/>
  <c r="EF10" i="3"/>
  <c r="EF25" i="3" s="1"/>
  <c r="EE10" i="3"/>
  <c r="EE25" i="3" s="1"/>
  <c r="ED10" i="3"/>
  <c r="ED25" i="3" s="1"/>
  <c r="EF23" i="3"/>
  <c r="EF19" i="3" s="1"/>
  <c r="EE23" i="3"/>
  <c r="EE19" i="3" s="1"/>
  <c r="ED23" i="3"/>
  <c r="ED19" i="3" s="1"/>
  <c r="AP19" i="3" l="1"/>
  <c r="AR6" i="4"/>
  <c r="AP23" i="3"/>
  <c r="J23" i="3" s="1"/>
  <c r="AP7" i="4"/>
  <c r="AP18" i="4"/>
  <c r="AP11" i="4"/>
  <c r="AP8" i="4"/>
  <c r="K6" i="4" l="1"/>
  <c r="AR10" i="4"/>
  <c r="DX8" i="3"/>
  <c r="DW8" i="3"/>
  <c r="DV8" i="3"/>
  <c r="K10" i="4" l="1"/>
  <c r="AR12" i="4"/>
  <c r="DX4" i="3"/>
  <c r="DW4" i="3"/>
  <c r="DV4" i="3"/>
  <c r="K12" i="4" l="1"/>
  <c r="AR14" i="4"/>
  <c r="AN5" i="3"/>
  <c r="AM26" i="3"/>
  <c r="AN38" i="3"/>
  <c r="I38" i="3" s="1"/>
  <c r="AN36" i="3"/>
  <c r="I36" i="3" s="1"/>
  <c r="AN34" i="3"/>
  <c r="I34" i="3" s="1"/>
  <c r="AN32" i="3"/>
  <c r="I32" i="3" s="1"/>
  <c r="AN30" i="3"/>
  <c r="I30" i="3" s="1"/>
  <c r="AN28" i="3"/>
  <c r="I28" i="3" s="1"/>
  <c r="AN26" i="3"/>
  <c r="I26" i="3" s="1"/>
  <c r="AN21" i="3"/>
  <c r="AN17" i="3"/>
  <c r="AN15" i="3"/>
  <c r="AN13" i="3"/>
  <c r="AN11" i="3"/>
  <c r="AN8" i="3"/>
  <c r="AN7" i="3"/>
  <c r="AN6" i="3"/>
  <c r="AN4" i="3"/>
  <c r="K14" i="4" l="1"/>
  <c r="AR19" i="4"/>
  <c r="AP6" i="4"/>
  <c r="AP10" i="4" s="1"/>
  <c r="AP12" i="4" s="1"/>
  <c r="AP14" i="4" s="1"/>
  <c r="AO18" i="4"/>
  <c r="DU8" i="3"/>
  <c r="DT8" i="3"/>
  <c r="DU4" i="3"/>
  <c r="DT4" i="3"/>
  <c r="K19" i="4" l="1"/>
  <c r="AR21" i="4"/>
  <c r="K21" i="4" s="1"/>
  <c r="DU23" i="3"/>
  <c r="DU19" i="3" s="1"/>
  <c r="DT23" i="3"/>
  <c r="DT19" i="3" s="1"/>
  <c r="DS26" i="3"/>
  <c r="DS17" i="3"/>
  <c r="AM17" i="3" s="1"/>
  <c r="DS15" i="3"/>
  <c r="AM15" i="3" s="1"/>
  <c r="DS13" i="3"/>
  <c r="AM13" i="3" s="1"/>
  <c r="DS11" i="3"/>
  <c r="AM11" i="3" s="1"/>
  <c r="AM5" i="3"/>
  <c r="AM38" i="3"/>
  <c r="AM36" i="3"/>
  <c r="AM34" i="3"/>
  <c r="AM32" i="3"/>
  <c r="AM30" i="3"/>
  <c r="AM28" i="3"/>
  <c r="AM21" i="3"/>
  <c r="AM7" i="3"/>
  <c r="AM6" i="3"/>
  <c r="AN9" i="4" l="1"/>
  <c r="AL38" i="3" l="1"/>
  <c r="AL36" i="3"/>
  <c r="AL34" i="3"/>
  <c r="AL32" i="3"/>
  <c r="AL30" i="3"/>
  <c r="AL28" i="3"/>
  <c r="AL26" i="3"/>
  <c r="DR17" i="3"/>
  <c r="DR15" i="3"/>
  <c r="DR13" i="3"/>
  <c r="DR11" i="3"/>
  <c r="DQ26" i="3" l="1"/>
  <c r="DP26" i="3"/>
  <c r="DP21" i="3"/>
  <c r="DQ21" i="3"/>
  <c r="DQ17" i="3" l="1"/>
  <c r="DP17" i="3"/>
  <c r="DQ15" i="3"/>
  <c r="DP15" i="3"/>
  <c r="DQ13" i="3"/>
  <c r="DP13" i="3"/>
  <c r="DQ11" i="3"/>
  <c r="DP11" i="3"/>
  <c r="AL21" i="3" l="1"/>
  <c r="AL17" i="3"/>
  <c r="AL15" i="3"/>
  <c r="AL13" i="3"/>
  <c r="AL11" i="3"/>
  <c r="AL7" i="3"/>
  <c r="AL6" i="3"/>
  <c r="AL5" i="3"/>
  <c r="J20" i="4" l="1"/>
  <c r="J16" i="4"/>
  <c r="J15" i="4"/>
  <c r="J13" i="4"/>
  <c r="J9" i="4"/>
  <c r="DO8" i="3"/>
  <c r="DN8" i="3"/>
  <c r="DM8" i="3"/>
  <c r="AK38" i="3" l="1"/>
  <c r="AK36" i="3"/>
  <c r="AK34" i="3"/>
  <c r="AK32" i="3"/>
  <c r="AK30" i="3"/>
  <c r="AK28" i="3"/>
  <c r="AK26" i="3"/>
  <c r="AK21" i="3"/>
  <c r="I21" i="3" s="1"/>
  <c r="AK17" i="3"/>
  <c r="I17" i="3" s="1"/>
  <c r="AK15" i="3"/>
  <c r="I15" i="3" s="1"/>
  <c r="AK13" i="3"/>
  <c r="I13" i="3" s="1"/>
  <c r="AK11" i="3"/>
  <c r="I11" i="3" s="1"/>
  <c r="AK8" i="3"/>
  <c r="AK7" i="3"/>
  <c r="I7" i="3" s="1"/>
  <c r="AK6" i="3"/>
  <c r="I6" i="3" s="1"/>
  <c r="AK5" i="3"/>
  <c r="I5" i="3" s="1"/>
  <c r="AK4" i="3"/>
  <c r="DN23" i="3"/>
  <c r="DN19" i="3" s="1"/>
  <c r="DO23" i="3"/>
  <c r="DO19" i="3" s="1"/>
  <c r="DV23" i="3"/>
  <c r="DW23" i="3"/>
  <c r="DW19" i="3" s="1"/>
  <c r="DX23" i="3"/>
  <c r="DX19" i="3" s="1"/>
  <c r="DM23" i="3"/>
  <c r="DM19" i="3" s="1"/>
  <c r="AF4" i="3"/>
  <c r="AN23" i="3" l="1"/>
  <c r="DV19" i="3"/>
  <c r="AN19" i="3" s="1"/>
  <c r="AK19" i="3"/>
  <c r="AK23" i="3"/>
  <c r="AM6" i="4"/>
  <c r="AM10" i="4" s="1"/>
  <c r="AM12" i="4" s="1"/>
  <c r="AF5" i="3"/>
  <c r="I7" i="4"/>
  <c r="I20" i="4"/>
  <c r="I18" i="4"/>
  <c r="I17" i="4"/>
  <c r="I16" i="4"/>
  <c r="I15" i="4"/>
  <c r="I13" i="4"/>
  <c r="I11" i="4"/>
  <c r="I9" i="4"/>
  <c r="I8" i="4"/>
  <c r="AI38" i="3"/>
  <c r="AH38" i="3"/>
  <c r="AG38" i="3"/>
  <c r="AF38" i="3"/>
  <c r="H38" i="3" s="1"/>
  <c r="AI36" i="3"/>
  <c r="AH36" i="3"/>
  <c r="AG36" i="3"/>
  <c r="AF36" i="3"/>
  <c r="H36" i="3" s="1"/>
  <c r="AI34" i="3"/>
  <c r="AH34" i="3"/>
  <c r="AG34" i="3"/>
  <c r="AF34" i="3"/>
  <c r="H34" i="3" s="1"/>
  <c r="AI32" i="3"/>
  <c r="AH32" i="3"/>
  <c r="AG32" i="3"/>
  <c r="AF32" i="3"/>
  <c r="H32" i="3" s="1"/>
  <c r="AI30" i="3"/>
  <c r="AH30" i="3"/>
  <c r="AG30" i="3"/>
  <c r="AF30" i="3"/>
  <c r="H30" i="3" s="1"/>
  <c r="AI28" i="3"/>
  <c r="AH28" i="3"/>
  <c r="AG28" i="3"/>
  <c r="AF28" i="3"/>
  <c r="H28" i="3" s="1"/>
  <c r="AI26" i="3"/>
  <c r="AH26" i="3"/>
  <c r="AG26" i="3"/>
  <c r="AF26" i="3"/>
  <c r="H26" i="3" s="1"/>
  <c r="AI21" i="3"/>
  <c r="AH21" i="3"/>
  <c r="AG21" i="3"/>
  <c r="AF21" i="3"/>
  <c r="AI17" i="3"/>
  <c r="AH17" i="3"/>
  <c r="AG17" i="3"/>
  <c r="AF17" i="3"/>
  <c r="AI15" i="3"/>
  <c r="AH15" i="3"/>
  <c r="AG15" i="3"/>
  <c r="AF15" i="3"/>
  <c r="AI13" i="3"/>
  <c r="AH13" i="3"/>
  <c r="AG13" i="3"/>
  <c r="AF13" i="3"/>
  <c r="AI11" i="3"/>
  <c r="AH11" i="3"/>
  <c r="AG11" i="3"/>
  <c r="AF11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I4" i="3"/>
  <c r="AH4" i="3"/>
  <c r="AG4" i="3"/>
  <c r="DI23" i="3"/>
  <c r="DI19" i="3" s="1"/>
  <c r="DK23" i="3"/>
  <c r="DK19" i="3" s="1"/>
  <c r="DJ23" i="3"/>
  <c r="DJ19" i="3" s="1"/>
  <c r="DH23" i="3"/>
  <c r="DH19" i="3" s="1"/>
  <c r="DG23" i="3"/>
  <c r="DG19" i="3" s="1"/>
  <c r="DF23" i="3"/>
  <c r="DF19" i="3" s="1"/>
  <c r="DE23" i="3"/>
  <c r="DE19" i="3" s="1"/>
  <c r="DD23" i="3"/>
  <c r="DD19" i="3" s="1"/>
  <c r="DC23" i="3"/>
  <c r="DB23" i="3"/>
  <c r="DB19" i="3" s="1"/>
  <c r="DA23" i="3"/>
  <c r="DA19" i="3" s="1"/>
  <c r="CZ23" i="3"/>
  <c r="CZ19" i="3" s="1"/>
  <c r="AH6" i="4" l="1"/>
  <c r="AM14" i="4"/>
  <c r="AK6" i="4"/>
  <c r="AK10" i="4" s="1"/>
  <c r="AK12" i="4" s="1"/>
  <c r="AK14" i="4" s="1"/>
  <c r="AK19" i="4" s="1"/>
  <c r="AK21" i="4" s="1"/>
  <c r="AI19" i="3"/>
  <c r="H17" i="3"/>
  <c r="AH19" i="3"/>
  <c r="H15" i="3"/>
  <c r="AJ6" i="4"/>
  <c r="AJ10" i="4" s="1"/>
  <c r="AJ12" i="4" s="1"/>
  <c r="AJ14" i="4" s="1"/>
  <c r="AJ19" i="4" s="1"/>
  <c r="AJ21" i="4" s="1"/>
  <c r="H8" i="3"/>
  <c r="H7" i="3"/>
  <c r="H6" i="3"/>
  <c r="AI6" i="4"/>
  <c r="H5" i="3"/>
  <c r="DC19" i="3"/>
  <c r="AG19" i="3" s="1"/>
  <c r="H21" i="3"/>
  <c r="H13" i="3"/>
  <c r="H11" i="3"/>
  <c r="AF19" i="3"/>
  <c r="H4" i="3"/>
  <c r="AG23" i="3"/>
  <c r="AH23" i="3"/>
  <c r="AF23" i="3"/>
  <c r="AI23" i="3"/>
  <c r="AD28" i="3"/>
  <c r="G28" i="3" s="1"/>
  <c r="AC38" i="3"/>
  <c r="AC36" i="3"/>
  <c r="AC34" i="3"/>
  <c r="AC32" i="3"/>
  <c r="AC30" i="3"/>
  <c r="AC28" i="3"/>
  <c r="AD38" i="3"/>
  <c r="G38" i="3" s="1"/>
  <c r="AD36" i="3"/>
  <c r="G36" i="3" s="1"/>
  <c r="AD34" i="3"/>
  <c r="G34" i="3" s="1"/>
  <c r="AD32" i="3"/>
  <c r="G32" i="3" s="1"/>
  <c r="AD30" i="3"/>
  <c r="G30" i="3" s="1"/>
  <c r="AD26" i="3"/>
  <c r="G26" i="3" s="1"/>
  <c r="AC26" i="3"/>
  <c r="AB38" i="3"/>
  <c r="AB36" i="3"/>
  <c r="AB34" i="3"/>
  <c r="AB32" i="3"/>
  <c r="AB30" i="3"/>
  <c r="AB28" i="3"/>
  <c r="AB26" i="3"/>
  <c r="AA26" i="3"/>
  <c r="AI10" i="4" l="1"/>
  <c r="AI12" i="4" s="1"/>
  <c r="AI14" i="4" s="1"/>
  <c r="AI19" i="4" s="1"/>
  <c r="AI21" i="4" s="1"/>
  <c r="I6" i="4"/>
  <c r="AM19" i="4"/>
  <c r="AM21" i="4" s="1"/>
  <c r="H23" i="3"/>
  <c r="H19" i="3" s="1"/>
  <c r="AH10" i="4"/>
  <c r="AH12" i="4" s="1"/>
  <c r="AH14" i="4" s="1"/>
  <c r="AH19" i="4" s="1"/>
  <c r="AH21" i="4" s="1"/>
  <c r="I21" i="4" l="1"/>
  <c r="I12" i="4"/>
  <c r="I10" i="4"/>
  <c r="I19" i="4"/>
  <c r="I14" i="4"/>
  <c r="CM23" i="3"/>
  <c r="H9" i="4" l="1"/>
  <c r="H20" i="4" l="1"/>
  <c r="H18" i="4"/>
  <c r="H17" i="4"/>
  <c r="H16" i="4"/>
  <c r="H15" i="4"/>
  <c r="H13" i="4"/>
  <c r="H11" i="4"/>
  <c r="H8" i="4"/>
  <c r="H7" i="4"/>
  <c r="AA38" i="3"/>
  <c r="AA36" i="3"/>
  <c r="AA34" i="3"/>
  <c r="AA32" i="3"/>
  <c r="AA30" i="3"/>
  <c r="AA28" i="3"/>
  <c r="AD21" i="3"/>
  <c r="AC21" i="3"/>
  <c r="AB21" i="3"/>
  <c r="AA21" i="3"/>
  <c r="AD17" i="3"/>
  <c r="AC17" i="3"/>
  <c r="AB17" i="3"/>
  <c r="AA17" i="3"/>
  <c r="AD15" i="3"/>
  <c r="AC15" i="3"/>
  <c r="AB15" i="3"/>
  <c r="AA15" i="3"/>
  <c r="AD13" i="3"/>
  <c r="AC13" i="3"/>
  <c r="AB13" i="3"/>
  <c r="AA13" i="3"/>
  <c r="AD11" i="3"/>
  <c r="AC11" i="3"/>
  <c r="AB11" i="3"/>
  <c r="AA11" i="3"/>
  <c r="AA5" i="3"/>
  <c r="AB5" i="3"/>
  <c r="AC5" i="3"/>
  <c r="AD5" i="3"/>
  <c r="AA6" i="3"/>
  <c r="AB6" i="3"/>
  <c r="AC6" i="3"/>
  <c r="AD6" i="3"/>
  <c r="AA7" i="3"/>
  <c r="AB7" i="3"/>
  <c r="AC7" i="3"/>
  <c r="AD7" i="3"/>
  <c r="AA8" i="3"/>
  <c r="AB8" i="3"/>
  <c r="AC8" i="3"/>
  <c r="AD8" i="3"/>
  <c r="AD4" i="3"/>
  <c r="AC4" i="3"/>
  <c r="AB4" i="3"/>
  <c r="AA4" i="3"/>
  <c r="G11" i="3" l="1"/>
  <c r="G15" i="3"/>
  <c r="G21" i="3"/>
  <c r="G13" i="3"/>
  <c r="G17" i="3"/>
  <c r="AC6" i="4"/>
  <c r="AC10" i="4" s="1"/>
  <c r="AC12" i="4" s="1"/>
  <c r="AC14" i="4" s="1"/>
  <c r="AC19" i="4" s="1"/>
  <c r="AC21" i="4" s="1"/>
  <c r="G4" i="3"/>
  <c r="G8" i="3"/>
  <c r="G7" i="3"/>
  <c r="G6" i="3"/>
  <c r="G5" i="3"/>
  <c r="AF6" i="4"/>
  <c r="AF10" i="4" s="1"/>
  <c r="AF12" i="4" s="1"/>
  <c r="AF14" i="4" s="1"/>
  <c r="AF19" i="4" s="1"/>
  <c r="AF21" i="4" s="1"/>
  <c r="AE6" i="4"/>
  <c r="AD6" i="4"/>
  <c r="AD10" i="4" s="1"/>
  <c r="AD12" i="4" s="1"/>
  <c r="AD14" i="4" s="1"/>
  <c r="AD19" i="4" s="1"/>
  <c r="AD21" i="4" s="1"/>
  <c r="CN23" i="3"/>
  <c r="CN19" i="3" s="1"/>
  <c r="CO23" i="3"/>
  <c r="CO19" i="3" s="1"/>
  <c r="CP23" i="3"/>
  <c r="CP19" i="3" s="1"/>
  <c r="CQ23" i="3"/>
  <c r="CQ19" i="3" s="1"/>
  <c r="CR23" i="3"/>
  <c r="CR19" i="3" s="1"/>
  <c r="CS23" i="3"/>
  <c r="CS19" i="3" s="1"/>
  <c r="CT23" i="3"/>
  <c r="CT19" i="3" s="1"/>
  <c r="CU23" i="3"/>
  <c r="CU19" i="3" s="1"/>
  <c r="CV23" i="3"/>
  <c r="CV19" i="3" s="1"/>
  <c r="CW23" i="3"/>
  <c r="CW19" i="3" s="1"/>
  <c r="CX23" i="3"/>
  <c r="CX19" i="3" s="1"/>
  <c r="AD23" i="3" l="1"/>
  <c r="AD19" i="3" s="1"/>
  <c r="H6" i="4"/>
  <c r="AE10" i="4"/>
  <c r="AE12" i="4" s="1"/>
  <c r="AE14" i="4" s="1"/>
  <c r="AE19" i="4" s="1"/>
  <c r="AE21" i="4" s="1"/>
  <c r="H21" i="4" s="1"/>
  <c r="AC23" i="3"/>
  <c r="AC19" i="3" s="1"/>
  <c r="AB23" i="3"/>
  <c r="AB19" i="3" s="1"/>
  <c r="CM19" i="3"/>
  <c r="AA23" i="3"/>
  <c r="W7" i="3"/>
  <c r="G23" i="3" l="1"/>
  <c r="G19" i="3" s="1"/>
  <c r="H10" i="4"/>
  <c r="H14" i="4"/>
  <c r="H12" i="4"/>
  <c r="H19" i="4"/>
  <c r="AA19" i="3"/>
  <c r="CK30" i="3" l="1"/>
  <c r="CJ30" i="3"/>
  <c r="CI30" i="3"/>
  <c r="W4" i="3" l="1"/>
  <c r="X7" i="3"/>
  <c r="Y38" i="3" l="1"/>
  <c r="F38" i="3" s="1"/>
  <c r="Y36" i="3"/>
  <c r="F36" i="3" s="1"/>
  <c r="Y34" i="3"/>
  <c r="F34" i="3" s="1"/>
  <c r="Y32" i="3"/>
  <c r="F32" i="3" s="1"/>
  <c r="Y30" i="3"/>
  <c r="F30" i="3" s="1"/>
  <c r="Y17" i="3"/>
  <c r="Y15" i="3"/>
  <c r="Y13" i="3"/>
  <c r="Y11" i="3"/>
  <c r="Y6" i="3"/>
  <c r="Y8" i="3" l="1"/>
  <c r="Y7" i="3"/>
  <c r="Y28" i="3" l="1"/>
  <c r="F28" i="3" s="1"/>
  <c r="Y26" i="3"/>
  <c r="F26" i="3" s="1"/>
  <c r="CI19" i="3"/>
  <c r="Y21" i="3"/>
  <c r="CK23" i="3"/>
  <c r="CJ23" i="3" l="1"/>
  <c r="CJ19" i="3" s="1"/>
  <c r="Y4" i="3"/>
  <c r="Y5" i="3"/>
  <c r="CK19" i="3"/>
  <c r="Y23" i="3" l="1"/>
  <c r="Y19" i="3"/>
  <c r="AA6" i="4"/>
  <c r="AA10" i="4" s="1"/>
  <c r="AA12" i="4" s="1"/>
  <c r="AA14" i="4" s="1"/>
  <c r="AA19" i="4" s="1"/>
  <c r="AA21" i="4" l="1"/>
  <c r="X38" i="3"/>
  <c r="X36" i="3"/>
  <c r="X34" i="3"/>
  <c r="X32" i="3"/>
  <c r="X30" i="3"/>
  <c r="X17" i="3"/>
  <c r="X15" i="3"/>
  <c r="X13" i="3"/>
  <c r="X11" i="3"/>
  <c r="X6" i="3"/>
  <c r="X8" i="3"/>
  <c r="X28" i="3"/>
  <c r="X26" i="3"/>
  <c r="X21" i="3" l="1"/>
  <c r="CG23" i="3"/>
  <c r="CG19" i="3" s="1"/>
  <c r="CH23" i="3"/>
  <c r="CH19" i="3" s="1"/>
  <c r="X5" i="3" l="1"/>
  <c r="X4" i="3"/>
  <c r="CF23" i="3"/>
  <c r="G15" i="4"/>
  <c r="Z6" i="4" l="1"/>
  <c r="Z10" i="4" s="1"/>
  <c r="Z12" i="4" s="1"/>
  <c r="Z14" i="4" s="1"/>
  <c r="Z19" i="4" s="1"/>
  <c r="Z21" i="4" s="1"/>
  <c r="X23" i="3"/>
  <c r="CF19" i="3"/>
  <c r="X19" i="3" s="1"/>
  <c r="V8" i="3" l="1"/>
  <c r="V7" i="3"/>
  <c r="W5" i="3" l="1"/>
  <c r="V5" i="3"/>
  <c r="V4" i="3"/>
  <c r="G20" i="4"/>
  <c r="G18" i="4"/>
  <c r="G17" i="4"/>
  <c r="G16" i="4"/>
  <c r="G13" i="4"/>
  <c r="G11" i="4"/>
  <c r="G9" i="4"/>
  <c r="G8" i="4"/>
  <c r="G7" i="4"/>
  <c r="CC23" i="3"/>
  <c r="CC19" i="3" s="1"/>
  <c r="W38" i="3"/>
  <c r="W36" i="3"/>
  <c r="W34" i="3"/>
  <c r="W32" i="3"/>
  <c r="W30" i="3"/>
  <c r="V30" i="3"/>
  <c r="W28" i="3"/>
  <c r="V28" i="3"/>
  <c r="W26" i="3"/>
  <c r="W21" i="3"/>
  <c r="W17" i="3"/>
  <c r="W15" i="3"/>
  <c r="W6" i="3"/>
  <c r="W8" i="3"/>
  <c r="F8" i="3" s="1"/>
  <c r="Y6" i="4" l="1"/>
  <c r="W13" i="3"/>
  <c r="W11" i="3"/>
  <c r="Y10" i="4" l="1"/>
  <c r="Y12" i="4" s="1"/>
  <c r="V11" i="3"/>
  <c r="CD23" i="3"/>
  <c r="CD19" i="3" s="1"/>
  <c r="CE23" i="3"/>
  <c r="CE19" i="3" s="1"/>
  <c r="W23" i="3" l="1"/>
  <c r="W19" i="3"/>
  <c r="Y14" i="4" l="1"/>
  <c r="V38" i="3"/>
  <c r="V36" i="3"/>
  <c r="V34" i="3"/>
  <c r="V32" i="3"/>
  <c r="V26" i="3"/>
  <c r="Y19" i="4" l="1"/>
  <c r="V21" i="3"/>
  <c r="F21" i="3" s="1"/>
  <c r="CB23" i="3"/>
  <c r="CB19" i="3" s="1"/>
  <c r="CA23" i="3"/>
  <c r="CA19" i="3" s="1"/>
  <c r="BZ23" i="3"/>
  <c r="BZ19" i="3" s="1"/>
  <c r="V17" i="3"/>
  <c r="F17" i="3" s="1"/>
  <c r="V15" i="3"/>
  <c r="F15" i="3" s="1"/>
  <c r="V13" i="3"/>
  <c r="F13" i="3" s="1"/>
  <c r="F11" i="3"/>
  <c r="V6" i="3"/>
  <c r="F6" i="3" s="1"/>
  <c r="F5" i="3"/>
  <c r="V19" i="3" l="1"/>
  <c r="Y21" i="4"/>
  <c r="V23" i="3"/>
  <c r="F23" i="3" s="1"/>
  <c r="F19" i="3" s="1"/>
  <c r="F7" i="3"/>
  <c r="BK11" i="3"/>
  <c r="BJ11" i="3"/>
  <c r="BI11" i="3"/>
  <c r="BH11" i="3"/>
  <c r="BG11" i="3"/>
  <c r="BF11" i="3"/>
  <c r="BE11" i="3"/>
  <c r="BD11" i="3"/>
  <c r="BC11" i="3"/>
  <c r="BB11" i="3"/>
  <c r="BA11" i="3"/>
  <c r="AZ11" i="3"/>
  <c r="BK13" i="3"/>
  <c r="BJ13" i="3"/>
  <c r="BI13" i="3"/>
  <c r="BH13" i="3"/>
  <c r="BG13" i="3"/>
  <c r="BF13" i="3"/>
  <c r="BE13" i="3"/>
  <c r="BC13" i="3"/>
  <c r="L13" i="3"/>
  <c r="O17" i="3"/>
  <c r="N17" i="3"/>
  <c r="M17" i="3"/>
  <c r="L17" i="3"/>
  <c r="O15" i="3"/>
  <c r="N15" i="3"/>
  <c r="M15" i="3"/>
  <c r="L15" i="3"/>
  <c r="O13" i="3" l="1"/>
  <c r="N13" i="3"/>
  <c r="D13" i="3"/>
  <c r="F4" i="3"/>
  <c r="X6" i="4"/>
  <c r="G6" i="4" s="1"/>
  <c r="N11" i="3"/>
  <c r="L11" i="3"/>
  <c r="M13" i="3"/>
  <c r="O11" i="3"/>
  <c r="M11" i="3"/>
  <c r="D11" i="3"/>
  <c r="D19" i="3"/>
  <c r="O19" i="3"/>
  <c r="N19" i="3"/>
  <c r="M19" i="3"/>
  <c r="L19" i="3"/>
  <c r="X10" i="4" l="1"/>
  <c r="S21" i="3"/>
  <c r="R21" i="3"/>
  <c r="Q21" i="3"/>
  <c r="T21" i="3"/>
  <c r="E21" i="3"/>
  <c r="X12" i="4" l="1"/>
  <c r="G10" i="4"/>
  <c r="T34" i="3"/>
  <c r="E34" i="3" s="1"/>
  <c r="S34" i="3"/>
  <c r="R34" i="3"/>
  <c r="Q34" i="3"/>
  <c r="T32" i="3"/>
  <c r="E32" i="3" s="1"/>
  <c r="S32" i="3"/>
  <c r="R32" i="3"/>
  <c r="Q32" i="3"/>
  <c r="T30" i="3"/>
  <c r="E30" i="3" s="1"/>
  <c r="S30" i="3"/>
  <c r="R30" i="3"/>
  <c r="Q30" i="3"/>
  <c r="S28" i="3"/>
  <c r="Q28" i="3"/>
  <c r="T28" i="3"/>
  <c r="E28" i="3" s="1"/>
  <c r="R28" i="3"/>
  <c r="T26" i="3"/>
  <c r="E26" i="3" s="1"/>
  <c r="S26" i="3"/>
  <c r="R26" i="3"/>
  <c r="Q26" i="3"/>
  <c r="E19" i="3"/>
  <c r="T19" i="3"/>
  <c r="S19" i="3"/>
  <c r="R19" i="3"/>
  <c r="Q19" i="3"/>
  <c r="E15" i="3"/>
  <c r="E17" i="3"/>
  <c r="X14" i="4" l="1"/>
  <c r="G12" i="4"/>
  <c r="T17" i="3"/>
  <c r="S17" i="3"/>
  <c r="R17" i="3"/>
  <c r="Q17" i="3"/>
  <c r="T15" i="3"/>
  <c r="S15" i="3"/>
  <c r="R15" i="3"/>
  <c r="Q15" i="3"/>
  <c r="BX11" i="3"/>
  <c r="BW11" i="3"/>
  <c r="BV11" i="3"/>
  <c r="BU11" i="3"/>
  <c r="BT11" i="3"/>
  <c r="BS11" i="3"/>
  <c r="BR11" i="3"/>
  <c r="BQ11" i="3"/>
  <c r="BP11" i="3"/>
  <c r="BO11" i="3"/>
  <c r="BN11" i="3"/>
  <c r="BW13" i="3"/>
  <c r="BV13" i="3"/>
  <c r="BU13" i="3"/>
  <c r="BT13" i="3"/>
  <c r="BS13" i="3"/>
  <c r="BM11" i="3"/>
  <c r="BR13" i="3"/>
  <c r="BQ13" i="3"/>
  <c r="BP13" i="3"/>
  <c r="BO13" i="3"/>
  <c r="BN13" i="3"/>
  <c r="BM13" i="3"/>
  <c r="Q13" i="3" l="1"/>
  <c r="S13" i="3"/>
  <c r="T13" i="3"/>
  <c r="R11" i="3"/>
  <c r="S11" i="3"/>
  <c r="R13" i="3"/>
  <c r="T11" i="3"/>
  <c r="E11" i="3"/>
  <c r="Q11" i="3"/>
  <c r="E13" i="3"/>
  <c r="G14" i="4"/>
  <c r="D7" i="3"/>
  <c r="R6" i="3"/>
  <c r="Q6" i="3"/>
  <c r="S5" i="3"/>
  <c r="R5" i="3"/>
  <c r="Q5" i="3"/>
  <c r="BW23" i="3"/>
  <c r="BV23" i="3"/>
  <c r="BT23" i="3"/>
  <c r="BS23" i="3"/>
  <c r="R4" i="3"/>
  <c r="BQ23" i="3"/>
  <c r="BP23" i="3"/>
  <c r="BO23" i="3"/>
  <c r="BN23" i="3"/>
  <c r="BM23" i="3"/>
  <c r="T6" i="3" l="1"/>
  <c r="S7" i="3"/>
  <c r="BX23" i="3"/>
  <c r="T23" i="3" s="1"/>
  <c r="S4" i="3"/>
  <c r="R7" i="3"/>
  <c r="T6" i="4" s="1"/>
  <c r="T10" i="4" s="1"/>
  <c r="T12" i="4" s="1"/>
  <c r="T14" i="4" s="1"/>
  <c r="T19" i="4" s="1"/>
  <c r="T21" i="4" s="1"/>
  <c r="Q23" i="3"/>
  <c r="BU23" i="3"/>
  <c r="S23" i="3" s="1"/>
  <c r="T4" i="3"/>
  <c r="T5" i="3"/>
  <c r="E4" i="3"/>
  <c r="Q7" i="3"/>
  <c r="E7" i="3"/>
  <c r="BR23" i="3"/>
  <c r="R23" i="3" s="1"/>
  <c r="Q4" i="3"/>
  <c r="E5" i="3"/>
  <c r="T7" i="3"/>
  <c r="R8" i="3"/>
  <c r="Q8" i="3"/>
  <c r="E6" i="3"/>
  <c r="S6" i="3"/>
  <c r="E8" i="3" l="1"/>
  <c r="F6" i="4"/>
  <c r="T8" i="3"/>
  <c r="U6" i="4"/>
  <c r="U10" i="4" s="1"/>
  <c r="U12" i="4" s="1"/>
  <c r="U14" i="4" s="1"/>
  <c r="U19" i="4" s="1"/>
  <c r="U21" i="4" s="1"/>
  <c r="S8" i="3"/>
  <c r="V6" i="4"/>
  <c r="V10" i="4" s="1"/>
  <c r="V12" i="4" s="1"/>
  <c r="V14" i="4" s="1"/>
  <c r="V19" i="4" s="1"/>
  <c r="V21" i="4" s="1"/>
  <c r="E23" i="3"/>
  <c r="S6" i="4"/>
  <c r="S10" i="4" s="1"/>
  <c r="S12" i="4" s="1"/>
  <c r="S14" i="4" s="1"/>
  <c r="S19" i="4" s="1"/>
  <c r="S21" i="4" s="1"/>
  <c r="F10" i="4" l="1"/>
  <c r="F12" i="4" l="1"/>
  <c r="F14" i="4" s="1"/>
  <c r="F19" i="4" s="1"/>
  <c r="F21" i="4" s="1"/>
  <c r="O26" i="3" l="1"/>
  <c r="N26" i="3"/>
  <c r="M26" i="3"/>
  <c r="L26" i="3"/>
  <c r="O32" i="3"/>
  <c r="D32" i="3" s="1"/>
  <c r="N32" i="3"/>
  <c r="M32" i="3"/>
  <c r="L32" i="3"/>
  <c r="O34" i="3"/>
  <c r="D34" i="3" s="1"/>
  <c r="N34" i="3"/>
  <c r="M34" i="3"/>
  <c r="L34" i="3"/>
  <c r="O30" i="3"/>
  <c r="D30" i="3" s="1"/>
  <c r="N30" i="3"/>
  <c r="M30" i="3"/>
  <c r="L30" i="3"/>
  <c r="D28" i="3"/>
  <c r="N28" i="3"/>
  <c r="M28" i="3"/>
  <c r="L28" i="3"/>
  <c r="O28" i="3" l="1"/>
  <c r="D21" i="3" l="1"/>
  <c r="N6" i="3"/>
  <c r="M6" i="3"/>
  <c r="L6" i="3"/>
  <c r="O5" i="3"/>
  <c r="N5" i="3"/>
  <c r="M5" i="3"/>
  <c r="L5" i="3"/>
  <c r="BK6" i="3"/>
  <c r="BI6" i="3"/>
  <c r="BK23" i="3"/>
  <c r="BI23" i="3"/>
  <c r="O6" i="3" l="1"/>
  <c r="O21" i="3"/>
  <c r="N21" i="3"/>
  <c r="L8" i="3"/>
  <c r="M21" i="3"/>
  <c r="L21" i="3"/>
  <c r="D5" i="3"/>
  <c r="D6" i="3" l="1"/>
  <c r="BH23" i="3" l="1"/>
  <c r="BE23" i="3"/>
  <c r="BG23" i="3"/>
  <c r="BJ23" i="3" l="1"/>
  <c r="O23" i="3" s="1"/>
  <c r="O4" i="3"/>
  <c r="Q6" i="4" s="1"/>
  <c r="Q10" i="4" s="1"/>
  <c r="Q12" i="4" s="1"/>
  <c r="Q14" i="4" s="1"/>
  <c r="Q19" i="4" s="1"/>
  <c r="Q21" i="4" s="1"/>
  <c r="N4" i="3"/>
  <c r="P6" i="4" s="1"/>
  <c r="P10" i="4" s="1"/>
  <c r="P12" i="4" s="1"/>
  <c r="P14" i="4" s="1"/>
  <c r="P19" i="4" s="1"/>
  <c r="P21" i="4" s="1"/>
  <c r="BF23" i="3"/>
  <c r="N23" i="3" s="1"/>
  <c r="BD23" i="3"/>
  <c r="O8" i="3" l="1"/>
  <c r="M8" i="3"/>
  <c r="N8" i="3"/>
  <c r="BA23" i="3" l="1"/>
  <c r="BB23" i="3"/>
  <c r="M4" i="3" l="1"/>
  <c r="O6" i="4" s="1"/>
  <c r="O10" i="4" s="1"/>
  <c r="O12" i="4" s="1"/>
  <c r="O14" i="4" s="1"/>
  <c r="O19" i="4" s="1"/>
  <c r="O21" i="4" s="1"/>
  <c r="BC23" i="3"/>
  <c r="M23" i="3" s="1"/>
  <c r="L4" i="3"/>
  <c r="N6" i="4" s="1"/>
  <c r="N10" i="4" s="1"/>
  <c r="N12" i="4" s="1"/>
  <c r="N14" i="4" s="1"/>
  <c r="N19" i="4" s="1"/>
  <c r="N21" i="4" s="1"/>
  <c r="AZ23" i="3"/>
  <c r="D4" i="3"/>
  <c r="E6" i="4" s="1"/>
  <c r="E10" i="4" s="1"/>
  <c r="E12" i="4" s="1"/>
  <c r="E14" i="4" s="1"/>
  <c r="E19" i="4" s="1"/>
  <c r="E21" i="4" s="1"/>
  <c r="D23" i="3" l="1"/>
  <c r="L23" i="3"/>
  <c r="D8" i="3"/>
  <c r="I29" i="2" l="1"/>
  <c r="X29" i="2"/>
  <c r="X30" i="2" s="1"/>
  <c r="V30" i="2"/>
  <c r="W30" i="2"/>
  <c r="Z30" i="2"/>
  <c r="I31" i="2"/>
  <c r="X31" i="2"/>
  <c r="X32" i="2" s="1"/>
  <c r="V32" i="2"/>
  <c r="W32" i="2"/>
  <c r="Z32" i="2"/>
  <c r="K33" i="2"/>
  <c r="K29" i="2" s="1"/>
  <c r="L33" i="2"/>
  <c r="L31" i="2" s="1"/>
  <c r="M33" i="2"/>
  <c r="M31" i="2" s="1"/>
  <c r="I43" i="2"/>
  <c r="J43" i="2"/>
  <c r="K43" i="2"/>
  <c r="V44" i="2"/>
  <c r="W44" i="2"/>
  <c r="X44" i="2"/>
  <c r="Y44" i="2"/>
  <c r="Z44" i="2"/>
  <c r="AA44" i="2"/>
  <c r="AB44" i="2"/>
  <c r="AC44" i="2"/>
  <c r="I45" i="2"/>
  <c r="J45" i="2"/>
  <c r="J46" i="2" s="1"/>
  <c r="K45" i="2"/>
  <c r="V46" i="2"/>
  <c r="W46" i="2"/>
  <c r="X46" i="2"/>
  <c r="Y46" i="2"/>
  <c r="Z46" i="2"/>
  <c r="AA46" i="2"/>
  <c r="AB46" i="2"/>
  <c r="AC46" i="2"/>
  <c r="I47" i="2"/>
  <c r="J47" i="2"/>
  <c r="K47" i="2"/>
  <c r="L48" i="2" s="1"/>
  <c r="M48" i="2"/>
  <c r="V48" i="2"/>
  <c r="W48" i="2"/>
  <c r="X48" i="2"/>
  <c r="Y48" i="2"/>
  <c r="Z48" i="2"/>
  <c r="AA48" i="2"/>
  <c r="AB48" i="2"/>
  <c r="AC48" i="2"/>
  <c r="I49" i="2"/>
  <c r="J49" i="2"/>
  <c r="K49" i="2"/>
  <c r="L50" i="2" s="1"/>
  <c r="M50" i="2"/>
  <c r="V50" i="2"/>
  <c r="W50" i="2"/>
  <c r="X50" i="2"/>
  <c r="Y50" i="2"/>
  <c r="Z50" i="2"/>
  <c r="AA50" i="2"/>
  <c r="AB50" i="2"/>
  <c r="AC50" i="2"/>
  <c r="I51" i="2"/>
  <c r="J51" i="2"/>
  <c r="K51" i="2"/>
  <c r="V52" i="2"/>
  <c r="W52" i="2"/>
  <c r="X52" i="2"/>
  <c r="Y52" i="2"/>
  <c r="Z52" i="2"/>
  <c r="AA52" i="2"/>
  <c r="AB52" i="2"/>
  <c r="AC52" i="2"/>
  <c r="I53" i="2"/>
  <c r="J53" i="2"/>
  <c r="V54" i="2"/>
  <c r="W54" i="2"/>
  <c r="X54" i="2"/>
  <c r="Y54" i="2"/>
  <c r="Z54" i="2"/>
  <c r="AA54" i="2"/>
  <c r="AB54" i="2"/>
  <c r="AC54" i="2"/>
  <c r="I55" i="2"/>
  <c r="J55" i="2"/>
  <c r="K55" i="2"/>
  <c r="K56" i="2" s="1"/>
  <c r="V56" i="2"/>
  <c r="W56" i="2"/>
  <c r="X56" i="2"/>
  <c r="Y56" i="2"/>
  <c r="Z56" i="2"/>
  <c r="AA56" i="2"/>
  <c r="AB56" i="2"/>
  <c r="AC56" i="2"/>
  <c r="M60" i="2"/>
  <c r="M62" i="2"/>
  <c r="M64" i="2"/>
  <c r="M66" i="2"/>
  <c r="M68" i="2"/>
  <c r="F74" i="2"/>
  <c r="J75" i="2"/>
  <c r="K75" i="2"/>
  <c r="L75" i="2"/>
  <c r="M75" i="2"/>
  <c r="I76" i="2"/>
  <c r="I82" i="2" s="1"/>
  <c r="J76" i="2"/>
  <c r="J77" i="2" s="1"/>
  <c r="K76" i="2"/>
  <c r="L76" i="2"/>
  <c r="L82" i="2" s="1"/>
  <c r="M76" i="2"/>
  <c r="M82" i="2" s="1"/>
  <c r="F78" i="2"/>
  <c r="J79" i="2"/>
  <c r="K79" i="2"/>
  <c r="L79" i="2"/>
  <c r="M79" i="2"/>
  <c r="I80" i="2"/>
  <c r="J80" i="2"/>
  <c r="K80" i="2"/>
  <c r="L80" i="2"/>
  <c r="M80" i="2"/>
  <c r="F84" i="2"/>
  <c r="J85" i="2"/>
  <c r="F85" i="2" s="1"/>
  <c r="L85" i="2"/>
  <c r="M85" i="2"/>
  <c r="F88" i="2"/>
  <c r="J31" i="2" l="1"/>
  <c r="J32" i="2" s="1"/>
  <c r="J56" i="2"/>
  <c r="K81" i="2"/>
  <c r="K52" i="2"/>
  <c r="K48" i="2"/>
  <c r="J48" i="2"/>
  <c r="K46" i="2"/>
  <c r="J81" i="2"/>
  <c r="L55" i="2"/>
  <c r="L56" i="2" s="1"/>
  <c r="J52" i="2"/>
  <c r="Y32" i="2"/>
  <c r="M81" i="2"/>
  <c r="K44" i="2"/>
  <c r="M83" i="2"/>
  <c r="L77" i="2"/>
  <c r="J44" i="2"/>
  <c r="L29" i="2"/>
  <c r="L30" i="2" s="1"/>
  <c r="J54" i="2"/>
  <c r="J50" i="2"/>
  <c r="K31" i="2"/>
  <c r="K32" i="2" s="1"/>
  <c r="J29" i="2"/>
  <c r="J30" i="2" s="1"/>
  <c r="M32" i="2"/>
  <c r="J82" i="2"/>
  <c r="J83" i="2" s="1"/>
  <c r="M77" i="2"/>
  <c r="M55" i="2"/>
  <c r="K82" i="2"/>
  <c r="L83" i="2" s="1"/>
  <c r="F76" i="2"/>
  <c r="M53" i="2"/>
  <c r="K77" i="2"/>
  <c r="K50" i="2"/>
  <c r="M45" i="2"/>
  <c r="L53" i="2"/>
  <c r="M51" i="2"/>
  <c r="L45" i="2"/>
  <c r="M43" i="2"/>
  <c r="Y30" i="2"/>
  <c r="L81" i="2"/>
  <c r="K53" i="2"/>
  <c r="K54" i="2" s="1"/>
  <c r="L51" i="2"/>
  <c r="L43" i="2"/>
  <c r="M29" i="2"/>
  <c r="M30" i="2" l="1"/>
  <c r="M52" i="2"/>
  <c r="M56" i="2"/>
  <c r="M46" i="2"/>
  <c r="M54" i="2"/>
  <c r="L32" i="2"/>
  <c r="M44" i="2"/>
  <c r="K30" i="2"/>
  <c r="L46" i="2"/>
  <c r="K83" i="2"/>
  <c r="L54" i="2"/>
  <c r="L44" i="2"/>
  <c r="L52" i="2"/>
  <c r="X19" i="4" l="1"/>
  <c r="X21" i="4" l="1"/>
  <c r="G21" i="4" s="1"/>
  <c r="G19" i="4"/>
  <c r="AN18" i="4" l="1"/>
  <c r="J18" i="4" l="1"/>
  <c r="DS4" i="3" l="1"/>
  <c r="AO11" i="4"/>
  <c r="AO8" i="4"/>
  <c r="AO7" i="4"/>
  <c r="AO17" i="4"/>
  <c r="DS8" i="3"/>
  <c r="AM8" i="3" s="1"/>
  <c r="AM4" i="3" l="1"/>
  <c r="AO6" i="4" s="1"/>
  <c r="AO10" i="4" s="1"/>
  <c r="AO12" i="4" s="1"/>
  <c r="AO14" i="4" s="1"/>
  <c r="AO19" i="4" s="1"/>
  <c r="AO21" i="4" s="1"/>
  <c r="DS23" i="3"/>
  <c r="AM23" i="3" l="1"/>
  <c r="DS19" i="3"/>
  <c r="AM19" i="3" s="1"/>
  <c r="AN11" i="4" l="1"/>
  <c r="J11" i="4" s="1"/>
  <c r="AN8" i="4" l="1"/>
  <c r="J8" i="4" s="1"/>
  <c r="DR4" i="3" l="1"/>
  <c r="DR23" i="3" s="1"/>
  <c r="DR19" i="3" s="1"/>
  <c r="DQ4" i="3" l="1"/>
  <c r="DQ23" i="3" s="1"/>
  <c r="DQ19" i="3" s="1"/>
  <c r="DP4" i="3"/>
  <c r="AN17" i="4"/>
  <c r="DR8" i="3"/>
  <c r="DQ8" i="3"/>
  <c r="DP8" i="3"/>
  <c r="AL8" i="3" l="1"/>
  <c r="I8" i="3" s="1"/>
  <c r="AL4" i="3"/>
  <c r="DP23" i="3"/>
  <c r="DP19" i="3" l="1"/>
  <c r="AL19" i="3" s="1"/>
  <c r="AL23" i="3"/>
  <c r="I23" i="3" s="1"/>
  <c r="I19" i="3" s="1"/>
  <c r="I4" i="3"/>
  <c r="AN6" i="4"/>
  <c r="AN7" i="4"/>
  <c r="J7" i="4" s="1"/>
  <c r="AN10" i="4" l="1"/>
  <c r="J6" i="4"/>
  <c r="AN12" i="4" l="1"/>
  <c r="J10" i="4"/>
  <c r="AN14" i="4" l="1"/>
  <c r="J12" i="4"/>
  <c r="J14" i="4" l="1"/>
  <c r="AN19" i="4"/>
  <c r="AN21" i="4" l="1"/>
  <c r="AP17" i="4" l="1"/>
  <c r="AP19" i="4" l="1"/>
  <c r="J17" i="4"/>
  <c r="AP21" i="4" l="1"/>
  <c r="J21" i="4" s="1"/>
  <c r="J19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Efayomi</author>
    <author>tc={1D8C1F8D-31C7-4FAA-ADC8-5792FA2790E4}</author>
    <author>tc={E52EAE28-150B-4863-94AD-9C96D9CF05EB}</author>
    <author>tc={CE784D5D-67F6-4D7B-A503-640DC06D9339}</author>
    <author>tc={55C7329F-6628-4335-8D07-9586F5205C4C}</author>
    <author>tc={C615385F-C027-464D-A26F-09882D82C714}</author>
    <author>tc={EF52BC42-6E36-4BDD-917D-FAB68E9B338B}</author>
    <author>tc={DDE56F27-B92B-46C8-8904-6752E4B2F0CE}</author>
  </authors>
  <commentList>
    <comment ref="S33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Efayomi:</t>
        </r>
        <r>
          <rPr>
            <sz val="9"/>
            <color indexed="81"/>
            <rFont val="Tahoma"/>
            <family val="2"/>
          </rPr>
          <t xml:space="preserve">
http://www.x-rates.com/average/?from=USD&amp;to=ZAR&amp;amount=1&amp;year=2017</t>
        </r>
      </text>
    </comment>
    <comment ref="AA33" authorId="1" shapeId="0" xr:uid="{00000000-0006-0000-0200-000002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X-rates.com</t>
      </text>
    </comment>
    <comment ref="AB33" authorId="2" shapeId="0" xr:uid="{00000000-0006-0000-0200-000003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X-rates.com</t>
      </text>
    </comment>
    <comment ref="AC33" authorId="3" shapeId="0" xr:uid="{00000000-0006-0000-0200-000004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X-rates.com</t>
      </text>
    </comment>
    <comment ref="AD33" authorId="4" shapeId="0" xr:uid="{00000000-0006-0000-0200-000005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X-rates.com</t>
      </text>
    </comment>
    <comment ref="AE33" authorId="5" shapeId="0" xr:uid="{00000000-0006-0000-0200-000006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X-rates.com</t>
      </text>
    </comment>
    <comment ref="AF33" authorId="6" shapeId="0" xr:uid="{00000000-0006-0000-0200-000007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Source: X-rates.com</t>
      </text>
    </comment>
    <comment ref="E94" authorId="7" shapeId="0" xr:uid="{00000000-0006-0000-0200-000008000000}">
      <text>
        <t>[Threaded comment]
Your version of Excel allows you to read this threaded comment; however, any edits to it will get removed if the file is opened in a newer version of Excel. Learn more: https://go.microsoft.com/fwlink/?linkid=870924
Comment:
    South Africa HHM (UN website)</t>
      </text>
    </comment>
  </commentList>
</comments>
</file>

<file path=xl/sharedStrings.xml><?xml version="1.0" encoding="utf-8"?>
<sst xmlns="http://schemas.openxmlformats.org/spreadsheetml/2006/main" count="256" uniqueCount="100">
  <si>
    <t xml:space="preserve"> </t>
  </si>
  <si>
    <t>Q1 2019</t>
  </si>
  <si>
    <t>Key Performance Indicators</t>
  </si>
  <si>
    <t>Financial Metrics</t>
  </si>
  <si>
    <t>Operational Metrics</t>
  </si>
  <si>
    <t>Impact Metrics</t>
  </si>
  <si>
    <t>Q4 2018</t>
  </si>
  <si>
    <t>Revenue (USD 000s)</t>
  </si>
  <si>
    <t>EBITDA (USD 000s)</t>
  </si>
  <si>
    <t>Full Time Employees</t>
  </si>
  <si>
    <t>Underserved Lives Touched</t>
  </si>
  <si>
    <t>Countries in Operation</t>
  </si>
  <si>
    <t>Monthly Historical Metrics</t>
  </si>
  <si>
    <t>Q3 2018</t>
  </si>
  <si>
    <t>FX Rate</t>
  </si>
  <si>
    <t>Full time employees</t>
  </si>
  <si>
    <t>Lives touched</t>
  </si>
  <si>
    <t>Data Assumptions</t>
  </si>
  <si>
    <t>Household Multiplier</t>
  </si>
  <si>
    <t>Annualized Interest Rate</t>
  </si>
  <si>
    <t>PAR 90 (Period-End)</t>
  </si>
  <si>
    <t>% change</t>
  </si>
  <si>
    <t>HIV Inceptions (USD)</t>
  </si>
  <si>
    <t>DIA Inceptions (USD)</t>
  </si>
  <si>
    <t>HIV New policies (#)</t>
  </si>
  <si>
    <t>DIA New policies (#)</t>
  </si>
  <si>
    <t>Average total charge to client (USD)</t>
  </si>
  <si>
    <t>Total acquisition costs (USD 000s)</t>
  </si>
  <si>
    <t>Total charge to client (USD 000s)</t>
  </si>
  <si>
    <t>Customers</t>
  </si>
  <si>
    <t>Underserved customers</t>
  </si>
  <si>
    <t>Q2 2019</t>
  </si>
  <si>
    <t>2019</t>
  </si>
  <si>
    <t>2018</t>
  </si>
  <si>
    <t>Q3 2019</t>
  </si>
  <si>
    <t>Revenue (ZAR 000s)</t>
  </si>
  <si>
    <t>EBITDA (ZAR 000s)</t>
  </si>
  <si>
    <t>Total charge to client (ZAR 000s)</t>
  </si>
  <si>
    <t>Total acquisition costs (ZAR 000s)</t>
  </si>
  <si>
    <t>Average total charge to client (ZAR)</t>
  </si>
  <si>
    <t>DIA Inceptions (ZAR)</t>
  </si>
  <si>
    <t>HIV Inceptions (ZAR)</t>
  </si>
  <si>
    <t>Female Employees</t>
  </si>
  <si>
    <t>% change since last year</t>
  </si>
  <si>
    <t>AllLife - Performance Data</t>
  </si>
  <si>
    <t>Active Customers with policies outstanding</t>
  </si>
  <si>
    <t>Q1 2018</t>
  </si>
  <si>
    <t>Q2 2018</t>
  </si>
  <si>
    <t>Q4 2019</t>
  </si>
  <si>
    <t>AllLife P&amp;L Breakdown</t>
  </si>
  <si>
    <t>EBITDA</t>
  </si>
  <si>
    <t>PAT</t>
  </si>
  <si>
    <t>Revenue</t>
  </si>
  <si>
    <t>All figures in ZAR 000s</t>
  </si>
  <si>
    <t>TCTC - Ongoing Revenue (ZAR 000s)</t>
  </si>
  <si>
    <t>Monthly VIF sale - Upfront Revenue(ZAR 000s)</t>
  </si>
  <si>
    <t>Once off VIF sales (ZAR 000s)</t>
  </si>
  <si>
    <t>Female Employees in Senior management</t>
  </si>
  <si>
    <t>Females on Board of Directors</t>
  </si>
  <si>
    <t>Reinsurance Premium</t>
  </si>
  <si>
    <t>Vat Leakage</t>
  </si>
  <si>
    <t>Other income</t>
  </si>
  <si>
    <t>Total Revenue</t>
  </si>
  <si>
    <t>Operating costs</t>
  </si>
  <si>
    <t>Operating profit</t>
  </si>
  <si>
    <t>DAC Capitalised</t>
  </si>
  <si>
    <t>DAC Amortisation</t>
  </si>
  <si>
    <t>Depreciation</t>
  </si>
  <si>
    <t>Net Interest on Loans</t>
  </si>
  <si>
    <t>GAP Financing</t>
  </si>
  <si>
    <t>PBT</t>
  </si>
  <si>
    <t>Tax</t>
  </si>
  <si>
    <t>Delta VIF</t>
  </si>
  <si>
    <t>Q1 2020</t>
  </si>
  <si>
    <t>Q2 2020</t>
  </si>
  <si>
    <t>Q3 2020</t>
  </si>
  <si>
    <t>Q4 2020</t>
  </si>
  <si>
    <t>Total employees in Senior management</t>
  </si>
  <si>
    <t>Total Board of Directors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</si>
  <si>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</si>
  <si>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</si>
  <si>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</si>
  <si>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</si>
  <si>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</si>
  <si>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</si>
  <si>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</si>
  <si>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</si>
  <si>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</si>
  <si>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</si>
  <si>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</si>
  <si>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</si>
  <si>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*Forecast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</si>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</sst>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2">
    <numFmt numFmtId="164" formatCode="&quot;$&quot;#,##0_);\(&quot;$&quot;#,##0\)"/>
    <numFmt numFmtId="165" formatCode="_(* #,##0.00_);_(* \(#,##0.00\);_(* &quot;-&quot;??_);_(@_)"/>
    <numFmt numFmtId="166" formatCode="_(* #,##0_);_(* \(#,##0\);_(* &quot;-&quot;??_);_(@_)"/>
    <numFmt numFmtId="167" formatCode="00000**"/>
    <numFmt numFmtId="168" formatCode="#,##0.0"/>
    <numFmt numFmtId="169" formatCode="&quot;$&quot;#,##0;[Red]&quot;$&quot;#,##0"/>
    <numFmt numFmtId="170" formatCode="&quot;$&quot;#,##0"/>
    <numFmt numFmtId="171" formatCode="[$-409]mmm\-yy;@"/>
    <numFmt numFmtId="172" formatCode="0.0"/>
    <numFmt numFmtId="173" formatCode="[$$-409]#,##0.000_);\([$$-409]#,##0.000\);[$$-409]#,##0.000_);@_)"/>
    <numFmt numFmtId="174" formatCode="&quot;$&quot;#,##0.0"/>
    <numFmt numFmtId="175" formatCode="_-* #,##0_-;\-* #,##0_-;_-* &quot;-&quot;??_-;_-@_-"/>
  </numFmts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 tint="0.34998626667073579"/>
      <name val="Arial"/>
      <family val="2"/>
    </font>
    <font>
      <sz val="12"/>
      <color theme="1"/>
      <name val="Calibri"/>
      <family val="2"/>
      <scheme val="minor"/>
    </font>
    <font>
      <sz val="14"/>
      <color theme="1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  <font>
      <sz val="18"/>
      <color theme="1" tint="0.34998626667073579"/>
      <name val="Calibri"/>
      <family val="2"/>
      <scheme val="minor"/>
    </font>
    <font>
      <sz val="11"/>
      <color theme="0"/>
      <name val="Arial"/>
      <family val="2"/>
    </font>
    <font>
      <sz val="14"/>
      <color theme="1" tint="0.499984740745262"/>
      <name val="Arial"/>
      <family val="2"/>
    </font>
    <font>
      <u val="singleAccounting"/>
      <sz val="14"/>
      <color theme="1" tint="0.34998626667073579"/>
      <name val="Arial"/>
      <family val="2"/>
    </font>
    <font>
      <b/>
      <sz val="14"/>
      <name val="Arial"/>
      <family val="2"/>
    </font>
    <font>
      <i/>
      <sz val="14"/>
      <color theme="1" tint="0.499984740745262"/>
      <name val="Arial"/>
      <family val="2"/>
    </font>
    <font>
      <i/>
      <sz val="14"/>
      <color theme="1" tint="0.34998626667073579"/>
      <name val="Arial"/>
      <family val="2"/>
    </font>
    <font>
      <b/>
      <sz val="13"/>
      <color theme="1" tint="0.34998626667073579"/>
      <name val="Arial"/>
      <family val="2"/>
    </font>
    <font>
      <sz val="11"/>
      <color theme="1" tint="0.499984740745262"/>
      <name val="Arial"/>
      <family val="2"/>
    </font>
    <font>
      <u val="singleAccounting"/>
      <sz val="11"/>
      <color theme="1" tint="0.34998626667073579"/>
      <name val="Arial"/>
      <family val="2"/>
    </font>
    <font>
      <b/>
      <sz val="11"/>
      <color theme="1" tint="0.34998626667073579"/>
      <name val="Arial"/>
      <family val="2"/>
    </font>
    <font>
      <i/>
      <sz val="11"/>
      <color theme="1" tint="0.499984740745262"/>
      <name val="Arial"/>
      <family val="2"/>
    </font>
    <font>
      <sz val="11"/>
      <color theme="4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i/>
      <sz val="11"/>
      <color theme="1" tint="0.34998626667073579"/>
      <name val="Arial"/>
      <family val="2"/>
    </font>
    <font>
      <sz val="8"/>
      <color theme="1"/>
      <name val="Arial"/>
      <family val="2"/>
    </font>
    <font>
      <b/>
      <sz val="11"/>
      <color theme="1"/>
      <name val="Arial"/>
      <family val="2"/>
    </font>
    <font>
      <b/>
      <sz val="11"/>
      <color rgb="FF333333"/>
      <name val="Arial"/>
      <family val="2"/>
    </font>
    <font>
      <b/>
      <sz val="11"/>
      <name val="Arial"/>
      <family val="2"/>
    </font>
    <font>
      <b/>
      <sz val="12"/>
      <name val="Arial"/>
      <family val="2"/>
    </font>
    <font>
      <sz val="11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sz val="11"/>
      <name val="Calibri"/>
      <family val="2"/>
      <scheme val="minor"/>
    </font>
    <font>
      <b/>
      <sz val="10"/>
      <name val="Arial"/>
      <family val="2"/>
    </font>
    <font>
      <i/>
      <sz val="10"/>
      <name val="Arial"/>
      <family val="2"/>
    </font>
    <font>
      <i/>
      <sz val="9"/>
      <name val="Arial"/>
      <family val="2"/>
    </font>
    <font>
      <sz val="8"/>
      <name val="Arial"/>
      <family val="2"/>
    </font>
    <font>
      <b/>
      <sz val="1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8F8F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/>
      <right/>
      <top style="hair">
        <color auto="1"/>
      </top>
      <bottom style="thin">
        <color indexed="64"/>
      </bottom>
      <diagonal/>
    </border>
    <border>
      <left/>
      <right/>
      <top/>
      <bottom style="hair">
        <color auto="1"/>
      </bottom>
      <diagonal/>
    </border>
  </borders>
  <cellStyleXfs count="7">
    <xf numFmtId="0" fontId="0" fillId="0" borderId="0"/>
    <xf numFmtId="165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  <xf numFmtId="0" fontId="3" fillId="0" borderId="0"/>
    <xf numFmtId="0" fontId="7" fillId="0" borderId="0" applyNumberFormat="0" applyFill="0" applyBorder="0" applyAlignment="0" applyProtection="0"/>
    <xf numFmtId="0" fontId="3" fillId="0" borderId="0"/>
  </cellStyleXfs>
  <cellXfs count="137">
    <xf numFmtId="0" fontId="0" fillId="0" borderId="0" xfId="0"/>
    <xf numFmtId="0" fontId="4" fillId="0" borderId="0" xfId="4" applyFont="1"/>
    <xf numFmtId="0" fontId="5" fillId="0" borderId="0" xfId="0" applyFont="1"/>
    <xf numFmtId="0" fontId="6" fillId="0" borderId="0" xfId="4" applyFont="1"/>
    <xf numFmtId="0" fontId="2" fillId="0" borderId="2" xfId="5" applyFont="1" applyBorder="1" applyAlignment="1">
      <alignment horizontal="left"/>
    </xf>
    <xf numFmtId="0" fontId="4" fillId="0" borderId="2" xfId="4" applyFont="1" applyBorder="1"/>
    <xf numFmtId="0" fontId="4" fillId="0" borderId="0" xfId="4" applyFont="1" applyAlignment="1">
      <alignment horizontal="left" wrapText="1"/>
    </xf>
    <xf numFmtId="0" fontId="4" fillId="0" borderId="0" xfId="0" applyFont="1"/>
    <xf numFmtId="167" fontId="2" fillId="0" borderId="0" xfId="5" applyNumberFormat="1" applyFont="1" applyAlignment="1">
      <alignment horizontal="left" vertical="center"/>
    </xf>
    <xf numFmtId="0" fontId="4" fillId="0" borderId="2" xfId="6" applyFont="1" applyBorder="1"/>
    <xf numFmtId="168" fontId="9" fillId="0" borderId="2" xfId="6" applyNumberFormat="1" applyFont="1" applyBorder="1" applyAlignment="1">
      <alignment horizontal="right" vertical="top"/>
    </xf>
    <xf numFmtId="0" fontId="4" fillId="3" borderId="2" xfId="0" applyFont="1" applyFill="1" applyBorder="1"/>
    <xf numFmtId="0" fontId="4" fillId="3" borderId="2" xfId="6" applyFont="1" applyFill="1" applyBorder="1"/>
    <xf numFmtId="0" fontId="4" fillId="0" borderId="0" xfId="6" applyFont="1"/>
    <xf numFmtId="168" fontId="9" fillId="0" borderId="0" xfId="6" applyNumberFormat="1" applyFont="1" applyAlignment="1">
      <alignment horizontal="right" vertical="top"/>
    </xf>
    <xf numFmtId="1" fontId="10" fillId="0" borderId="0" xfId="5" quotePrefix="1" applyNumberFormat="1" applyFont="1" applyAlignment="1">
      <alignment horizontal="center"/>
    </xf>
    <xf numFmtId="0" fontId="11" fillId="0" borderId="0" xfId="5" applyFont="1" applyAlignment="1">
      <alignment horizontal="left" vertical="top"/>
    </xf>
    <xf numFmtId="169" fontId="2" fillId="2" borderId="0" xfId="0" applyNumberFormat="1" applyFont="1" applyFill="1" applyAlignment="1">
      <alignment horizontal="left" vertical="top"/>
    </xf>
    <xf numFmtId="167" fontId="2" fillId="2" borderId="0" xfId="5" applyNumberFormat="1" applyFont="1" applyFill="1" applyAlignment="1">
      <alignment horizontal="right" vertical="center" indent="2"/>
    </xf>
    <xf numFmtId="0" fontId="4" fillId="2" borderId="0" xfId="4" applyFont="1" applyFill="1"/>
    <xf numFmtId="0" fontId="4" fillId="2" borderId="0" xfId="0" applyFont="1" applyFill="1"/>
    <xf numFmtId="3" fontId="12" fillId="0" borderId="0" xfId="0" applyNumberFormat="1" applyFont="1" applyAlignment="1">
      <alignment horizontal="left" vertical="center" indent="1"/>
    </xf>
    <xf numFmtId="167" fontId="2" fillId="0" borderId="0" xfId="5" applyNumberFormat="1" applyFont="1" applyAlignment="1">
      <alignment horizontal="right" vertical="center" indent="2"/>
    </xf>
    <xf numFmtId="9" fontId="12" fillId="0" borderId="0" xfId="2" applyFont="1" applyAlignment="1">
      <alignment horizontal="center" vertical="top"/>
    </xf>
    <xf numFmtId="0" fontId="12" fillId="0" borderId="0" xfId="0" applyFont="1"/>
    <xf numFmtId="167" fontId="10" fillId="0" borderId="0" xfId="5" applyNumberFormat="1" applyFont="1" applyAlignment="1">
      <alignment horizontal="center"/>
    </xf>
    <xf numFmtId="167" fontId="11" fillId="0" borderId="0" xfId="5" applyNumberFormat="1" applyFont="1" applyAlignment="1">
      <alignment horizontal="left" vertical="center"/>
    </xf>
    <xf numFmtId="0" fontId="14" fillId="0" borderId="2" xfId="5" applyFont="1" applyBorder="1" applyAlignment="1">
      <alignment horizontal="left"/>
    </xf>
    <xf numFmtId="0" fontId="5" fillId="0" borderId="2" xfId="6" applyFont="1" applyBorder="1"/>
    <xf numFmtId="168" fontId="15" fillId="0" borderId="2" xfId="6" applyNumberFormat="1" applyFont="1" applyBorder="1" applyAlignment="1">
      <alignment horizontal="right" vertical="top"/>
    </xf>
    <xf numFmtId="0" fontId="5" fillId="0" borderId="2" xfId="0" applyFont="1" applyBorder="1"/>
    <xf numFmtId="0" fontId="6" fillId="0" borderId="2" xfId="4" applyFont="1" applyBorder="1"/>
    <xf numFmtId="0" fontId="14" fillId="0" borderId="0" xfId="5" applyFont="1" applyAlignment="1">
      <alignment horizontal="left"/>
    </xf>
    <xf numFmtId="0" fontId="5" fillId="0" borderId="0" xfId="6" applyFont="1"/>
    <xf numFmtId="168" fontId="15" fillId="0" borderId="0" xfId="6" applyNumberFormat="1" applyFont="1" applyAlignment="1">
      <alignment horizontal="right" vertical="top"/>
    </xf>
    <xf numFmtId="49" fontId="16" fillId="0" borderId="0" xfId="5" quotePrefix="1" applyNumberFormat="1" applyFont="1" applyAlignment="1">
      <alignment horizontal="center"/>
    </xf>
    <xf numFmtId="171" fontId="16" fillId="0" borderId="0" xfId="5" quotePrefix="1" applyNumberFormat="1" applyFont="1" applyAlignment="1">
      <alignment horizontal="center"/>
    </xf>
    <xf numFmtId="169" fontId="17" fillId="2" borderId="0" xfId="0" applyNumberFormat="1" applyFont="1" applyFill="1" applyAlignment="1">
      <alignment horizontal="left" vertical="top"/>
    </xf>
    <xf numFmtId="0" fontId="5" fillId="2" borderId="0" xfId="0" applyFont="1" applyFill="1"/>
    <xf numFmtId="170" fontId="17" fillId="2" borderId="0" xfId="1" applyNumberFormat="1" applyFont="1" applyFill="1" applyAlignment="1">
      <alignment horizontal="center" vertical="top"/>
    </xf>
    <xf numFmtId="170" fontId="17" fillId="2" borderId="0" xfId="2" applyNumberFormat="1" applyFont="1" applyFill="1" applyAlignment="1">
      <alignment horizontal="center" vertical="top"/>
    </xf>
    <xf numFmtId="3" fontId="18" fillId="0" borderId="0" xfId="0" applyNumberFormat="1" applyFont="1" applyAlignment="1">
      <alignment horizontal="left" vertical="center" indent="1"/>
    </xf>
    <xf numFmtId="9" fontId="18" fillId="0" borderId="0" xfId="2" applyFont="1" applyAlignment="1">
      <alignment horizontal="center" vertical="top"/>
    </xf>
    <xf numFmtId="9" fontId="17" fillId="2" borderId="0" xfId="2" applyFont="1" applyFill="1" applyAlignment="1">
      <alignment horizontal="center" vertical="top"/>
    </xf>
    <xf numFmtId="172" fontId="17" fillId="2" borderId="0" xfId="0" applyNumberFormat="1" applyFont="1" applyFill="1" applyAlignment="1">
      <alignment horizontal="center" vertical="top"/>
    </xf>
    <xf numFmtId="3" fontId="17" fillId="2" borderId="0" xfId="1" applyNumberFormat="1" applyFont="1" applyFill="1" applyAlignment="1">
      <alignment horizontal="center" vertical="top"/>
    </xf>
    <xf numFmtId="1" fontId="17" fillId="2" borderId="0" xfId="0" applyNumberFormat="1" applyFont="1" applyFill="1" applyAlignment="1">
      <alignment horizontal="center" vertical="top"/>
    </xf>
    <xf numFmtId="166" fontId="17" fillId="2" borderId="0" xfId="1" applyNumberFormat="1" applyFont="1" applyFill="1" applyAlignment="1">
      <alignment horizontal="center" vertical="top"/>
    </xf>
    <xf numFmtId="49" fontId="17" fillId="2" borderId="0" xfId="0" applyNumberFormat="1" applyFont="1" applyFill="1" applyAlignment="1">
      <alignment horizontal="left" vertical="top"/>
    </xf>
    <xf numFmtId="0" fontId="5" fillId="2" borderId="1" xfId="0" applyFont="1" applyFill="1" applyBorder="1"/>
    <xf numFmtId="1" fontId="17" fillId="2" borderId="1" xfId="0" applyNumberFormat="1" applyFont="1" applyFill="1" applyBorder="1" applyAlignment="1">
      <alignment horizontal="center" vertical="top"/>
    </xf>
    <xf numFmtId="1" fontId="17" fillId="2" borderId="4" xfId="0" applyNumberFormat="1" applyFont="1" applyFill="1" applyBorder="1" applyAlignment="1">
      <alignment horizontal="center" vertical="top"/>
    </xf>
    <xf numFmtId="49" fontId="17" fillId="3" borderId="5" xfId="0" quotePrefix="1" applyNumberFormat="1" applyFont="1" applyFill="1" applyBorder="1" applyAlignment="1">
      <alignment horizontal="left" vertical="top"/>
    </xf>
    <xf numFmtId="0" fontId="5" fillId="3" borderId="0" xfId="0" applyFont="1" applyFill="1"/>
    <xf numFmtId="1" fontId="17" fillId="3" borderId="0" xfId="0" applyNumberFormat="1" applyFont="1" applyFill="1" applyAlignment="1">
      <alignment horizontal="center" vertical="top"/>
    </xf>
    <xf numFmtId="1" fontId="17" fillId="3" borderId="6" xfId="0" applyNumberFormat="1" applyFont="1" applyFill="1" applyBorder="1" applyAlignment="1">
      <alignment horizontal="center" vertical="top"/>
    </xf>
    <xf numFmtId="49" fontId="17" fillId="4" borderId="7" xfId="0" applyNumberFormat="1" applyFont="1" applyFill="1" applyBorder="1" applyAlignment="1">
      <alignment horizontal="left" vertical="top"/>
    </xf>
    <xf numFmtId="0" fontId="5" fillId="4" borderId="2" xfId="0" applyFont="1" applyFill="1" applyBorder="1"/>
    <xf numFmtId="0" fontId="19" fillId="4" borderId="2" xfId="0" applyFont="1" applyFill="1" applyBorder="1"/>
    <xf numFmtId="0" fontId="5" fillId="4" borderId="8" xfId="0" applyFont="1" applyFill="1" applyBorder="1"/>
    <xf numFmtId="0" fontId="8" fillId="0" borderId="0" xfId="0" applyFont="1"/>
    <xf numFmtId="16" fontId="22" fillId="0" borderId="0" xfId="4" applyNumberFormat="1" applyFont="1"/>
    <xf numFmtId="0" fontId="23" fillId="3" borderId="0" xfId="0" applyFont="1" applyFill="1" applyAlignment="1">
      <alignment horizontal="left"/>
    </xf>
    <xf numFmtId="170" fontId="24" fillId="2" borderId="0" xfId="0" applyNumberFormat="1" applyFont="1" applyFill="1" applyAlignment="1">
      <alignment horizontal="center"/>
    </xf>
    <xf numFmtId="164" fontId="17" fillId="2" borderId="0" xfId="2" applyNumberFormat="1" applyFont="1" applyFill="1" applyAlignment="1">
      <alignment horizontal="center" vertical="top"/>
    </xf>
    <xf numFmtId="0" fontId="25" fillId="0" borderId="0" xfId="0" applyFont="1" applyAlignment="1">
      <alignment wrapText="1"/>
    </xf>
    <xf numFmtId="3" fontId="24" fillId="2" borderId="0" xfId="1" applyNumberFormat="1" applyFont="1" applyFill="1" applyAlignment="1">
      <alignment horizontal="center" vertical="top"/>
    </xf>
    <xf numFmtId="173" fontId="15" fillId="0" borderId="0" xfId="2" applyNumberFormat="1" applyFont="1" applyAlignment="1">
      <alignment horizontal="center" vertical="top"/>
    </xf>
    <xf numFmtId="174" fontId="17" fillId="2" borderId="0" xfId="1" applyNumberFormat="1" applyFont="1" applyFill="1" applyAlignment="1">
      <alignment horizontal="center" vertical="top"/>
    </xf>
    <xf numFmtId="174" fontId="17" fillId="2" borderId="0" xfId="2" applyNumberFormat="1" applyFont="1" applyFill="1" applyAlignment="1">
      <alignment horizontal="center" vertical="top"/>
    </xf>
    <xf numFmtId="1" fontId="17" fillId="2" borderId="0" xfId="2" applyNumberFormat="1" applyFont="1" applyFill="1" applyAlignment="1">
      <alignment horizontal="center" vertical="top"/>
    </xf>
    <xf numFmtId="49" fontId="17" fillId="2" borderId="3" xfId="0" quotePrefix="1" applyNumberFormat="1" applyFont="1" applyFill="1" applyBorder="1" applyAlignment="1">
      <alignment horizontal="left" vertical="top"/>
    </xf>
    <xf numFmtId="49" fontId="17" fillId="4" borderId="2" xfId="0" applyNumberFormat="1" applyFont="1" applyFill="1" applyBorder="1" applyAlignment="1">
      <alignment horizontal="left" vertical="top"/>
    </xf>
    <xf numFmtId="166" fontId="17" fillId="0" borderId="0" xfId="1" applyNumberFormat="1" applyFont="1" applyFill="1" applyAlignment="1">
      <alignment horizontal="center" vertical="top"/>
    </xf>
    <xf numFmtId="3" fontId="17" fillId="2" borderId="0" xfId="0" applyNumberFormat="1" applyFont="1" applyFill="1" applyAlignment="1">
      <alignment horizontal="center" vertical="top"/>
    </xf>
    <xf numFmtId="49" fontId="10" fillId="0" borderId="0" xfId="5" quotePrefix="1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top"/>
    </xf>
    <xf numFmtId="170" fontId="2" fillId="2" borderId="0" xfId="2" applyNumberFormat="1" applyFont="1" applyFill="1" applyAlignment="1">
      <alignment horizontal="center" vertical="top"/>
    </xf>
    <xf numFmtId="0" fontId="27" fillId="0" borderId="0" xfId="0" applyFont="1"/>
    <xf numFmtId="0" fontId="28" fillId="0" borderId="0" xfId="0" applyFont="1"/>
    <xf numFmtId="0" fontId="29" fillId="3" borderId="2" xfId="5" applyNumberFormat="1" applyFont="1" applyFill="1" applyBorder="1" applyAlignment="1">
      <alignment horizontal="center"/>
    </xf>
    <xf numFmtId="17" fontId="29" fillId="3" borderId="0" xfId="5" applyNumberFormat="1" applyFont="1" applyFill="1" applyBorder="1" applyAlignment="1">
      <alignment horizontal="center"/>
    </xf>
    <xf numFmtId="49" fontId="29" fillId="3" borderId="2" xfId="5" applyNumberFormat="1" applyFont="1" applyFill="1" applyBorder="1" applyAlignment="1">
      <alignment horizontal="center"/>
    </xf>
    <xf numFmtId="49" fontId="29" fillId="3" borderId="0" xfId="5" applyNumberFormat="1" applyFont="1" applyFill="1" applyBorder="1" applyAlignment="1">
      <alignment horizontal="center"/>
    </xf>
    <xf numFmtId="0" fontId="28" fillId="0" borderId="9" xfId="0" applyFont="1" applyBorder="1"/>
    <xf numFmtId="0" fontId="34" fillId="0" borderId="0" xfId="0" applyFont="1"/>
    <xf numFmtId="166" fontId="35" fillId="0" borderId="9" xfId="1" applyNumberFormat="1" applyFont="1" applyBorder="1"/>
    <xf numFmtId="0" fontId="26" fillId="0" borderId="9" xfId="0" applyFont="1" applyBorder="1"/>
    <xf numFmtId="166" fontId="35" fillId="0" borderId="11" xfId="1" applyNumberFormat="1" applyFont="1" applyBorder="1"/>
    <xf numFmtId="166" fontId="35" fillId="0" borderId="10" xfId="1" applyNumberFormat="1" applyFont="1" applyBorder="1"/>
    <xf numFmtId="166" fontId="28" fillId="0" borderId="0" xfId="0" applyNumberFormat="1" applyFont="1"/>
    <xf numFmtId="0" fontId="29" fillId="0" borderId="2" xfId="5" applyNumberFormat="1" applyFont="1" applyFill="1" applyBorder="1" applyAlignment="1">
      <alignment horizontal="center"/>
    </xf>
    <xf numFmtId="166" fontId="35" fillId="0" borderId="9" xfId="1" applyNumberFormat="1" applyFont="1" applyFill="1" applyBorder="1"/>
    <xf numFmtId="166" fontId="35" fillId="0" borderId="10" xfId="1" applyNumberFormat="1" applyFont="1" applyFill="1" applyBorder="1"/>
    <xf numFmtId="166" fontId="35" fillId="0" borderId="11" xfId="1" applyNumberFormat="1" applyFont="1" applyFill="1" applyBorder="1"/>
    <xf numFmtId="166" fontId="30" fillId="0" borderId="0" xfId="1" applyNumberFormat="1" applyFont="1" applyFill="1"/>
    <xf numFmtId="0" fontId="30" fillId="0" borderId="0" xfId="0" applyFont="1"/>
    <xf numFmtId="171" fontId="29" fillId="0" borderId="2" xfId="5" applyNumberFormat="1" applyFont="1" applyFill="1" applyBorder="1" applyAlignment="1">
      <alignment horizontal="center"/>
    </xf>
    <xf numFmtId="0" fontId="11" fillId="0" borderId="0" xfId="0" applyFont="1"/>
    <xf numFmtId="0" fontId="31" fillId="0" borderId="0" xfId="0" applyFont="1"/>
    <xf numFmtId="0" fontId="32" fillId="0" borderId="0" xfId="0" applyFont="1"/>
    <xf numFmtId="0" fontId="32" fillId="0" borderId="2" xfId="5" applyFont="1" applyFill="1" applyBorder="1" applyAlignment="1">
      <alignment horizontal="left"/>
    </xf>
    <xf numFmtId="0" fontId="32" fillId="0" borderId="0" xfId="5" applyFont="1" applyFill="1" applyBorder="1" applyAlignment="1">
      <alignment horizontal="left"/>
    </xf>
    <xf numFmtId="49" fontId="29" fillId="0" borderId="2" xfId="5" applyNumberFormat="1" applyFont="1" applyFill="1" applyBorder="1" applyAlignment="1">
      <alignment horizontal="center"/>
    </xf>
    <xf numFmtId="49" fontId="29" fillId="0" borderId="0" xfId="5" applyNumberFormat="1" applyFont="1" applyFill="1" applyBorder="1" applyAlignment="1">
      <alignment horizontal="center"/>
    </xf>
    <xf numFmtId="171" fontId="29" fillId="0" borderId="0" xfId="5" applyNumberFormat="1" applyFont="1" applyFill="1" applyBorder="1" applyAlignment="1">
      <alignment horizontal="center"/>
    </xf>
    <xf numFmtId="169" fontId="29" fillId="0" borderId="0" xfId="0" applyNumberFormat="1" applyFont="1" applyAlignment="1">
      <alignment horizontal="left" vertical="top"/>
    </xf>
    <xf numFmtId="169" fontId="32" fillId="0" borderId="0" xfId="0" applyNumberFormat="1" applyFont="1" applyAlignment="1">
      <alignment horizontal="left" vertical="top"/>
    </xf>
    <xf numFmtId="3" fontId="33" fillId="0" borderId="0" xfId="0" applyNumberFormat="1" applyFont="1" applyAlignment="1">
      <alignment horizontal="left" vertical="center" indent="1"/>
    </xf>
    <xf numFmtId="49" fontId="29" fillId="0" borderId="0" xfId="0" applyNumberFormat="1" applyFont="1" applyAlignment="1">
      <alignment horizontal="left" vertical="top"/>
    </xf>
    <xf numFmtId="49" fontId="32" fillId="0" borderId="0" xfId="0" applyNumberFormat="1" applyFont="1" applyAlignment="1">
      <alignment horizontal="left" vertical="top"/>
    </xf>
    <xf numFmtId="166" fontId="30" fillId="0" borderId="0" xfId="0" applyNumberFormat="1" applyFont="1"/>
    <xf numFmtId="0" fontId="30" fillId="0" borderId="0" xfId="1" applyNumberFormat="1" applyFont="1" applyFill="1"/>
    <xf numFmtId="175" fontId="30" fillId="0" borderId="0" xfId="0" applyNumberFormat="1" applyFont="1"/>
    <xf numFmtId="1" fontId="30" fillId="0" borderId="0" xfId="0" applyNumberFormat="1" applyFont="1"/>
    <xf numFmtId="166" fontId="35" fillId="3" borderId="9" xfId="1" applyNumberFormat="1" applyFont="1" applyFill="1" applyBorder="1"/>
    <xf numFmtId="0" fontId="30" fillId="3" borderId="0" xfId="0" applyFont="1" applyFill="1"/>
    <xf numFmtId="171" fontId="29" fillId="0" borderId="2" xfId="5" quotePrefix="1" applyNumberFormat="1" applyFont="1" applyFill="1" applyBorder="1" applyAlignment="1">
      <alignment horizontal="center"/>
    </xf>
    <xf numFmtId="1" fontId="30" fillId="3" borderId="0" xfId="0" applyNumberFormat="1" applyFont="1" applyFill="1"/>
    <xf numFmtId="166" fontId="35" fillId="3" borderId="10" xfId="1" applyNumberFormat="1" applyFont="1" applyFill="1" applyBorder="1"/>
    <xf numFmtId="175" fontId="30" fillId="3" borderId="0" xfId="0" applyNumberFormat="1" applyFont="1" applyFill="1"/>
    <xf numFmtId="166" fontId="30" fillId="3" borderId="0" xfId="1" applyNumberFormat="1" applyFont="1" applyFill="1"/>
    <xf numFmtId="171" fontId="29" fillId="3" borderId="2" xfId="5" applyNumberFormat="1" applyFont="1" applyFill="1" applyBorder="1" applyAlignment="1">
      <alignment horizontal="center"/>
    </xf>
    <xf numFmtId="171" fontId="29" fillId="0" borderId="0" xfId="5" quotePrefix="1" applyNumberFormat="1" applyFont="1" applyFill="1" applyBorder="1" applyAlignment="1">
      <alignment horizontal="center"/>
    </xf>
    <xf numFmtId="166" fontId="30" fillId="0" borderId="0" xfId="1" applyNumberFormat="1" applyFont="1" applyFill="1" applyBorder="1"/>
    <xf numFmtId="166" fontId="36" fillId="0" borderId="2" xfId="1" applyNumberFormat="1" applyFont="1" applyFill="1" applyBorder="1"/>
    <xf numFmtId="0" fontId="30" fillId="0" borderId="2" xfId="0" applyFont="1" applyBorder="1"/>
    <xf numFmtId="1" fontId="30" fillId="5" borderId="0" xfId="0" applyNumberFormat="1" applyFont="1" applyFill="1"/>
    <xf numFmtId="166" fontId="30" fillId="0" borderId="0" xfId="1" applyNumberFormat="1" applyFont="1"/>
    <xf numFmtId="9" fontId="12" fillId="0" borderId="0" xfId="2" applyFont="1" applyAlignment="1">
      <alignment horizontal="center" vertical="top"/>
    </xf>
    <xf numFmtId="49" fontId="10" fillId="0" borderId="0" xfId="5" quotePrefix="1" applyNumberFormat="1" applyFont="1" applyAlignment="1">
      <alignment horizontal="center"/>
    </xf>
    <xf numFmtId="164" fontId="2" fillId="2" borderId="0" xfId="0" applyNumberFormat="1" applyFont="1" applyFill="1" applyAlignment="1">
      <alignment horizontal="center" vertical="top"/>
    </xf>
    <xf numFmtId="170" fontId="2" fillId="2" borderId="0" xfId="2" applyNumberFormat="1" applyFont="1" applyFill="1" applyAlignment="1">
      <alignment horizontal="center" vertical="top"/>
    </xf>
    <xf numFmtId="3" fontId="2" fillId="2" borderId="0" xfId="0" applyNumberFormat="1" applyFont="1" applyFill="1" applyAlignment="1">
      <alignment horizontal="center" vertical="top"/>
    </xf>
    <xf numFmtId="3" fontId="2" fillId="2" borderId="0" xfId="1" applyNumberFormat="1" applyFont="1" applyFill="1" applyAlignment="1">
      <alignment horizontal="center" vertical="top"/>
    </xf>
    <xf numFmtId="9" fontId="13" fillId="0" borderId="0" xfId="2" applyFont="1" applyAlignment="1">
      <alignment horizontal="center"/>
    </xf>
  </cellXfs>
  <cellStyles count="7">
    <cellStyle name="Comma" xfId="1" builtinId="3"/>
    <cellStyle name="Heading 2 2 2" xfId="5" xr:uid="{00000000-0005-0000-0000-000001000000}"/>
    <cellStyle name="Normal" xfId="0" builtinId="0"/>
    <cellStyle name="Normal 2" xfId="4" xr:uid="{00000000-0005-0000-0000-000003000000}"/>
    <cellStyle name="Normal 2 2 2 3" xfId="3" xr:uid="{00000000-0005-0000-0000-000004000000}"/>
    <cellStyle name="Normal 2 2 37" xfId="6" xr:uid="{00000000-0005-0000-0000-000005000000}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5.xml"/><Relationship Id="rId13" Type="http://schemas.openxmlformats.org/officeDocument/2006/relationships/externalLink" Target="externalLinks/externalLink10.xml"/><Relationship Id="rId18" Type="http://schemas.openxmlformats.org/officeDocument/2006/relationships/externalLink" Target="externalLinks/externalLink15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externalLink" Target="externalLinks/externalLink18.xml"/><Relationship Id="rId7" Type="http://schemas.openxmlformats.org/officeDocument/2006/relationships/externalLink" Target="externalLinks/externalLink4.xml"/><Relationship Id="rId12" Type="http://schemas.openxmlformats.org/officeDocument/2006/relationships/externalLink" Target="externalLinks/externalLink9.xml"/><Relationship Id="rId17" Type="http://schemas.openxmlformats.org/officeDocument/2006/relationships/externalLink" Target="externalLinks/externalLink14.xml"/><Relationship Id="rId25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3.xml"/><Relationship Id="rId20" Type="http://schemas.openxmlformats.org/officeDocument/2006/relationships/externalLink" Target="externalLinks/externalLink17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11" Type="http://schemas.openxmlformats.org/officeDocument/2006/relationships/externalLink" Target="externalLinks/externalLink8.xml"/><Relationship Id="rId24" Type="http://schemas.openxmlformats.org/officeDocument/2006/relationships/sharedStrings" Target="sharedStrings.xml"/><Relationship Id="rId5" Type="http://schemas.openxmlformats.org/officeDocument/2006/relationships/externalLink" Target="externalLinks/externalLink2.xml"/><Relationship Id="rId15" Type="http://schemas.openxmlformats.org/officeDocument/2006/relationships/externalLink" Target="externalLinks/externalLink12.xml"/><Relationship Id="rId23" Type="http://schemas.openxmlformats.org/officeDocument/2006/relationships/styles" Target="styles.xml"/><Relationship Id="rId10" Type="http://schemas.openxmlformats.org/officeDocument/2006/relationships/externalLink" Target="externalLinks/externalLink7.xml"/><Relationship Id="rId19" Type="http://schemas.openxmlformats.org/officeDocument/2006/relationships/externalLink" Target="externalLinks/externalLink16.xml"/><Relationship Id="rId4" Type="http://schemas.openxmlformats.org/officeDocument/2006/relationships/externalLink" Target="externalLinks/externalLink1.xml"/><Relationship Id="rId9" Type="http://schemas.openxmlformats.org/officeDocument/2006/relationships/externalLink" Target="externalLinks/externalLink6.xml"/><Relationship Id="rId14" Type="http://schemas.openxmlformats.org/officeDocument/2006/relationships/externalLink" Target="externalLinks/externalLink11.xml"/><Relationship Id="rId22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:\C:\private%20equity\Venture%20Capital\Active%20Review\Endeca\Returns%20Model\Endeca%20Returns%20Model%20v12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:\C:\Reuibd01\ibdshare2\corpfin\EMPLOYEE\Frazzo\Projects\French%20M&amp;A\Decaux\Update%20Valo%2019%2006%2000\Valuation%20Model%20Decaux%2019%2006%2000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C:\C:\C:\TEMP\ie5\Temporary%20Internet%20Files\OLK5A\restore\Tax%20Liability.xls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Quona\Q3\Revenue%20EBITDA%20and%20VIF%20workings%20Q3.xlsx" TargetMode="External"/><Relationship Id="rId1" Type="http://schemas.openxmlformats.org/officeDocument/2006/relationships/externalLinkPath" Target="/4.%20Enabling/Finance/Admin/Accounts/Management%20accounts/2023/Quona/Q3/Revenue%20EBITDA%20and%20VIF%20workings%20Q3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Quona\Q4\Revenue%20EBITDA%20and%20VIF%20workings%20Q4.xlsx" TargetMode="External"/><Relationship Id="rId1" Type="http://schemas.openxmlformats.org/officeDocument/2006/relationships/externalLinkPath" Target="/4.%20Enabling/Finance/Admin/Accounts/Management%20accounts/2023/Quona/Q4/Revenue%20EBITDA%20and%20VIF%20workings%20Q4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Quona\Q1%2024\Revenue%20EBITDA%20and%20VIF%20workings%20Q1.xlsx" TargetMode="External"/><Relationship Id="rId1" Type="http://schemas.openxmlformats.org/officeDocument/2006/relationships/externalLinkPath" Target="/4.%20Enabling/Finance/Admin/Accounts/Management%20accounts/2023/Quona/Q2%2024/Revenue%20EBITDA%20and%20VIF%20workings%20Q1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Quona\Q2%2024\Revenue%20EBITDA%20and%20VIF%20workings%20Q2.xlsx" TargetMode="External"/><Relationship Id="rId1" Type="http://schemas.openxmlformats.org/officeDocument/2006/relationships/externalLinkPath" Target="/4.%20Enabling/Finance/Admin/Accounts/Management%20accounts/2023/Quona/Q2%2024/Revenue%20EBITDA%20and%20VIF%20workings%20Q2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Quona\Q3%2024\Revenue%20EBITDA%20and%20VIF%20workings%20Q3.xlsx" TargetMode="External"/><Relationship Id="rId1" Type="http://schemas.openxmlformats.org/officeDocument/2006/relationships/externalLinkPath" Target="/4.%20Enabling/Finance/Admin/Accounts/Management%20accounts/2023/Quona/Q3%2024/Revenue%20EBITDA%20and%20VIF%20workings%20Q3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Quona\Q4%2024\Revenue%20EBITDA%20and%20VIF%20workings%20Q4.xlsx" TargetMode="External"/><Relationship Id="rId1" Type="http://schemas.openxmlformats.org/officeDocument/2006/relationships/externalLinkPath" Target="/4.%20Enabling/Finance/Admin/Accounts/Management%20accounts/Quona/Q1%2025/Revenue%20EBITDA%20and%20VIF%20workings%20Q4.xlsx" TargetMode="External"/></Relationships>
</file>

<file path=xl/externalLinks/_rels/externalLink10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Quona\Q1%2025\Revenue%20EBITDA%20and%20VIF%20workings%20Q1%2025.xlsx" TargetMode="External"/><Relationship Id="rId1" Type="http://schemas.openxmlformats.org/officeDocument/2006/relationships/externalLinkPath" Target="Revenue%20EBITDA%20and%20VIF%20workings%20Q1%2025.xlsx" TargetMode="External"/></Relationships>
</file>

<file path=xl/externalLinks/_rels/externalLink1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5\Gen%20Management%20Accounts%20March%202025\Financial%20Board%20Pack%20-March%202025.xlsx" TargetMode="External"/><Relationship Id="rId1" Type="http://schemas.openxmlformats.org/officeDocument/2006/relationships/externalLinkPath" Target="/4.%20Enabling/Finance/Admin/Accounts/Management%20accounts/2025/Gen%20Management%20Accounts%20March%202025/Financial%20Board%20Pack%20-March%202025.xlsx" TargetMode="External"/></Relationships>
</file>

<file path=xl/externalLinks/_rels/externalLink1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5%20May%202023\All%20Life\Main\Management%20Accounts%20-%20May%202023%20New%20Template.xlsm" TargetMode="External"/><Relationship Id="rId1" Type="http://schemas.openxmlformats.org/officeDocument/2006/relationships/externalLinkPath" Target="/4.%20Enabling/Finance/Admin/Accounts/Management%20accounts/2023/5%20May%202023/All%20Life/Main/Management%20Accounts%20-%20May%202023%20New%20Template.xlsm" TargetMode="External"/></Relationships>
</file>

<file path=xl/externalLinks/_rels/externalLink1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6%20June%202023\All%20life\Main\VIF\June%20VIF%20@%20POS%20analysis.xlsx" TargetMode="External"/><Relationship Id="rId1" Type="http://schemas.openxmlformats.org/officeDocument/2006/relationships/externalLinkPath" Target="/4.%20Enabling/Finance/Admin/Accounts/Management%20accounts/2023/6%20June%202023/All%20life/Main/VIF/June%20VIF%20@%20POS%20analysis.xlsx" TargetMode="External"/></Relationships>
</file>

<file path=xl/externalLinks/_rels/externalLink1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7%20July%202023\All%20life\Main\Management%20Accounts%20-%20July%202023.xlsm" TargetMode="External"/><Relationship Id="rId1" Type="http://schemas.openxmlformats.org/officeDocument/2006/relationships/externalLinkPath" Target="/4.%20Enabling/Finance/Admin/Accounts/Management%20accounts/2023/7%20July%202023/All%20life/Main/Management%20Accounts%20-%20July%202023.xlsm" TargetMode="External"/></Relationships>
</file>

<file path=xl/externalLinks/_rels/externalLink1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2023\5%20May%202023\All%20Life\Main\Statement%20of%20financial%20position%20Ivy%20Group%20May%202023.xlsx" TargetMode="External"/><Relationship Id="rId1" Type="http://schemas.openxmlformats.org/officeDocument/2006/relationships/externalLinkPath" Target="/4.%20Enabling/Finance/Admin/Accounts/Management%20accounts/2023/5%20May%202023/All%20Life/Main/Statement%20of%20financial%20position%20Ivy%20Group%20May%202023.xlsx" TargetMode="External"/></Relationships>
</file>

<file path=xl/externalLinks/_rels/externalLink1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keshrina.sivlal\Desktop\Alllife\Vital%20Signs\AllLife%20Cashflow%20Forecast%202022-2028-6.5%25%20debtR90.45mv9-Moores%20deb%20t%20.xlsx" TargetMode="External"/><Relationship Id="rId1" Type="http://schemas.openxmlformats.org/officeDocument/2006/relationships/externalLinkPath" Target="file:///C:\Users\keshrina.sivlal\Desktop\Alllife\Vital%20Signs\AllLife%20Cashflow%20Forecast%202022-2028-6.5%25%20debtR90.45mv9-Moores%20deb%20t%20.xlsx" TargetMode="External"/></Relationships>
</file>

<file path=xl/externalLinks/_rels/externalLink17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alllide-my.sharepoint.com/personal/keshrina_sivlal_alllife_co_za/Documents/Desktop/Alllife/Vital%20Signs/AllLife%20Cashflow%20Forecast%202022-2028-6.5%25%20debtR90.45mv9-Moores%20deb%20t%20.xlsx" TargetMode="External"/><Relationship Id="rId1" Type="http://schemas.openxmlformats.org/officeDocument/2006/relationships/externalLinkPath" Target="https://alllide-my.sharepoint.com/personal/keshrina_sivlal_alllife_co_za/Documents/Desktop/Alllife/Vital%20Signs/AllLife%20Cashflow%20Forecast%202022-2028-6.5%25%20debtR90.45mv9-Moores%20deb%20t%20.xlsx" TargetMode="External"/></Relationships>
</file>

<file path=xl/externalLinks/_rels/externalLink1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alllife.local\hydra\4.%20Enabling\Finance\Admin\Accounts\Management%20accounts\Quona\Q2%2025\Revenue%20EBITDA%20and%20VIF%20workings%20Q2%2025.xlsx" TargetMode="External"/><Relationship Id="rId1" Type="http://schemas.openxmlformats.org/officeDocument/2006/relationships/externalLinkPath" Target="Revenue%20EBITDA%20and%20VIF%20workings%20Q2%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Pre-Financing Capitalization"/>
      <sheetName val="Terms"/>
      <sheetName val="Yield Curve"/>
      <sheetName val="Summary Output Post Recap"/>
      <sheetName val="Comp Investor Yield Curve"/>
      <sheetName val="Cap Table for Term Sheet"/>
      <sheetName val="Voting"/>
      <sheetName val="Antidilution"/>
      <sheetName val="Capitalization table over time"/>
      <sheetName val="Endeca Rachet"/>
      <sheetName val="Output For Memo"/>
      <sheetName val="Financing History"/>
      <sheetName val="Wt Avg Return Slide"/>
      <sheetName val="Series F Terms"/>
      <sheetName val="1st Close"/>
    </sheetNames>
    <sheetDataSet>
      <sheetData sheetId="0" refreshError="1"/>
      <sheetData sheetId="1"/>
      <sheetData sheetId="2"/>
      <sheetData sheetId="3" refreshError="1"/>
      <sheetData sheetId="4" refreshError="1"/>
      <sheetData sheetId="5" refreshError="1">
        <row r="2">
          <cell r="A2" t="str">
            <v>Competitive Investor Yield Curves</v>
          </cell>
        </row>
        <row r="4">
          <cell r="B4" t="str">
            <v>Exit</v>
          </cell>
          <cell r="C4" t="str">
            <v>Proceeds</v>
          </cell>
        </row>
        <row r="5">
          <cell r="B5" t="str">
            <v>Value</v>
          </cell>
        </row>
        <row r="6">
          <cell r="C6" t="str">
            <v>Lehman</v>
          </cell>
          <cell r="D6" t="str">
            <v>Bessemer</v>
          </cell>
          <cell r="E6" t="str">
            <v>Ampersand</v>
          </cell>
          <cell r="F6" t="str">
            <v>Venrock</v>
          </cell>
        </row>
        <row r="7">
          <cell r="B7">
            <v>1000000</v>
          </cell>
          <cell r="C7">
            <v>0.39449391861029026</v>
          </cell>
          <cell r="D7">
            <v>6.2571424300135311E-3</v>
          </cell>
          <cell r="E7">
            <v>6.1627258015295857E-3</v>
          </cell>
          <cell r="F7">
            <v>6.1627511575380106E-3</v>
          </cell>
        </row>
        <row r="8">
          <cell r="B8">
            <v>5000000</v>
          </cell>
          <cell r="C8">
            <v>1.9724695930514515</v>
          </cell>
          <cell r="D8">
            <v>3.128571215006766E-2</v>
          </cell>
          <cell r="E8">
            <v>3.081362900764793E-2</v>
          </cell>
          <cell r="F8">
            <v>3.0813755787690057E-2</v>
          </cell>
        </row>
        <row r="9">
          <cell r="B9">
            <v>10000000</v>
          </cell>
          <cell r="C9">
            <v>3.9449391861029031</v>
          </cell>
          <cell r="D9">
            <v>6.257142430013532E-2</v>
          </cell>
          <cell r="E9">
            <v>6.1627258015295859E-2</v>
          </cell>
          <cell r="F9">
            <v>6.1627511575380114E-2</v>
          </cell>
        </row>
        <row r="10">
          <cell r="B10">
            <v>15000000</v>
          </cell>
          <cell r="C10">
            <v>5.9174087791543544</v>
          </cell>
          <cell r="D10">
            <v>9.3857136450202966E-2</v>
          </cell>
          <cell r="E10">
            <v>9.2440887022943785E-2</v>
          </cell>
          <cell r="F10">
            <v>9.2441267363070165E-2</v>
          </cell>
        </row>
        <row r="11">
          <cell r="B11">
            <v>20000000</v>
          </cell>
          <cell r="C11">
            <v>6.3513548668628603</v>
          </cell>
          <cell r="D11">
            <v>0.16682041972593331</v>
          </cell>
          <cell r="E11">
            <v>0.26650735417159799</v>
          </cell>
          <cell r="F11">
            <v>0.20717469972258942</v>
          </cell>
        </row>
        <row r="12">
          <cell r="B12">
            <v>25000000</v>
          </cell>
          <cell r="C12">
            <v>6.3513548668628603</v>
          </cell>
          <cell r="D12">
            <v>0.25153901182363897</v>
          </cell>
          <cell r="E12">
            <v>0.48097879950131217</v>
          </cell>
          <cell r="F12">
            <v>0.34557797866140477</v>
          </cell>
        </row>
        <row r="13">
          <cell r="B13">
            <v>30000000</v>
          </cell>
          <cell r="C13">
            <v>6.3513548668628603</v>
          </cell>
          <cell r="D13">
            <v>0.33625760392134463</v>
          </cell>
          <cell r="E13">
            <v>0.69545024483102635</v>
          </cell>
          <cell r="F13">
            <v>0.48398125760022009</v>
          </cell>
        </row>
        <row r="14">
          <cell r="B14">
            <v>35000000</v>
          </cell>
          <cell r="C14">
            <v>6.3513548668628603</v>
          </cell>
          <cell r="D14">
            <v>0.42097619601905029</v>
          </cell>
          <cell r="E14">
            <v>0.90992169016074054</v>
          </cell>
          <cell r="F14">
            <v>0.62238453653903547</v>
          </cell>
        </row>
        <row r="15">
          <cell r="B15">
            <v>40000000</v>
          </cell>
          <cell r="C15">
            <v>6.3513548668628603</v>
          </cell>
          <cell r="D15">
            <v>0.60107244976815799</v>
          </cell>
          <cell r="E15">
            <v>0.99999999917501547</v>
          </cell>
          <cell r="F15">
            <v>0.7654731266056819</v>
          </cell>
        </row>
        <row r="16">
          <cell r="B16">
            <v>45000000</v>
          </cell>
          <cell r="C16">
            <v>6.3513548668628603</v>
          </cell>
          <cell r="D16">
            <v>0.85023568529596716</v>
          </cell>
          <cell r="E16">
            <v>0.99999999917501547</v>
          </cell>
          <cell r="F16">
            <v>0.9119545477890757</v>
          </cell>
        </row>
        <row r="17">
          <cell r="B17">
            <v>50000000</v>
          </cell>
          <cell r="C17">
            <v>6.3513548668628603</v>
          </cell>
          <cell r="D17">
            <v>0.99999999877546897</v>
          </cell>
          <cell r="E17">
            <v>0.99999999917501547</v>
          </cell>
          <cell r="F17">
            <v>0.99999999893503433</v>
          </cell>
        </row>
        <row r="18">
          <cell r="B18">
            <v>55000000</v>
          </cell>
          <cell r="C18">
            <v>6.3513548668628603</v>
          </cell>
          <cell r="D18">
            <v>0.99999999877546897</v>
          </cell>
          <cell r="E18">
            <v>0.99999999917501547</v>
          </cell>
          <cell r="F18">
            <v>0.99999999893503433</v>
          </cell>
        </row>
        <row r="19">
          <cell r="B19">
            <v>60000000</v>
          </cell>
          <cell r="C19">
            <v>6.3513548668628603</v>
          </cell>
          <cell r="D19">
            <v>0.99999999877546897</v>
          </cell>
          <cell r="E19">
            <v>0.99999999917501547</v>
          </cell>
          <cell r="F19">
            <v>0.99999999893503433</v>
          </cell>
        </row>
        <row r="20">
          <cell r="B20">
            <v>65000000</v>
          </cell>
          <cell r="C20">
            <v>6.3513548668628603</v>
          </cell>
          <cell r="D20">
            <v>0.99999999877546897</v>
          </cell>
          <cell r="E20">
            <v>0.99999999917501547</v>
          </cell>
          <cell r="F20">
            <v>0.99999999893503433</v>
          </cell>
        </row>
        <row r="21">
          <cell r="B21">
            <v>70000000</v>
          </cell>
          <cell r="C21">
            <v>6.3513548668628603</v>
          </cell>
          <cell r="D21">
            <v>1.0071121759247208</v>
          </cell>
          <cell r="E21">
            <v>0.99999999917501547</v>
          </cell>
          <cell r="F21">
            <v>0.99999999893503433</v>
          </cell>
        </row>
        <row r="22">
          <cell r="B22">
            <v>75000000</v>
          </cell>
          <cell r="C22">
            <v>6.3513548668628603</v>
          </cell>
          <cell r="D22">
            <v>1.035053704014065</v>
          </cell>
          <cell r="E22">
            <v>1.0194381926769769</v>
          </cell>
          <cell r="F22">
            <v>1.0194381836224624</v>
          </cell>
        </row>
        <row r="23">
          <cell r="B23">
            <v>80000000</v>
          </cell>
          <cell r="C23">
            <v>6.3513548668628603</v>
          </cell>
          <cell r="D23">
            <v>1.1113762648064571</v>
          </cell>
          <cell r="E23">
            <v>1.0946093229733636</v>
          </cell>
          <cell r="F23">
            <v>1.0946092798314011</v>
          </cell>
        </row>
        <row r="24">
          <cell r="B24">
            <v>85000000</v>
          </cell>
          <cell r="C24">
            <v>6.3513548668628603</v>
          </cell>
          <cell r="D24">
            <v>1.1874593846075274</v>
          </cell>
          <cell r="E24">
            <v>1.1695446245741445</v>
          </cell>
          <cell r="F24">
            <v>1.1695445474516737</v>
          </cell>
        </row>
        <row r="25">
          <cell r="B25">
            <v>90000000</v>
          </cell>
          <cell r="C25">
            <v>6.3513548668628603</v>
          </cell>
          <cell r="D25">
            <v>1.2635425044085977</v>
          </cell>
          <cell r="E25">
            <v>1.2444799261749255</v>
          </cell>
          <cell r="F25">
            <v>1.2444798150719465</v>
          </cell>
        </row>
        <row r="26">
          <cell r="B26">
            <v>95000000</v>
          </cell>
          <cell r="C26">
            <v>6.3513548668628603</v>
          </cell>
          <cell r="D26">
            <v>1.339625624209668</v>
          </cell>
          <cell r="E26">
            <v>1.3194152277757063</v>
          </cell>
          <cell r="F26">
            <v>1.3194150826922191</v>
          </cell>
        </row>
        <row r="27">
          <cell r="B27">
            <v>100000000</v>
          </cell>
          <cell r="C27">
            <v>6.3513548668628603</v>
          </cell>
          <cell r="D27">
            <v>1.4157087440107381</v>
          </cell>
          <cell r="E27">
            <v>1.3943505293764873</v>
          </cell>
          <cell r="F27">
            <v>1.3943503503124914</v>
          </cell>
        </row>
        <row r="28">
          <cell r="B28">
            <v>105000000</v>
          </cell>
          <cell r="C28">
            <v>6.3513548668628603</v>
          </cell>
          <cell r="D28">
            <v>1.4917918638118077</v>
          </cell>
          <cell r="E28">
            <v>1.4692858309772681</v>
          </cell>
          <cell r="F28">
            <v>1.469285617932764</v>
          </cell>
        </row>
        <row r="29">
          <cell r="B29">
            <v>110000000</v>
          </cell>
          <cell r="C29">
            <v>6.3513548668628603</v>
          </cell>
          <cell r="D29">
            <v>1.5678749836128782</v>
          </cell>
          <cell r="E29">
            <v>1.544221132578049</v>
          </cell>
          <cell r="F29">
            <v>1.5442208855530364</v>
          </cell>
        </row>
        <row r="30">
          <cell r="B30">
            <v>115000000</v>
          </cell>
          <cell r="C30">
            <v>6.4281411902678434</v>
          </cell>
          <cell r="D30">
            <v>1.6422141838910758</v>
          </cell>
          <cell r="E30">
            <v>1.6174388203647359</v>
          </cell>
          <cell r="F30">
            <v>1.6174385456174671</v>
          </cell>
        </row>
        <row r="31">
          <cell r="B31">
            <v>120000000</v>
          </cell>
          <cell r="C31">
            <v>6.7016404883053999</v>
          </cell>
          <cell r="D31">
            <v>1.7120857709062347</v>
          </cell>
          <cell r="E31">
            <v>1.686256285459963</v>
          </cell>
          <cell r="F31">
            <v>1.686255999022972</v>
          </cell>
        </row>
        <row r="32">
          <cell r="B32">
            <v>125000000</v>
          </cell>
          <cell r="C32">
            <v>6.9751397863429574</v>
          </cell>
          <cell r="D32">
            <v>1.7819573579213941</v>
          </cell>
          <cell r="E32">
            <v>1.7550737505551899</v>
          </cell>
          <cell r="F32">
            <v>1.755073452428477</v>
          </cell>
        </row>
        <row r="33">
          <cell r="B33">
            <v>130000000</v>
          </cell>
          <cell r="C33">
            <v>7.2486390843805131</v>
          </cell>
          <cell r="D33">
            <v>1.851828944936553</v>
          </cell>
          <cell r="E33">
            <v>1.8238912156504175</v>
          </cell>
          <cell r="F33">
            <v>1.8238909058339818</v>
          </cell>
        </row>
        <row r="34">
          <cell r="B34">
            <v>135000000</v>
          </cell>
          <cell r="C34">
            <v>7.5221383824180705</v>
          </cell>
          <cell r="D34">
            <v>1.9217005319517124</v>
          </cell>
          <cell r="E34">
            <v>1.8927086807456444</v>
          </cell>
          <cell r="F34">
            <v>1.8927083592394867</v>
          </cell>
        </row>
        <row r="35">
          <cell r="B35">
            <v>140000000</v>
          </cell>
          <cell r="C35">
            <v>7.7956376804556271</v>
          </cell>
          <cell r="D35">
            <v>1.9915721189668716</v>
          </cell>
          <cell r="E35">
            <v>1.9615261458408717</v>
          </cell>
          <cell r="F35">
            <v>1.9615258126449915</v>
          </cell>
        </row>
        <row r="36">
          <cell r="B36">
            <v>145000000</v>
          </cell>
          <cell r="C36">
            <v>8.0691369784931837</v>
          </cell>
          <cell r="D36">
            <v>2.0614437059820312</v>
          </cell>
          <cell r="E36">
            <v>2.0303436109360988</v>
          </cell>
          <cell r="F36">
            <v>2.0303432660504965</v>
          </cell>
        </row>
        <row r="37">
          <cell r="B37">
            <v>150000000</v>
          </cell>
          <cell r="C37">
            <v>8.342636276530742</v>
          </cell>
          <cell r="D37">
            <v>2.1313152929971899</v>
          </cell>
          <cell r="E37">
            <v>2.0991610760313262</v>
          </cell>
          <cell r="F37">
            <v>2.0991607194560014</v>
          </cell>
        </row>
        <row r="38">
          <cell r="B38">
            <v>155000000</v>
          </cell>
          <cell r="C38">
            <v>8.6161355745682986</v>
          </cell>
          <cell r="D38">
            <v>2.2011868800123495</v>
          </cell>
          <cell r="E38">
            <v>2.1679785411265531</v>
          </cell>
          <cell r="F38">
            <v>2.1679781728615066</v>
          </cell>
        </row>
        <row r="39">
          <cell r="B39">
            <v>160000000</v>
          </cell>
          <cell r="C39">
            <v>8.8896348726058534</v>
          </cell>
          <cell r="D39">
            <v>2.2710584670275087</v>
          </cell>
          <cell r="E39">
            <v>2.2367960062217809</v>
          </cell>
          <cell r="F39">
            <v>2.2367956262670114</v>
          </cell>
        </row>
        <row r="40">
          <cell r="B40">
            <v>165000000</v>
          </cell>
          <cell r="C40">
            <v>9.1631341706434117</v>
          </cell>
          <cell r="D40">
            <v>2.3409300540426679</v>
          </cell>
          <cell r="E40">
            <v>2.3056134713170078</v>
          </cell>
          <cell r="F40">
            <v>2.3056130796725167</v>
          </cell>
        </row>
        <row r="41">
          <cell r="B41">
            <v>170000000</v>
          </cell>
          <cell r="C41">
            <v>9.4366334686809701</v>
          </cell>
          <cell r="D41">
            <v>2.4108016410578266</v>
          </cell>
          <cell r="E41">
            <v>2.3744309364122347</v>
          </cell>
          <cell r="F41">
            <v>2.3744305330780211</v>
          </cell>
        </row>
        <row r="42">
          <cell r="B42">
            <v>175000000</v>
          </cell>
          <cell r="C42">
            <v>9.7101327667185267</v>
          </cell>
          <cell r="D42">
            <v>2.4806732280729862</v>
          </cell>
          <cell r="E42">
            <v>2.443248401507462</v>
          </cell>
          <cell r="F42">
            <v>2.4432479864835264</v>
          </cell>
        </row>
        <row r="43">
          <cell r="B43">
            <v>180000000</v>
          </cell>
          <cell r="C43">
            <v>9.9836320647560832</v>
          </cell>
          <cell r="D43">
            <v>2.5505448150881449</v>
          </cell>
          <cell r="E43">
            <v>2.5120658666026894</v>
          </cell>
          <cell r="F43">
            <v>2.5120654398890312</v>
          </cell>
        </row>
        <row r="44">
          <cell r="B44">
            <v>185000000</v>
          </cell>
          <cell r="C44">
            <v>10.25713136279364</v>
          </cell>
          <cell r="D44">
            <v>2.6204164021033045</v>
          </cell>
          <cell r="E44">
            <v>2.5808833316979163</v>
          </cell>
          <cell r="F44">
            <v>2.580882893294536</v>
          </cell>
        </row>
        <row r="45">
          <cell r="B45">
            <v>190000000</v>
          </cell>
          <cell r="C45">
            <v>10.530630660831198</v>
          </cell>
          <cell r="D45">
            <v>2.6902879891184637</v>
          </cell>
          <cell r="E45">
            <v>2.6497007967931441</v>
          </cell>
          <cell r="F45">
            <v>2.6497003467000408</v>
          </cell>
        </row>
        <row r="46">
          <cell r="B46">
            <v>195000000</v>
          </cell>
          <cell r="C46">
            <v>10.804129958868753</v>
          </cell>
          <cell r="D46">
            <v>2.7601595761336228</v>
          </cell>
          <cell r="E46">
            <v>2.7185182618883705</v>
          </cell>
          <cell r="F46">
            <v>2.7185178001055457</v>
          </cell>
        </row>
        <row r="47">
          <cell r="B47">
            <v>200000000</v>
          </cell>
          <cell r="C47">
            <v>11.077629256906311</v>
          </cell>
          <cell r="D47">
            <v>2.830031163148782</v>
          </cell>
          <cell r="E47">
            <v>2.7873357269835979</v>
          </cell>
          <cell r="F47">
            <v>2.7873352535110509</v>
          </cell>
        </row>
        <row r="48">
          <cell r="B48">
            <v>205000000</v>
          </cell>
          <cell r="C48">
            <v>11.351128554943868</v>
          </cell>
          <cell r="D48">
            <v>2.8999027501639412</v>
          </cell>
          <cell r="E48">
            <v>2.8561531920788248</v>
          </cell>
          <cell r="F48">
            <v>2.8561527069165553</v>
          </cell>
        </row>
        <row r="49">
          <cell r="B49">
            <v>210000000</v>
          </cell>
          <cell r="C49">
            <v>11.624627852981423</v>
          </cell>
          <cell r="D49">
            <v>2.9697743371791003</v>
          </cell>
          <cell r="E49">
            <v>2.9249706571740526</v>
          </cell>
          <cell r="F49">
            <v>2.9249701603220606</v>
          </cell>
        </row>
        <row r="50">
          <cell r="B50">
            <v>215000000</v>
          </cell>
          <cell r="C50">
            <v>11.898127151018981</v>
          </cell>
          <cell r="D50">
            <v>3.0396459241942595</v>
          </cell>
          <cell r="E50">
            <v>2.9937881222692795</v>
          </cell>
          <cell r="F50">
            <v>2.9937876137275654</v>
          </cell>
        </row>
        <row r="51">
          <cell r="B51">
            <v>220000000</v>
          </cell>
          <cell r="C51">
            <v>12.171626449056538</v>
          </cell>
          <cell r="D51">
            <v>3.1095175112094195</v>
          </cell>
          <cell r="E51">
            <v>3.0626055873645068</v>
          </cell>
          <cell r="F51">
            <v>3.0626050671330711</v>
          </cell>
        </row>
        <row r="52">
          <cell r="B52">
            <v>225000000</v>
          </cell>
          <cell r="C52">
            <v>12.445125747094094</v>
          </cell>
          <cell r="D52">
            <v>3.1793890982245778</v>
          </cell>
          <cell r="E52">
            <v>3.1314230524597337</v>
          </cell>
          <cell r="F52">
            <v>3.1314225205385751</v>
          </cell>
        </row>
        <row r="53">
          <cell r="B53">
            <v>230000000</v>
          </cell>
          <cell r="C53">
            <v>12.718625045131652</v>
          </cell>
          <cell r="D53">
            <v>3.249260685239737</v>
          </cell>
          <cell r="E53">
            <v>3.2002405175549606</v>
          </cell>
          <cell r="F53">
            <v>3.2002399739440808</v>
          </cell>
        </row>
        <row r="54">
          <cell r="B54">
            <v>235000000</v>
          </cell>
          <cell r="C54">
            <v>12.992124343169211</v>
          </cell>
          <cell r="D54">
            <v>3.319132272254897</v>
          </cell>
          <cell r="E54">
            <v>3.269057982650188</v>
          </cell>
          <cell r="F54">
            <v>3.2690574273495847</v>
          </cell>
        </row>
        <row r="55">
          <cell r="B55">
            <v>240000000</v>
          </cell>
          <cell r="C55">
            <v>13.265623641206767</v>
          </cell>
          <cell r="D55">
            <v>3.3890038592700562</v>
          </cell>
          <cell r="E55">
            <v>3.3378754477454153</v>
          </cell>
          <cell r="F55">
            <v>3.3378748807550904</v>
          </cell>
        </row>
        <row r="56">
          <cell r="B56">
            <v>245000000</v>
          </cell>
          <cell r="C56">
            <v>13.539122939244322</v>
          </cell>
          <cell r="D56">
            <v>3.4588754462852145</v>
          </cell>
          <cell r="E56">
            <v>3.4066929128406427</v>
          </cell>
          <cell r="F56">
            <v>3.4066923341605952</v>
          </cell>
        </row>
        <row r="57">
          <cell r="B57">
            <v>250000000</v>
          </cell>
          <cell r="C57">
            <v>13.812622237281877</v>
          </cell>
          <cell r="D57">
            <v>3.5287470333003745</v>
          </cell>
          <cell r="E57">
            <v>3.4755103779358696</v>
          </cell>
          <cell r="F57">
            <v>3.4755097875661001</v>
          </cell>
        </row>
        <row r="58">
          <cell r="B58">
            <v>255000000</v>
          </cell>
          <cell r="C58">
            <v>14.086121535319437</v>
          </cell>
          <cell r="D58">
            <v>3.5986186203155337</v>
          </cell>
          <cell r="E58">
            <v>3.5443278430310969</v>
          </cell>
          <cell r="F58">
            <v>3.5443272409716049</v>
          </cell>
        </row>
        <row r="59">
          <cell r="B59">
            <v>260000000</v>
          </cell>
          <cell r="C59">
            <v>14.359620833356994</v>
          </cell>
          <cell r="D59">
            <v>3.668490207330692</v>
          </cell>
          <cell r="E59">
            <v>3.6131453081263247</v>
          </cell>
          <cell r="F59">
            <v>3.6131446943771102</v>
          </cell>
        </row>
        <row r="60">
          <cell r="B60">
            <v>265000000</v>
          </cell>
          <cell r="C60">
            <v>14.63312013139455</v>
          </cell>
          <cell r="D60">
            <v>3.738361794345852</v>
          </cell>
          <cell r="E60">
            <v>3.6819627732215516</v>
          </cell>
          <cell r="F60">
            <v>3.681962147782615</v>
          </cell>
        </row>
        <row r="61">
          <cell r="B61">
            <v>270000000</v>
          </cell>
          <cell r="C61">
            <v>14.906619429432109</v>
          </cell>
          <cell r="D61">
            <v>3.8082333813610112</v>
          </cell>
          <cell r="E61">
            <v>3.7507802383167776</v>
          </cell>
          <cell r="F61">
            <v>3.7507796011881198</v>
          </cell>
        </row>
        <row r="62">
          <cell r="B62">
            <v>275000000</v>
          </cell>
          <cell r="C62">
            <v>15.180118727469665</v>
          </cell>
          <cell r="D62">
            <v>3.8781049683761704</v>
          </cell>
          <cell r="E62">
            <v>3.8195977034120054</v>
          </cell>
          <cell r="F62">
            <v>3.8195970545936246</v>
          </cell>
        </row>
        <row r="63">
          <cell r="B63">
            <v>280000000</v>
          </cell>
          <cell r="C63">
            <v>15.453618025507218</v>
          </cell>
          <cell r="D63">
            <v>3.9479765553913295</v>
          </cell>
          <cell r="E63">
            <v>3.8884151685072328</v>
          </cell>
          <cell r="F63">
            <v>3.8884145079991304</v>
          </cell>
        </row>
        <row r="64">
          <cell r="B64">
            <v>285000000</v>
          </cell>
          <cell r="C64">
            <v>15.727117323544778</v>
          </cell>
          <cell r="D64">
            <v>4.0178481424064882</v>
          </cell>
          <cell r="E64">
            <v>3.9572326336024606</v>
          </cell>
          <cell r="F64">
            <v>3.9572319614046352</v>
          </cell>
        </row>
        <row r="65">
          <cell r="B65">
            <v>290000000</v>
          </cell>
          <cell r="C65">
            <v>16.000616621582335</v>
          </cell>
          <cell r="D65">
            <v>4.0877197294216474</v>
          </cell>
          <cell r="E65">
            <v>4.026050098697687</v>
          </cell>
          <cell r="F65">
            <v>4.0260494148101396</v>
          </cell>
        </row>
        <row r="66">
          <cell r="B66">
            <v>295000000</v>
          </cell>
          <cell r="C66">
            <v>16.274115919619891</v>
          </cell>
          <cell r="D66">
            <v>4.1575913164368066</v>
          </cell>
          <cell r="E66">
            <v>4.0948675637929144</v>
          </cell>
          <cell r="F66">
            <v>4.0948668682156448</v>
          </cell>
        </row>
        <row r="67">
          <cell r="B67">
            <v>300000000</v>
          </cell>
          <cell r="C67">
            <v>16.547615217657448</v>
          </cell>
          <cell r="D67">
            <v>4.2274629034519657</v>
          </cell>
          <cell r="E67">
            <v>4.1636850288881417</v>
          </cell>
          <cell r="F67">
            <v>4.1636843216211501</v>
          </cell>
        </row>
        <row r="68">
          <cell r="B68">
            <v>305000000</v>
          </cell>
          <cell r="C68">
            <v>16.821114515695001</v>
          </cell>
          <cell r="D68">
            <v>4.2973344904671258</v>
          </cell>
          <cell r="E68">
            <v>4.2325024939833691</v>
          </cell>
          <cell r="F68">
            <v>4.2325017750266545</v>
          </cell>
        </row>
        <row r="69">
          <cell r="B69">
            <v>310000000</v>
          </cell>
          <cell r="C69">
            <v>17.094613813732561</v>
          </cell>
          <cell r="D69">
            <v>4.3672060774822841</v>
          </cell>
          <cell r="E69">
            <v>4.3013199590785955</v>
          </cell>
          <cell r="F69">
            <v>4.3013192284321589</v>
          </cell>
        </row>
        <row r="70">
          <cell r="B70">
            <v>315000000</v>
          </cell>
          <cell r="C70">
            <v>17.368113111770121</v>
          </cell>
          <cell r="D70">
            <v>4.4370776644974441</v>
          </cell>
          <cell r="E70">
            <v>4.3701374241738238</v>
          </cell>
          <cell r="F70">
            <v>4.3701366818376641</v>
          </cell>
        </row>
        <row r="71">
          <cell r="B71">
            <v>320000000</v>
          </cell>
          <cell r="C71">
            <v>17.641612409807678</v>
          </cell>
          <cell r="D71">
            <v>4.5069492515126033</v>
          </cell>
          <cell r="E71">
            <v>4.4389548892690502</v>
          </cell>
          <cell r="F71">
            <v>4.4389541352431685</v>
          </cell>
        </row>
        <row r="72">
          <cell r="B72">
            <v>325000000</v>
          </cell>
          <cell r="C72">
            <v>17.915111707845238</v>
          </cell>
          <cell r="D72">
            <v>4.5768208385277633</v>
          </cell>
          <cell r="E72">
            <v>4.5077723543642776</v>
          </cell>
          <cell r="F72">
            <v>4.5077715886486738</v>
          </cell>
        </row>
        <row r="73">
          <cell r="B73">
            <v>330000000</v>
          </cell>
          <cell r="C73">
            <v>18.188611005882795</v>
          </cell>
          <cell r="D73">
            <v>4.6466924255429207</v>
          </cell>
          <cell r="E73">
            <v>4.5765898194595049</v>
          </cell>
          <cell r="F73">
            <v>4.576589042054179</v>
          </cell>
        </row>
        <row r="74">
          <cell r="B74">
            <v>335000000</v>
          </cell>
          <cell r="C74">
            <v>18.462110303920348</v>
          </cell>
          <cell r="D74">
            <v>4.7165640125580808</v>
          </cell>
          <cell r="E74">
            <v>4.6454072845547305</v>
          </cell>
          <cell r="F74">
            <v>4.6454064954596834</v>
          </cell>
        </row>
        <row r="75">
          <cell r="B75">
            <v>340000000</v>
          </cell>
          <cell r="C75">
            <v>18.735609601957908</v>
          </cell>
          <cell r="D75">
            <v>4.7864355995732408</v>
          </cell>
          <cell r="E75">
            <v>4.7142247496499596</v>
          </cell>
          <cell r="F75">
            <v>4.7142239488651887</v>
          </cell>
        </row>
        <row r="76">
          <cell r="B76">
            <v>345000000</v>
          </cell>
          <cell r="C76">
            <v>19.009108899995461</v>
          </cell>
          <cell r="D76">
            <v>4.8563071865883982</v>
          </cell>
          <cell r="E76">
            <v>4.7830422147451861</v>
          </cell>
          <cell r="F76">
            <v>4.783041402270694</v>
          </cell>
        </row>
        <row r="77">
          <cell r="B77">
            <v>350000000</v>
          </cell>
          <cell r="C77">
            <v>19.282608198033017</v>
          </cell>
          <cell r="D77">
            <v>4.9261787736035574</v>
          </cell>
          <cell r="E77">
            <v>4.8518596798404134</v>
          </cell>
          <cell r="F77">
            <v>4.8518588556761983</v>
          </cell>
        </row>
        <row r="78">
          <cell r="B78">
            <v>355000000</v>
          </cell>
          <cell r="C78">
            <v>19.556107496070577</v>
          </cell>
          <cell r="D78">
            <v>4.9960503606187183</v>
          </cell>
          <cell r="E78">
            <v>4.9206771449356399</v>
          </cell>
          <cell r="F78">
            <v>4.9206763090817036</v>
          </cell>
        </row>
        <row r="79">
          <cell r="B79">
            <v>360000000</v>
          </cell>
          <cell r="C79">
            <v>19.82960679410813</v>
          </cell>
          <cell r="D79">
            <v>5.0659219476338766</v>
          </cell>
          <cell r="E79">
            <v>4.9894946100308672</v>
          </cell>
          <cell r="F79">
            <v>4.989493762487208</v>
          </cell>
        </row>
        <row r="80">
          <cell r="B80">
            <v>365000000</v>
          </cell>
          <cell r="C80">
            <v>20.103106092145687</v>
          </cell>
          <cell r="D80">
            <v>5.1357935346490358</v>
          </cell>
          <cell r="E80">
            <v>5.0583120751260955</v>
          </cell>
          <cell r="F80">
            <v>5.0583112158927142</v>
          </cell>
        </row>
        <row r="81">
          <cell r="B81">
            <v>370000000</v>
          </cell>
          <cell r="C81">
            <v>20.376605390183244</v>
          </cell>
          <cell r="D81">
            <v>5.2056651216641958</v>
          </cell>
          <cell r="E81">
            <v>5.1271295402213228</v>
          </cell>
          <cell r="F81">
            <v>5.1271286692982185</v>
          </cell>
        </row>
        <row r="82">
          <cell r="B82">
            <v>375000000</v>
          </cell>
          <cell r="C82">
            <v>20.650104688220804</v>
          </cell>
          <cell r="D82">
            <v>5.2755367086793541</v>
          </cell>
          <cell r="E82">
            <v>5.1959470053165493</v>
          </cell>
          <cell r="F82">
            <v>5.195946122703722</v>
          </cell>
        </row>
        <row r="83">
          <cell r="B83">
            <v>380000000</v>
          </cell>
          <cell r="C83">
            <v>20.92360398625836</v>
          </cell>
          <cell r="D83">
            <v>5.3454082956945141</v>
          </cell>
          <cell r="E83">
            <v>5.2647644704117766</v>
          </cell>
          <cell r="F83">
            <v>5.2647635761092282</v>
          </cell>
        </row>
        <row r="84">
          <cell r="B84">
            <v>385000000</v>
          </cell>
          <cell r="C84">
            <v>21.197103284295917</v>
          </cell>
          <cell r="D84">
            <v>5.4152798827096724</v>
          </cell>
          <cell r="E84">
            <v>5.333581935507004</v>
          </cell>
          <cell r="F84">
            <v>5.3335810295147335</v>
          </cell>
        </row>
        <row r="85">
          <cell r="B85">
            <v>390000000</v>
          </cell>
          <cell r="C85">
            <v>21.470602582333473</v>
          </cell>
          <cell r="D85">
            <v>5.4851514697248307</v>
          </cell>
          <cell r="E85">
            <v>5.4023994006022313</v>
          </cell>
          <cell r="F85">
            <v>5.4023984829202378</v>
          </cell>
        </row>
        <row r="86">
          <cell r="B86">
            <v>395000000</v>
          </cell>
          <cell r="C86">
            <v>21.744101880371034</v>
          </cell>
          <cell r="D86">
            <v>5.5550230567399907</v>
          </cell>
          <cell r="E86">
            <v>5.4712168656974578</v>
          </cell>
          <cell r="F86">
            <v>5.4712159363257431</v>
          </cell>
        </row>
        <row r="87">
          <cell r="B87">
            <v>400000000</v>
          </cell>
          <cell r="C87">
            <v>22.01760117840859</v>
          </cell>
          <cell r="D87">
            <v>5.6248946437551508</v>
          </cell>
          <cell r="E87">
            <v>5.5400343307926851</v>
          </cell>
          <cell r="F87">
            <v>5.5400333897312475</v>
          </cell>
        </row>
      </sheetData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U Comps"/>
      <sheetName val="Model"/>
      <sheetName val="Graph Valo Theoretical"/>
      <sheetName val="Graph Full Value"/>
      <sheetName val="Graph Strategique"/>
      <sheetName val="Graphs EBITDA"/>
      <sheetName val="Graphs EBITDA-Capex"/>
      <sheetName val="Summary Valuation"/>
      <sheetName val="__FDSCACHE__"/>
      <sheetName val="EU Notes"/>
      <sheetName val="US Comps"/>
      <sheetName val="Notes US"/>
      <sheetName val="Historical Multiples"/>
      <sheetName val="US Deals"/>
      <sheetName val="EU Deals"/>
      <sheetName val="Assumptions"/>
      <sheetName val="Sales"/>
      <sheetName val="EBITDA"/>
      <sheetName val="Capex &amp; Depr."/>
      <sheetName val="DCF"/>
      <sheetName val="WACC"/>
      <sheetName val="Debt capacity "/>
      <sheetName val="Implied Multiples"/>
      <sheetName val="Summary Valuation ALL"/>
      <sheetName val="Valuation Model Decaux 19 06 00"/>
    </sheetNames>
    <sheetDataSet>
      <sheetData sheetId="0" refreshError="1">
        <row r="326">
          <cell r="DK326" t="str">
            <v>Comparable Company Analysis</v>
          </cell>
          <cell r="FQ326" t="str">
            <v>Comparable Company Analysis</v>
          </cell>
        </row>
        <row r="328">
          <cell r="DK328" t="str">
            <v>Selected European Companies in the Outdoor Advertising Industry</v>
          </cell>
          <cell r="FQ328" t="str">
            <v>Selected European Companies in the Outdoor Advertising Industry</v>
          </cell>
        </row>
        <row r="329">
          <cell r="DK329" t="str">
            <v>(figures in Local Currency Millions except per share data)</v>
          </cell>
          <cell r="FQ329" t="str">
            <v>(figures in Local Currency Millions except per share data)</v>
          </cell>
        </row>
        <row r="330">
          <cell r="GF330" t="str">
            <v>Market Value +</v>
          </cell>
          <cell r="GV330" t="str">
            <v>Market Value as</v>
          </cell>
        </row>
        <row r="331">
          <cell r="DS331" t="str">
            <v>Latest Twelve Months</v>
          </cell>
          <cell r="FB331" t="str">
            <v>Assets</v>
          </cell>
          <cell r="FL331" t="str">
            <v>Stock</v>
          </cell>
          <cell r="FY331" t="str">
            <v>5 YR</v>
          </cell>
          <cell r="GC331" t="str">
            <v>Market</v>
          </cell>
          <cell r="GF331" t="str">
            <v>Net Debt</v>
          </cell>
          <cell r="GV331" t="str">
            <v>a Multiple of:</v>
          </cell>
        </row>
        <row r="332">
          <cell r="DO332" t="str">
            <v>LTM</v>
          </cell>
          <cell r="DQ332" t="str">
            <v>Order</v>
          </cell>
          <cell r="DU332" t="str">
            <v>EBITDA -</v>
          </cell>
          <cell r="DY332" t="str">
            <v>Free</v>
          </cell>
          <cell r="EA332" t="str">
            <v>FCF</v>
          </cell>
          <cell r="EC332" t="str">
            <v>Gross</v>
          </cell>
          <cell r="EE332" t="str">
            <v xml:space="preserve">Gross </v>
          </cell>
          <cell r="EI332" t="str">
            <v>EBITDA</v>
          </cell>
          <cell r="EM332" t="str">
            <v>EBITA</v>
          </cell>
          <cell r="EQ332" t="str">
            <v>EBIT</v>
          </cell>
          <cell r="ET332" t="str">
            <v>Net</v>
          </cell>
          <cell r="EX332" t="str">
            <v>Consensus</v>
          </cell>
          <cell r="EZ332" t="str">
            <v>Cash</v>
          </cell>
          <cell r="FB332" t="str">
            <v>Less</v>
          </cell>
          <cell r="FD332" t="str">
            <v>Net</v>
          </cell>
          <cell r="FF332" t="str">
            <v>Book</v>
          </cell>
          <cell r="FH332" t="str">
            <v>EPS (a)</v>
          </cell>
          <cell r="FL332" t="str">
            <v>Price</v>
          </cell>
          <cell r="FN332" t="str">
            <v xml:space="preserve">Shares </v>
          </cell>
          <cell r="FS332" t="str">
            <v>Net</v>
          </cell>
          <cell r="FU332" t="str">
            <v>Net</v>
          </cell>
          <cell r="FW332" t="str">
            <v>Div.</v>
          </cell>
          <cell r="FY332" t="str">
            <v>Rev</v>
          </cell>
          <cell r="GA332" t="str">
            <v>Market</v>
          </cell>
          <cell r="GC332" t="str">
            <v xml:space="preserve"> Value +</v>
          </cell>
          <cell r="GM332" t="str">
            <v>as a Multiple of:</v>
          </cell>
          <cell r="GV332" t="str">
            <v>Consensus</v>
          </cell>
          <cell r="GX332" t="str">
            <v>Cash</v>
          </cell>
          <cell r="HA332" t="str">
            <v>FY1</v>
          </cell>
          <cell r="HD332" t="str">
            <v>FY2</v>
          </cell>
          <cell r="HG332" t="str">
            <v>Book</v>
          </cell>
          <cell r="HJ332" t="str">
            <v>Net Inc.</v>
          </cell>
        </row>
        <row r="333">
          <cell r="DN333" t="str">
            <v>LC</v>
          </cell>
          <cell r="DO333" t="str">
            <v>as of</v>
          </cell>
          <cell r="DQ333" t="str">
            <v>Backlog</v>
          </cell>
          <cell r="DS333" t="str">
            <v>Revenue</v>
          </cell>
          <cell r="DU333" t="str">
            <v>Capex</v>
          </cell>
          <cell r="DW333" t="str">
            <v>Marg.</v>
          </cell>
          <cell r="DY333" t="str">
            <v>Cash Flow</v>
          </cell>
          <cell r="EA333" t="str">
            <v>Marg.</v>
          </cell>
          <cell r="EC333" t="str">
            <v>Profit</v>
          </cell>
          <cell r="EE333" t="str">
            <v>Marg.</v>
          </cell>
          <cell r="EG333" t="str">
            <v xml:space="preserve">EBITDA </v>
          </cell>
          <cell r="EI333" t="str">
            <v>Marg.</v>
          </cell>
          <cell r="EK333" t="str">
            <v xml:space="preserve">EBITA </v>
          </cell>
          <cell r="EM333" t="str">
            <v>Marg.</v>
          </cell>
          <cell r="EO333" t="str">
            <v>EBIT</v>
          </cell>
          <cell r="EQ333" t="str">
            <v>Marg.</v>
          </cell>
          <cell r="ET333" t="str">
            <v>Inc.</v>
          </cell>
          <cell r="EV333" t="str">
            <v>EPS</v>
          </cell>
          <cell r="EX333" t="str">
            <v>EPS</v>
          </cell>
          <cell r="EZ333" t="str">
            <v>EPS</v>
          </cell>
          <cell r="FB333" t="str">
            <v>Cash</v>
          </cell>
          <cell r="FD333" t="str">
            <v>Cap</v>
          </cell>
          <cell r="FF333" t="str">
            <v>Value</v>
          </cell>
          <cell r="FH333" t="str">
            <v>FY1</v>
          </cell>
          <cell r="FJ333" t="str">
            <v>FY2</v>
          </cell>
          <cell r="FL333">
            <v>36696</v>
          </cell>
          <cell r="FN333" t="str">
            <v>Outs. (m)</v>
          </cell>
          <cell r="FS333" t="str">
            <v xml:space="preserve">Debt </v>
          </cell>
          <cell r="FU333" t="str">
            <v>Gearing</v>
          </cell>
          <cell r="FW333" t="str">
            <v>Yield</v>
          </cell>
          <cell r="FY333" t="str">
            <v>Grwth</v>
          </cell>
          <cell r="GA333" t="str">
            <v>Value</v>
          </cell>
          <cell r="GC333" t="str">
            <v>Net Debt</v>
          </cell>
          <cell r="GF333" t="str">
            <v>Rev.</v>
          </cell>
          <cell r="GH333" t="str">
            <v>EBITDA - Capex</v>
          </cell>
          <cell r="GJ333" t="str">
            <v>FCF</v>
          </cell>
          <cell r="GL333" t="str">
            <v>EBITDA</v>
          </cell>
          <cell r="GN333" t="str">
            <v>EBITA</v>
          </cell>
          <cell r="GP333" t="str">
            <v>EBIT</v>
          </cell>
          <cell r="GT333" t="str">
            <v>EPS</v>
          </cell>
          <cell r="GV333" t="str">
            <v>EPS</v>
          </cell>
          <cell r="GX333" t="str">
            <v>EPS</v>
          </cell>
          <cell r="HA333" t="str">
            <v>EPS</v>
          </cell>
          <cell r="HD333" t="str">
            <v>EPS</v>
          </cell>
          <cell r="HG333" t="str">
            <v>Value</v>
          </cell>
          <cell r="HJ333" t="str">
            <v>+ DA</v>
          </cell>
        </row>
        <row r="335">
          <cell r="DK335" t="str">
            <v>Giraudy</v>
          </cell>
          <cell r="DM335" t="str">
            <v>option</v>
          </cell>
          <cell r="DN335" t="str">
            <v>FRF</v>
          </cell>
          <cell r="DO335">
            <v>35338</v>
          </cell>
          <cell r="DQ335">
            <v>0</v>
          </cell>
          <cell r="DS335">
            <v>1221.7639999999999</v>
          </cell>
          <cell r="EC335" t="e">
            <v>#VALUE!</v>
          </cell>
          <cell r="EE335" t="e">
            <v>#VALUE!</v>
          </cell>
          <cell r="EG335">
            <v>136.42500000000001</v>
          </cell>
          <cell r="EI335">
            <v>0.11166231776349608</v>
          </cell>
          <cell r="EK335">
            <v>0</v>
          </cell>
          <cell r="EM335">
            <v>0</v>
          </cell>
          <cell r="EO335">
            <v>71.548000000000002</v>
          </cell>
          <cell r="EQ335">
            <v>5.8561227863973733E-2</v>
          </cell>
          <cell r="ET335">
            <v>35.148492506459945</v>
          </cell>
          <cell r="EV335">
            <v>18.394339484821241</v>
          </cell>
          <cell r="EX335">
            <v>0</v>
          </cell>
          <cell r="EZ335">
            <v>0</v>
          </cell>
          <cell r="FB335">
            <v>1124.452</v>
          </cell>
          <cell r="FD335">
            <v>596.90899999999999</v>
          </cell>
          <cell r="FF335">
            <v>510.41</v>
          </cell>
          <cell r="FH335" t="str">
            <v>NA</v>
          </cell>
          <cell r="FJ335">
            <v>28.2</v>
          </cell>
          <cell r="FL335">
            <v>390</v>
          </cell>
          <cell r="FN335">
            <v>1.910852</v>
          </cell>
          <cell r="FQ335" t="str">
            <v>Giraudy</v>
          </cell>
          <cell r="FS335">
            <v>86.498999999999995</v>
          </cell>
          <cell r="FU335">
            <v>0.14491153592926223</v>
          </cell>
          <cell r="FW335" t="e">
            <v>#VALUE!</v>
          </cell>
          <cell r="FY335" t="e">
            <v>#VALUE!</v>
          </cell>
          <cell r="GA335">
            <v>745.23227999999995</v>
          </cell>
          <cell r="GC335">
            <v>831.73127999999997</v>
          </cell>
          <cell r="GF335">
            <v>0.68076263500970735</v>
          </cell>
          <cell r="GG335" t="str">
            <v>x</v>
          </cell>
          <cell r="GL335">
            <v>6.0966192413413953</v>
          </cell>
          <cell r="GM335" t="str">
            <v>x</v>
          </cell>
          <cell r="GN335" t="e">
            <v>#DIV/0!</v>
          </cell>
          <cell r="GO335" t="str">
            <v>x</v>
          </cell>
          <cell r="GP335">
            <v>11.624801252306144</v>
          </cell>
          <cell r="GQ335" t="str">
            <v>x</v>
          </cell>
          <cell r="GT335">
            <v>21.202174740866486</v>
          </cell>
          <cell r="GU335" t="str">
            <v>x</v>
          </cell>
          <cell r="GV335" t="e">
            <v>#DIV/0!</v>
          </cell>
          <cell r="GW335" t="str">
            <v>x</v>
          </cell>
          <cell r="HA335" t="str">
            <v>NA</v>
          </cell>
          <cell r="HD335">
            <v>13.829787234042554</v>
          </cell>
          <cell r="HE335" t="str">
            <v>x</v>
          </cell>
          <cell r="HG335">
            <v>1.4600659861679823</v>
          </cell>
          <cell r="HH335" t="str">
            <v>x</v>
          </cell>
          <cell r="HJ335">
            <v>7.2416985406060537</v>
          </cell>
          <cell r="HK335" t="str">
            <v>x</v>
          </cell>
        </row>
        <row r="336">
          <cell r="DK336" t="str">
            <v xml:space="preserve"> -</v>
          </cell>
          <cell r="DL336" t="str">
            <v>French second largest outdoor advertising operator</v>
          </cell>
          <cell r="ET336" t="str">
            <v xml:space="preserve"> </v>
          </cell>
          <cell r="EW336">
            <v>0</v>
          </cell>
          <cell r="EY336">
            <v>0</v>
          </cell>
          <cell r="FA336">
            <v>0</v>
          </cell>
          <cell r="FL336">
            <v>0</v>
          </cell>
          <cell r="FN336">
            <v>0</v>
          </cell>
          <cell r="FQ336" t="str">
            <v xml:space="preserve"> -</v>
          </cell>
          <cell r="FR336" t="str">
            <v>French second largest outdoor advertising operator</v>
          </cell>
        </row>
        <row r="337">
          <cell r="DL337">
            <v>0</v>
          </cell>
          <cell r="EW337">
            <v>0</v>
          </cell>
          <cell r="EY337">
            <v>0</v>
          </cell>
          <cell r="FA337">
            <v>0</v>
          </cell>
          <cell r="FL337">
            <v>0</v>
          </cell>
          <cell r="FN337">
            <v>0</v>
          </cell>
          <cell r="FR337">
            <v>0</v>
          </cell>
        </row>
        <row r="338">
          <cell r="EW338">
            <v>0</v>
          </cell>
          <cell r="EY338">
            <v>0</v>
          </cell>
          <cell r="FA338">
            <v>0</v>
          </cell>
          <cell r="FL338">
            <v>0</v>
          </cell>
          <cell r="FN338">
            <v>0</v>
          </cell>
        </row>
        <row r="339">
          <cell r="DO339" t="str">
            <v>FY1</v>
          </cell>
          <cell r="DS339">
            <v>1270</v>
          </cell>
          <cell r="EG339">
            <v>143.87700000000001</v>
          </cell>
          <cell r="EI339">
            <v>0.11328897637795277</v>
          </cell>
          <cell r="EK339">
            <v>0</v>
          </cell>
          <cell r="EM339">
            <v>0</v>
          </cell>
          <cell r="EO339">
            <v>79</v>
          </cell>
          <cell r="EQ339">
            <v>6.2204724409448818E-2</v>
          </cell>
          <cell r="ET339">
            <v>44</v>
          </cell>
          <cell r="FH339" t="str">
            <v>NA</v>
          </cell>
          <cell r="GF339">
            <v>0.65490651968503932</v>
          </cell>
          <cell r="GL339">
            <v>5.7808494755937359</v>
          </cell>
          <cell r="GN339">
            <v>0</v>
          </cell>
          <cell r="GP339">
            <v>10.52824405063291</v>
          </cell>
          <cell r="GT339" t="str">
            <v>NA</v>
          </cell>
          <cell r="GV339" t="str">
            <v>NA</v>
          </cell>
        </row>
        <row r="340">
          <cell r="DO340" t="str">
            <v>FY2</v>
          </cell>
          <cell r="DS340">
            <v>1320</v>
          </cell>
          <cell r="EG340">
            <v>156.87700000000001</v>
          </cell>
          <cell r="EI340">
            <v>0.11884621212121213</v>
          </cell>
          <cell r="EK340">
            <v>0</v>
          </cell>
          <cell r="EM340">
            <v>0</v>
          </cell>
          <cell r="EO340">
            <v>92</v>
          </cell>
          <cell r="EQ340">
            <v>6.9696969696969702E-2</v>
          </cell>
          <cell r="ET340">
            <v>52</v>
          </cell>
          <cell r="FJ340">
            <v>28.2</v>
          </cell>
          <cell r="GF340">
            <v>0.63009945454545457</v>
          </cell>
          <cell r="GL340">
            <v>5.3018051084607682</v>
          </cell>
          <cell r="GN340">
            <v>1.3697098451389276</v>
          </cell>
          <cell r="GP340">
            <v>9.0405573913043469</v>
          </cell>
          <cell r="GT340">
            <v>13.829787234042554</v>
          </cell>
          <cell r="GV340">
            <v>0</v>
          </cell>
        </row>
        <row r="342">
          <cell r="DK342" t="str">
            <v>Dauphin  O.T.A.</v>
          </cell>
          <cell r="DM342" t="str">
            <v>option</v>
          </cell>
          <cell r="DN342" t="str">
            <v>FRF</v>
          </cell>
          <cell r="DO342">
            <v>35611</v>
          </cell>
          <cell r="DQ342">
            <v>0</v>
          </cell>
          <cell r="DS342">
            <v>1410.9905429999999</v>
          </cell>
          <cell r="EC342" t="e">
            <v>#VALUE!</v>
          </cell>
          <cell r="EE342" t="e">
            <v>#VALUE!</v>
          </cell>
          <cell r="EG342">
            <v>250.51607800000005</v>
          </cell>
          <cell r="EI342">
            <v>0.1775462487986357</v>
          </cell>
          <cell r="EK342">
            <v>0</v>
          </cell>
          <cell r="EM342">
            <v>0</v>
          </cell>
          <cell r="EO342">
            <v>187.85408400000006</v>
          </cell>
          <cell r="EQ342">
            <v>0.13313631684631361</v>
          </cell>
          <cell r="ET342">
            <v>69.937694433668995</v>
          </cell>
          <cell r="EV342">
            <v>21.979162298450341</v>
          </cell>
          <cell r="EX342">
            <v>0</v>
          </cell>
          <cell r="EZ342">
            <v>0</v>
          </cell>
          <cell r="FB342" t="e">
            <v>#VALUE!</v>
          </cell>
          <cell r="FD342">
            <v>750.73310500000002</v>
          </cell>
          <cell r="FF342">
            <v>567.54972199999997</v>
          </cell>
          <cell r="FH342">
            <v>20.73</v>
          </cell>
          <cell r="FJ342">
            <v>24.03</v>
          </cell>
          <cell r="FL342">
            <v>610</v>
          </cell>
          <cell r="FN342">
            <v>3.1819999999999999</v>
          </cell>
          <cell r="FQ342" t="str">
            <v>Dauphin  O.T.A.</v>
          </cell>
          <cell r="FS342">
            <v>183.18338299999999</v>
          </cell>
          <cell r="FU342">
            <v>0.24400600130721556</v>
          </cell>
          <cell r="FW342" t="e">
            <v>#VALUE!</v>
          </cell>
          <cell r="FY342">
            <v>0.40790857019100812</v>
          </cell>
          <cell r="GA342">
            <v>1941.02</v>
          </cell>
          <cell r="GC342">
            <v>2124.203383</v>
          </cell>
          <cell r="GF342">
            <v>1.5054696103657728</v>
          </cell>
          <cell r="GL342">
            <v>8.4793095914586356</v>
          </cell>
          <cell r="GN342" t="e">
            <v>#DIV/0!</v>
          </cell>
          <cell r="GP342">
            <v>11.307730648006563</v>
          </cell>
          <cell r="GT342">
            <v>27.75356001820909</v>
          </cell>
          <cell r="GV342" t="e">
            <v>#DIV/0!</v>
          </cell>
          <cell r="HA342">
            <v>29.42595272551857</v>
          </cell>
          <cell r="HD342">
            <v>25.384935497295047</v>
          </cell>
          <cell r="HG342">
            <v>3.4199999132410817</v>
          </cell>
          <cell r="HJ342">
            <v>12.871822021776817</v>
          </cell>
        </row>
        <row r="343">
          <cell r="DK343" t="str">
            <v xml:space="preserve"> -</v>
          </cell>
          <cell r="DL343" t="str">
            <v>French largest outdoor advertising operator</v>
          </cell>
          <cell r="FL343">
            <v>0</v>
          </cell>
          <cell r="FN343">
            <v>0</v>
          </cell>
          <cell r="FQ343" t="str">
            <v xml:space="preserve"> -</v>
          </cell>
          <cell r="FR343" t="str">
            <v>French largest outdoor advertising operator</v>
          </cell>
        </row>
        <row r="344">
          <cell r="DL344">
            <v>0</v>
          </cell>
          <cell r="EV344" t="str">
            <v xml:space="preserve"> </v>
          </cell>
          <cell r="EX344" t="str">
            <v xml:space="preserve"> </v>
          </cell>
          <cell r="EZ344" t="str">
            <v xml:space="preserve"> </v>
          </cell>
          <cell r="FL344">
            <v>0</v>
          </cell>
          <cell r="FN344">
            <v>0</v>
          </cell>
          <cell r="FR344">
            <v>0</v>
          </cell>
        </row>
        <row r="345">
          <cell r="FL345">
            <v>0</v>
          </cell>
          <cell r="FN345">
            <v>0</v>
          </cell>
        </row>
        <row r="346">
          <cell r="DO346" t="str">
            <v>FY1</v>
          </cell>
          <cell r="DS346">
            <v>1419</v>
          </cell>
          <cell r="EG346">
            <v>217</v>
          </cell>
          <cell r="EI346">
            <v>0.1529245947850599</v>
          </cell>
          <cell r="EK346">
            <v>0</v>
          </cell>
          <cell r="EM346">
            <v>0</v>
          </cell>
          <cell r="EO346">
            <v>148</v>
          </cell>
          <cell r="EQ346">
            <v>0.10429880197322058</v>
          </cell>
          <cell r="ET346">
            <v>76</v>
          </cell>
          <cell r="FH346">
            <v>20.73</v>
          </cell>
          <cell r="GF346">
            <v>1.4969720810429881</v>
          </cell>
          <cell r="GL346">
            <v>9.78895568202765</v>
          </cell>
          <cell r="GN346">
            <v>0</v>
          </cell>
          <cell r="GP346">
            <v>14.352725560810811</v>
          </cell>
          <cell r="GT346">
            <v>29.42595272551857</v>
          </cell>
          <cell r="GV346">
            <v>0</v>
          </cell>
        </row>
        <row r="347">
          <cell r="DO347" t="str">
            <v>FY2</v>
          </cell>
          <cell r="DS347">
            <v>1569</v>
          </cell>
          <cell r="EG347">
            <v>255</v>
          </cell>
          <cell r="EI347">
            <v>0.16252390057361377</v>
          </cell>
          <cell r="EK347">
            <v>0</v>
          </cell>
          <cell r="EM347">
            <v>0</v>
          </cell>
          <cell r="EO347">
            <v>178</v>
          </cell>
          <cell r="EQ347">
            <v>0.11344805608667942</v>
          </cell>
          <cell r="ET347">
            <v>86</v>
          </cell>
          <cell r="FJ347">
            <v>24.03</v>
          </cell>
          <cell r="GF347">
            <v>1.3538581153601019</v>
          </cell>
          <cell r="GL347">
            <v>8.330209345098039</v>
          </cell>
          <cell r="GN347" t="str">
            <v>NM</v>
          </cell>
          <cell r="GP347">
            <v>11.933726870786517</v>
          </cell>
          <cell r="GT347">
            <v>25.384935497295047</v>
          </cell>
          <cell r="GV347">
            <v>0</v>
          </cell>
        </row>
        <row r="349">
          <cell r="DK349" t="str">
            <v>Affichage Holding</v>
          </cell>
          <cell r="DN349" t="str">
            <v>CHF</v>
          </cell>
          <cell r="DO349">
            <v>36160</v>
          </cell>
          <cell r="DQ349" t="e">
            <v>#VALUE!</v>
          </cell>
          <cell r="DS349">
            <v>246.7</v>
          </cell>
          <cell r="DU349" t="str">
            <v>n.a.</v>
          </cell>
          <cell r="DW349" t="str">
            <v>n.a.</v>
          </cell>
          <cell r="DY349" t="str">
            <v>n.a.</v>
          </cell>
          <cell r="EA349" t="str">
            <v>n.a.</v>
          </cell>
          <cell r="EC349" t="e">
            <v>#VALUE!</v>
          </cell>
          <cell r="EE349" t="e">
            <v>#VALUE!</v>
          </cell>
          <cell r="EG349">
            <v>49.108850000000004</v>
          </cell>
          <cell r="EI349">
            <v>0.19906303202269965</v>
          </cell>
          <cell r="EK349">
            <v>29.208850000000002</v>
          </cell>
          <cell r="EM349">
            <v>0.11839825699229835</v>
          </cell>
          <cell r="EO349">
            <v>29.05</v>
          </cell>
          <cell r="EQ349">
            <v>0.11775435751925416</v>
          </cell>
          <cell r="ET349">
            <v>22.8</v>
          </cell>
          <cell r="EV349">
            <v>30</v>
          </cell>
          <cell r="EZ349">
            <v>75.199999999999989</v>
          </cell>
          <cell r="FB349">
            <v>0</v>
          </cell>
          <cell r="FD349">
            <v>46.300000000000011</v>
          </cell>
          <cell r="FF349">
            <v>186.3</v>
          </cell>
          <cell r="FH349">
            <v>0</v>
          </cell>
          <cell r="FJ349">
            <v>0</v>
          </cell>
          <cell r="FL349">
            <v>780</v>
          </cell>
          <cell r="FN349">
            <v>0.75</v>
          </cell>
          <cell r="FQ349" t="str">
            <v>Affichage Holding</v>
          </cell>
          <cell r="FS349">
            <v>-140</v>
          </cell>
          <cell r="FU349">
            <v>-3.023758099352051</v>
          </cell>
          <cell r="FW349" t="e">
            <v>#VALUE!</v>
          </cell>
          <cell r="FY349">
            <v>-0.20704938559910802</v>
          </cell>
          <cell r="GA349">
            <v>585</v>
          </cell>
          <cell r="GC349">
            <v>445</v>
          </cell>
          <cell r="GE349" t="str">
            <v>LTM</v>
          </cell>
          <cell r="GF349">
            <v>1.8038102959059588</v>
          </cell>
          <cell r="GH349" t="str">
            <v>n.m.</v>
          </cell>
          <cell r="GJ349" t="str">
            <v>n.m.</v>
          </cell>
          <cell r="GL349">
            <v>9.0615031710170353</v>
          </cell>
          <cell r="GN349">
            <v>15.235108537309753</v>
          </cell>
          <cell r="GP349">
            <v>15.3184165232358</v>
          </cell>
          <cell r="GT349">
            <v>26</v>
          </cell>
          <cell r="GX349">
            <v>10.372340425531917</v>
          </cell>
          <cell r="HA349" t="e">
            <v>#DIV/0!</v>
          </cell>
          <cell r="HB349" t="str">
            <v>x (a)</v>
          </cell>
          <cell r="HD349" t="e">
            <v>#DIV/0!</v>
          </cell>
          <cell r="HE349" t="str">
            <v>x (a)</v>
          </cell>
          <cell r="HG349">
            <v>3.1400966183574877</v>
          </cell>
          <cell r="HH349" t="str">
            <v>x</v>
          </cell>
          <cell r="HJ349">
            <v>13.649456296657515</v>
          </cell>
        </row>
        <row r="350">
          <cell r="DK350" t="str">
            <v xml:space="preserve"> -</v>
          </cell>
          <cell r="DL350" t="str">
            <v>Swiss outdoor advertising operator</v>
          </cell>
          <cell r="FL350">
            <v>0</v>
          </cell>
          <cell r="FN350">
            <v>0</v>
          </cell>
        </row>
        <row r="351">
          <cell r="DL351">
            <v>0</v>
          </cell>
          <cell r="FL351">
            <v>0</v>
          </cell>
          <cell r="FN351">
            <v>0</v>
          </cell>
          <cell r="FR351">
            <v>0</v>
          </cell>
        </row>
        <row r="352">
          <cell r="FL352">
            <v>0</v>
          </cell>
          <cell r="FN352">
            <v>0</v>
          </cell>
        </row>
        <row r="353">
          <cell r="DO353" t="str">
            <v>FY1</v>
          </cell>
          <cell r="DS353">
            <v>268.66000000000003</v>
          </cell>
          <cell r="DU353" t="str">
            <v>n.a.</v>
          </cell>
          <cell r="DW353" t="str">
            <v>n.a.</v>
          </cell>
          <cell r="DY353" t="str">
            <v>n.a.</v>
          </cell>
          <cell r="EA353" t="str">
            <v>n.a.</v>
          </cell>
          <cell r="EG353">
            <v>53.856898459667612</v>
          </cell>
          <cell r="EI353">
            <v>0.20046489414005661</v>
          </cell>
          <cell r="EK353">
            <v>32.185499999999998</v>
          </cell>
          <cell r="EM353">
            <v>0.11980011910965531</v>
          </cell>
          <cell r="EO353">
            <v>32.01</v>
          </cell>
          <cell r="EQ353">
            <v>0.11914687709372439</v>
          </cell>
          <cell r="ET353">
            <v>25.4</v>
          </cell>
          <cell r="EV353">
            <v>33.200000000000003</v>
          </cell>
          <cell r="EX353">
            <v>32.6</v>
          </cell>
          <cell r="EZ353">
            <v>62.329197946223488</v>
          </cell>
          <cell r="GE353" t="str">
            <v>FY1</v>
          </cell>
          <cell r="GF353">
            <v>1.6563686443832351</v>
          </cell>
          <cell r="GH353" t="str">
            <v>n.m.</v>
          </cell>
          <cell r="GJ353" t="str">
            <v>n.m.</v>
          </cell>
          <cell r="GL353">
            <v>8.2626369643853863</v>
          </cell>
          <cell r="GN353">
            <v>13.826101816035171</v>
          </cell>
          <cell r="GP353">
            <v>13.901905654482976</v>
          </cell>
          <cell r="GT353">
            <v>23.493975903614455</v>
          </cell>
          <cell r="GV353">
            <v>23.926380368098158</v>
          </cell>
          <cell r="GX353">
            <v>12.514199214836198</v>
          </cell>
        </row>
        <row r="354">
          <cell r="DO354" t="str">
            <v>FY2</v>
          </cell>
          <cell r="DS354">
            <v>293.14999999999998</v>
          </cell>
          <cell r="DU354" t="str">
            <v>n.a.</v>
          </cell>
          <cell r="DW354" t="str">
            <v>n.a.</v>
          </cell>
          <cell r="DY354" t="str">
            <v>n.a.</v>
          </cell>
          <cell r="EA354" t="str">
            <v>n.a.</v>
          </cell>
          <cell r="EG354">
            <v>59.872378800162139</v>
          </cell>
          <cell r="EI354">
            <v>0.20423803104268171</v>
          </cell>
          <cell r="EK354">
            <v>36.225499999999997</v>
          </cell>
          <cell r="EM354">
            <v>0.12357325601228041</v>
          </cell>
          <cell r="EO354">
            <v>36.049999999999997</v>
          </cell>
          <cell r="EQ354">
            <v>0.12297458638922054</v>
          </cell>
          <cell r="ET354">
            <v>27.1</v>
          </cell>
          <cell r="EV354">
            <v>35.299999999999997</v>
          </cell>
          <cell r="EX354">
            <v>36.1</v>
          </cell>
          <cell r="EZ354">
            <v>67.06317173354951</v>
          </cell>
          <cell r="GE354" t="str">
            <v>FY2</v>
          </cell>
          <cell r="GF354">
            <v>1.5179942009210303</v>
          </cell>
          <cell r="GH354" t="str">
            <v>n.m.</v>
          </cell>
          <cell r="GJ354" t="str">
            <v>n.m.</v>
          </cell>
          <cell r="GL354">
            <v>7.4324756910910459</v>
          </cell>
          <cell r="GN354">
            <v>12.284164469779576</v>
          </cell>
          <cell r="GP354">
            <v>12.343966712898753</v>
          </cell>
          <cell r="GT354">
            <v>22.09631728045326</v>
          </cell>
          <cell r="GV354">
            <v>21.606648199445981</v>
          </cell>
          <cell r="GX354">
            <v>11.630824785607203</v>
          </cell>
        </row>
        <row r="355">
          <cell r="DO355" t="str">
            <v>FY3</v>
          </cell>
          <cell r="DS355">
            <v>280.2</v>
          </cell>
          <cell r="DW355">
            <v>0</v>
          </cell>
          <cell r="EG355">
            <v>58.775500000000001</v>
          </cell>
          <cell r="EI355">
            <v>0.20976266952177017</v>
          </cell>
          <cell r="EK355">
            <v>36.775500000000001</v>
          </cell>
          <cell r="EM355">
            <v>0.13124732334047109</v>
          </cell>
          <cell r="EO355">
            <v>36.6</v>
          </cell>
          <cell r="EQ355">
            <v>0.13062098501070665</v>
          </cell>
          <cell r="ET355">
            <v>28.8</v>
          </cell>
          <cell r="EV355">
            <v>37.5</v>
          </cell>
          <cell r="EX355">
            <v>34.799999999999997</v>
          </cell>
          <cell r="EZ355">
            <v>67.067333333333337</v>
          </cell>
          <cell r="GE355" t="str">
            <v>FY3</v>
          </cell>
          <cell r="GF355">
            <v>1.5881513204853677</v>
          </cell>
          <cell r="GL355">
            <v>7.5711818699968525</v>
          </cell>
          <cell r="GN355">
            <v>12.100447308670175</v>
          </cell>
          <cell r="GP355">
            <v>12.158469945355192</v>
          </cell>
          <cell r="GT355">
            <v>20.8</v>
          </cell>
          <cell r="GV355">
            <v>22.413793103448278</v>
          </cell>
          <cell r="GX355">
            <v>11.630103080486277</v>
          </cell>
        </row>
        <row r="357">
          <cell r="DK357" t="str">
            <v>Primesight Plc</v>
          </cell>
          <cell r="DM357" t="str">
            <v>option</v>
          </cell>
          <cell r="DN357" t="str">
            <v>GBP</v>
          </cell>
          <cell r="DO357">
            <v>35611</v>
          </cell>
          <cell r="DQ357" t="e">
            <v>#VALUE!</v>
          </cell>
          <cell r="DS357">
            <v>12.302000000000001</v>
          </cell>
          <cell r="EC357" t="e">
            <v>#VALUE!</v>
          </cell>
          <cell r="EE357" t="e">
            <v>#VALUE!</v>
          </cell>
          <cell r="EG357">
            <v>1.1850000000000001</v>
          </cell>
          <cell r="EI357">
            <v>9.6325800682815793E-2</v>
          </cell>
          <cell r="EK357">
            <v>0</v>
          </cell>
          <cell r="EM357">
            <v>0</v>
          </cell>
          <cell r="EO357">
            <v>0.80700000000000016</v>
          </cell>
          <cell r="EQ357">
            <v>6.5599089578930264E-2</v>
          </cell>
          <cell r="ET357">
            <v>0.48000000000000009</v>
          </cell>
          <cell r="EV357">
            <v>8.8764605155419798E-2</v>
          </cell>
          <cell r="EX357">
            <v>0</v>
          </cell>
          <cell r="FB357" t="e">
            <v>#VALUE!</v>
          </cell>
          <cell r="FD357">
            <v>0.95799999999999985</v>
          </cell>
          <cell r="FF357">
            <v>-0.78700000000000003</v>
          </cell>
          <cell r="FH357">
            <v>9.2999999999999999E-2</v>
          </cell>
          <cell r="FJ357">
            <v>0.1673</v>
          </cell>
          <cell r="FL357">
            <v>2.2999999999999998</v>
          </cell>
          <cell r="FN357">
            <v>6.0750000000000002</v>
          </cell>
          <cell r="FQ357" t="str">
            <v>Primesight Plc</v>
          </cell>
          <cell r="FS357">
            <v>1.7449999999999999</v>
          </cell>
          <cell r="FU357">
            <v>1.8215031315240084</v>
          </cell>
          <cell r="FW357" t="e">
            <v>#VALUE!</v>
          </cell>
          <cell r="FY357">
            <v>-0.59886822486581148</v>
          </cell>
          <cell r="GA357">
            <v>13.9725</v>
          </cell>
          <cell r="GC357">
            <v>15.717499999999999</v>
          </cell>
          <cell r="GF357">
            <v>1.2776377824743943</v>
          </cell>
          <cell r="GL357">
            <v>13.263713080168776</v>
          </cell>
          <cell r="GN357" t="e">
            <v>#DIV/0!</v>
          </cell>
          <cell r="GP357">
            <v>19.476456009913253</v>
          </cell>
          <cell r="GT357">
            <v>25.911228872959914</v>
          </cell>
          <cell r="GV357" t="e">
            <v>#DIV/0!</v>
          </cell>
          <cell r="HA357">
            <v>24.731182795698924</v>
          </cell>
          <cell r="HD357">
            <v>13.747758517632994</v>
          </cell>
          <cell r="HG357" t="str">
            <v>NM</v>
          </cell>
          <cell r="HJ357">
            <v>15.80599547511312</v>
          </cell>
        </row>
        <row r="358">
          <cell r="DK358" t="str">
            <v xml:space="preserve"> -</v>
          </cell>
          <cell r="DL358" t="str">
            <v>UK illuminated advertising panel operator</v>
          </cell>
          <cell r="FL358">
            <v>0</v>
          </cell>
          <cell r="FN358">
            <v>0</v>
          </cell>
          <cell r="FQ358" t="str">
            <v xml:space="preserve"> -</v>
          </cell>
          <cell r="FR358" t="str">
            <v>UK illuminated advertising panel operator</v>
          </cell>
        </row>
        <row r="359">
          <cell r="DL359">
            <v>0</v>
          </cell>
          <cell r="FL359">
            <v>0</v>
          </cell>
          <cell r="FN359">
            <v>0</v>
          </cell>
          <cell r="FR359">
            <v>0</v>
          </cell>
        </row>
        <row r="360">
          <cell r="FL360">
            <v>0</v>
          </cell>
          <cell r="FN360">
            <v>0</v>
          </cell>
        </row>
        <row r="361">
          <cell r="DO361" t="str">
            <v>FY1</v>
          </cell>
          <cell r="DS361">
            <v>0</v>
          </cell>
          <cell r="EG361">
            <v>0</v>
          </cell>
          <cell r="EI361">
            <v>0</v>
          </cell>
          <cell r="EK361">
            <v>0</v>
          </cell>
          <cell r="EM361" t="str">
            <v>n.a.</v>
          </cell>
          <cell r="EO361">
            <v>0</v>
          </cell>
          <cell r="EQ361">
            <v>0</v>
          </cell>
          <cell r="ET361">
            <v>0</v>
          </cell>
          <cell r="FH361">
            <v>9.2999999999999999E-2</v>
          </cell>
          <cell r="GF361">
            <v>0</v>
          </cell>
          <cell r="GL361">
            <v>0</v>
          </cell>
          <cell r="GN361">
            <v>0</v>
          </cell>
          <cell r="GP361">
            <v>0</v>
          </cell>
          <cell r="GT361">
            <v>24.731182795698924</v>
          </cell>
          <cell r="GV361" t="str">
            <v>NM</v>
          </cell>
        </row>
        <row r="362">
          <cell r="DO362" t="str">
            <v>FY2</v>
          </cell>
          <cell r="DS362">
            <v>0</v>
          </cell>
          <cell r="EG362">
            <v>0</v>
          </cell>
          <cell r="EI362">
            <v>0</v>
          </cell>
          <cell r="EK362">
            <v>0</v>
          </cell>
          <cell r="EM362" t="str">
            <v>n.a.</v>
          </cell>
          <cell r="EO362">
            <v>0</v>
          </cell>
          <cell r="EQ362">
            <v>0</v>
          </cell>
          <cell r="ET362">
            <v>0</v>
          </cell>
          <cell r="FJ362">
            <v>0.1673</v>
          </cell>
          <cell r="GF362">
            <v>0</v>
          </cell>
          <cell r="GL362">
            <v>0</v>
          </cell>
          <cell r="GN362" t="str">
            <v>NM</v>
          </cell>
          <cell r="GP362">
            <v>0</v>
          </cell>
          <cell r="GT362">
            <v>13.747758517632994</v>
          </cell>
          <cell r="GV362">
            <v>0</v>
          </cell>
        </row>
        <row r="364">
          <cell r="DK364" t="str">
            <v>Maiden Group Plc</v>
          </cell>
          <cell r="DN364" t="str">
            <v>GBP</v>
          </cell>
          <cell r="DO364">
            <v>36160</v>
          </cell>
          <cell r="DQ364" t="e">
            <v>#VALUE!</v>
          </cell>
          <cell r="DS364">
            <v>65.323999999999998</v>
          </cell>
          <cell r="DU364">
            <v>6.8250000000000002</v>
          </cell>
          <cell r="DW364">
            <v>0.10447921131590228</v>
          </cell>
          <cell r="DY364">
            <v>6.3410000000000002</v>
          </cell>
          <cell r="EA364">
            <v>9.7069989590349653E-2</v>
          </cell>
          <cell r="EC364" t="e">
            <v>#VALUE!</v>
          </cell>
          <cell r="EE364" t="e">
            <v>#VALUE!</v>
          </cell>
          <cell r="EG364">
            <v>12.022</v>
          </cell>
          <cell r="EI364">
            <v>0.18403649500949115</v>
          </cell>
          <cell r="EK364">
            <v>8.875</v>
          </cell>
          <cell r="EM364">
            <v>0.13586124548404874</v>
          </cell>
          <cell r="EO364">
            <v>6.8390000000000004</v>
          </cell>
          <cell r="EQ364">
            <v>0.1046935276468067</v>
          </cell>
          <cell r="ET364">
            <v>2.39</v>
          </cell>
          <cell r="EV364">
            <v>6.0804166393069126E-2</v>
          </cell>
          <cell r="EZ364">
            <v>0.18404396302719361</v>
          </cell>
          <cell r="FB364" t="e">
            <v>#VALUE!</v>
          </cell>
          <cell r="FD364">
            <v>13.186999999999998</v>
          </cell>
          <cell r="FF364">
            <v>-10.111000000000001</v>
          </cell>
          <cell r="FH364">
            <v>0.11334</v>
          </cell>
          <cell r="FJ364">
            <v>0.14530000000000001</v>
          </cell>
          <cell r="FL364">
            <v>4.5</v>
          </cell>
          <cell r="FN364">
            <v>42.056220000000003</v>
          </cell>
          <cell r="FQ364" t="str">
            <v>Maiden Group Plc</v>
          </cell>
          <cell r="FS364">
            <v>23.297999999999998</v>
          </cell>
          <cell r="FU364">
            <v>1.7667399711837417</v>
          </cell>
          <cell r="FW364" t="e">
            <v>#VALUE!</v>
          </cell>
          <cell r="FY364">
            <v>-0.47474394807597475</v>
          </cell>
          <cell r="GA364">
            <v>189.25299000000001</v>
          </cell>
          <cell r="GC364">
            <v>212.55099000000001</v>
          </cell>
          <cell r="GE364" t="str">
            <v>LTM</v>
          </cell>
          <cell r="GF364">
            <v>3.2537963076357852</v>
          </cell>
          <cell r="GH364">
            <v>31.1430021978022</v>
          </cell>
          <cell r="GJ364">
            <v>33.520105661567577</v>
          </cell>
          <cell r="GL364">
            <v>17.680168857095325</v>
          </cell>
          <cell r="GN364">
            <v>23.949407323943664</v>
          </cell>
          <cell r="GP364">
            <v>31.079249890334843</v>
          </cell>
          <cell r="GT364">
            <v>74.008086401673637</v>
          </cell>
          <cell r="GX364">
            <v>24.450679750550133</v>
          </cell>
          <cell r="HA364">
            <v>39.703546850185283</v>
          </cell>
          <cell r="HB364" t="str">
            <v>(a)</v>
          </cell>
          <cell r="HD364">
            <v>30.97040605643496</v>
          </cell>
          <cell r="HE364" t="str">
            <v>(a)</v>
          </cell>
          <cell r="HG364" t="str">
            <v>NM</v>
          </cell>
          <cell r="HJ364">
            <v>24.990491218803644</v>
          </cell>
        </row>
        <row r="365">
          <cell r="DK365" t="str">
            <v xml:space="preserve"> -</v>
          </cell>
          <cell r="DL365" t="str">
            <v>UK main large advertising panel operator</v>
          </cell>
          <cell r="FL365">
            <v>0</v>
          </cell>
          <cell r="FN365">
            <v>0</v>
          </cell>
        </row>
        <row r="366">
          <cell r="DL366">
            <v>0</v>
          </cell>
          <cell r="FL366">
            <v>0</v>
          </cell>
          <cell r="FN366">
            <v>0</v>
          </cell>
          <cell r="FR366">
            <v>0</v>
          </cell>
        </row>
        <row r="367">
          <cell r="FL367">
            <v>0</v>
          </cell>
          <cell r="FN367">
            <v>0</v>
          </cell>
        </row>
        <row r="368">
          <cell r="DO368" t="str">
            <v>FY1</v>
          </cell>
          <cell r="DS368">
            <v>67</v>
          </cell>
          <cell r="DU368">
            <v>5.2696619925295458</v>
          </cell>
          <cell r="DW368">
            <v>7.8651671530291734E-2</v>
          </cell>
          <cell r="DY368">
            <v>5.2696619925295458</v>
          </cell>
          <cell r="EA368">
            <v>7.8651671530291734E-2</v>
          </cell>
          <cell r="EG368">
            <v>10.600000000000001</v>
          </cell>
          <cell r="EI368">
            <v>0.15820895522388062</v>
          </cell>
          <cell r="EK368">
            <v>6.9</v>
          </cell>
          <cell r="EM368">
            <v>0.10298507462686568</v>
          </cell>
          <cell r="EO368">
            <v>3.4</v>
          </cell>
          <cell r="EQ368">
            <v>5.0746268656716415E-2</v>
          </cell>
          <cell r="ET368">
            <v>5.0999999999999996</v>
          </cell>
          <cell r="EV368">
            <v>8.1097829930434143E-2</v>
          </cell>
          <cell r="EX368">
            <v>8.6959999999999996E-2</v>
          </cell>
          <cell r="EZ368">
            <v>0.25229723872180909</v>
          </cell>
          <cell r="GE368" t="str">
            <v>FY1</v>
          </cell>
          <cell r="GF368">
            <v>3.1724028358208956</v>
          </cell>
          <cell r="GH368">
            <v>40.334843164764571</v>
          </cell>
          <cell r="GJ368">
            <v>40.334843164764571</v>
          </cell>
          <cell r="GL368">
            <v>20.051980188679245</v>
          </cell>
          <cell r="GN368">
            <v>30.804491304347827</v>
          </cell>
          <cell r="GP368">
            <v>62.514997058823532</v>
          </cell>
          <cell r="GT368">
            <v>55.488537780358705</v>
          </cell>
          <cell r="GV368">
            <v>51.747930082796692</v>
          </cell>
          <cell r="GX368">
            <v>17.836104837286157</v>
          </cell>
        </row>
        <row r="369">
          <cell r="DO369" t="str">
            <v>FY2</v>
          </cell>
          <cell r="DS369">
            <v>79.599999999999994</v>
          </cell>
          <cell r="DU369">
            <v>5.6024640985873395</v>
          </cell>
          <cell r="DW369">
            <v>7.038271480637362E-2</v>
          </cell>
          <cell r="DY369">
            <v>5.6024640985873395</v>
          </cell>
          <cell r="EA369">
            <v>7.038271480637362E-2</v>
          </cell>
          <cell r="EG369">
            <v>11.935223880597015</v>
          </cell>
          <cell r="EI369">
            <v>0.15820895522388062</v>
          </cell>
          <cell r="EK369">
            <v>7.5394029850746263</v>
          </cell>
          <cell r="EM369">
            <v>9.4716117902947566E-2</v>
          </cell>
          <cell r="EO369">
            <v>4.0394029850746263</v>
          </cell>
          <cell r="EQ369">
            <v>5.0746268656716415E-2</v>
          </cell>
          <cell r="ET369">
            <v>5.9</v>
          </cell>
          <cell r="EV369">
            <v>0.10015582364001235</v>
          </cell>
          <cell r="EX369">
            <v>0.1273</v>
          </cell>
          <cell r="EZ369">
            <v>0.28790024992279256</v>
          </cell>
          <cell r="GE369" t="str">
            <v>FY2</v>
          </cell>
          <cell r="GF369">
            <v>2.6702385678391964</v>
          </cell>
          <cell r="GH369">
            <v>37.93884017098739</v>
          </cell>
          <cell r="GJ369">
            <v>37.93884017098739</v>
          </cell>
          <cell r="GL369">
            <v>17.808714115999301</v>
          </cell>
          <cell r="GN369">
            <v>28.192018707685001</v>
          </cell>
          <cell r="GP369">
            <v>52.619407072125341</v>
          </cell>
          <cell r="GT369">
            <v>44.929988456529905</v>
          </cell>
          <cell r="GV369">
            <v>35.349567949725056</v>
          </cell>
          <cell r="GX369">
            <v>15.630413663089158</v>
          </cell>
        </row>
        <row r="370">
          <cell r="DO370" t="str">
            <v>FY3</v>
          </cell>
          <cell r="DS370" t="e">
            <v>#REF!</v>
          </cell>
          <cell r="EG370">
            <v>11.935223880597015</v>
          </cell>
          <cell r="EI370">
            <v>0</v>
          </cell>
          <cell r="EK370" t="e">
            <v>#REF!</v>
          </cell>
          <cell r="EM370">
            <v>9.4716117902947566E-2</v>
          </cell>
          <cell r="EO370" t="e">
            <v>#REF!</v>
          </cell>
          <cell r="EQ370" t="e">
            <v>#REF!</v>
          </cell>
          <cell r="ET370">
            <v>5.9</v>
          </cell>
          <cell r="EV370">
            <v>0.10015582364001235</v>
          </cell>
          <cell r="EX370">
            <v>0.1182</v>
          </cell>
          <cell r="EZ370" t="e">
            <v>#REF!</v>
          </cell>
          <cell r="GE370" t="str">
            <v>FY3</v>
          </cell>
          <cell r="GF370" t="e">
            <v>#REF!</v>
          </cell>
          <cell r="GL370">
            <v>17.808714115999301</v>
          </cell>
          <cell r="GN370" t="e">
            <v>#REF!</v>
          </cell>
          <cell r="GP370" t="e">
            <v>#REF!</v>
          </cell>
          <cell r="GT370">
            <v>44.929988456529905</v>
          </cell>
          <cell r="GV370">
            <v>38.071065989847718</v>
          </cell>
          <cell r="GX370" t="e">
            <v>#REF!</v>
          </cell>
        </row>
        <row r="372">
          <cell r="DK372" t="str">
            <v>More Group Plc</v>
          </cell>
          <cell r="DM372" t="str">
            <v>option</v>
          </cell>
          <cell r="DN372" t="str">
            <v>GBP</v>
          </cell>
          <cell r="DO372">
            <v>35795</v>
          </cell>
          <cell r="DQ372" t="e">
            <v>#VALUE!</v>
          </cell>
          <cell r="DS372">
            <v>145.649</v>
          </cell>
          <cell r="EC372" t="e">
            <v>#VALUE!</v>
          </cell>
          <cell r="EE372" t="e">
            <v>#VALUE!</v>
          </cell>
          <cell r="EG372">
            <v>39.027000000000001</v>
          </cell>
          <cell r="EI372">
            <v>0.2679524061270589</v>
          </cell>
          <cell r="EK372">
            <v>0</v>
          </cell>
          <cell r="EM372">
            <v>0</v>
          </cell>
          <cell r="EO372">
            <v>28.427</v>
          </cell>
          <cell r="EQ372">
            <v>0.1951747008218388</v>
          </cell>
          <cell r="ET372">
            <v>18.015000000000001</v>
          </cell>
          <cell r="EV372">
            <v>0.4330203976764147</v>
          </cell>
          <cell r="EX372">
            <v>0</v>
          </cell>
          <cell r="EZ372">
            <v>0</v>
          </cell>
          <cell r="FB372" t="e">
            <v>#VALUE!</v>
          </cell>
          <cell r="FD372">
            <v>60.052999999999997</v>
          </cell>
          <cell r="FF372">
            <v>23.481999999999999</v>
          </cell>
          <cell r="FH372">
            <v>0.50749999999999995</v>
          </cell>
          <cell r="FJ372">
            <v>0.58650000000000002</v>
          </cell>
          <cell r="FL372">
            <v>11.1</v>
          </cell>
          <cell r="FN372">
            <v>42.352004000000001</v>
          </cell>
          <cell r="FQ372" t="str">
            <v>More Group Plc</v>
          </cell>
          <cell r="FS372">
            <v>36.570999999999998</v>
          </cell>
          <cell r="FU372">
            <v>0.60897873545035219</v>
          </cell>
          <cell r="FW372" t="e">
            <v>#VALUE!</v>
          </cell>
          <cell r="FY372" t="e">
            <v>#VALUE!</v>
          </cell>
          <cell r="GA372">
            <v>470.10724440000001</v>
          </cell>
          <cell r="GC372">
            <v>506.67824440000004</v>
          </cell>
          <cell r="GF372">
            <v>3.4787622599537245</v>
          </cell>
          <cell r="GL372">
            <v>12.982761790555257</v>
          </cell>
          <cell r="GN372" t="e">
            <v>#DIV/0!</v>
          </cell>
          <cell r="GP372">
            <v>17.823838055369897</v>
          </cell>
          <cell r="GT372">
            <v>25.633896369691922</v>
          </cell>
          <cell r="GV372" t="e">
            <v>#DIV/0!</v>
          </cell>
          <cell r="HA372">
            <v>21.871921182266011</v>
          </cell>
          <cell r="HD372">
            <v>18.925831202046034</v>
          </cell>
          <cell r="HG372">
            <v>20.019897981432589</v>
          </cell>
          <cell r="HJ372">
            <v>16.428699786825092</v>
          </cell>
        </row>
        <row r="373">
          <cell r="DK373" t="str">
            <v xml:space="preserve"> -</v>
          </cell>
          <cell r="DL373" t="str">
            <v>UK  andd international outdoor advertising operator</v>
          </cell>
          <cell r="FL373">
            <v>0</v>
          </cell>
          <cell r="FN373">
            <v>0</v>
          </cell>
          <cell r="FQ373" t="str">
            <v xml:space="preserve"> -</v>
          </cell>
          <cell r="FR373" t="str">
            <v>UK  andd international outdoor advertising operator</v>
          </cell>
        </row>
        <row r="374">
          <cell r="DL374">
            <v>0</v>
          </cell>
          <cell r="FL374">
            <v>0</v>
          </cell>
          <cell r="FN374">
            <v>0</v>
          </cell>
          <cell r="FR374">
            <v>0</v>
          </cell>
        </row>
        <row r="375">
          <cell r="FL375">
            <v>0</v>
          </cell>
          <cell r="FN375">
            <v>0</v>
          </cell>
        </row>
        <row r="376">
          <cell r="DO376" t="str">
            <v>FY1</v>
          </cell>
          <cell r="DS376">
            <v>172.6</v>
          </cell>
          <cell r="EG376">
            <v>48.400000000000006</v>
          </cell>
          <cell r="EI376">
            <v>0.28041714947856322</v>
          </cell>
          <cell r="EK376">
            <v>0</v>
          </cell>
          <cell r="EM376">
            <v>0</v>
          </cell>
          <cell r="EO376">
            <v>35.200000000000003</v>
          </cell>
          <cell r="EQ376">
            <v>0.20393974507531867</v>
          </cell>
          <cell r="ET376">
            <v>23.9</v>
          </cell>
          <cell r="FH376">
            <v>0.50749999999999995</v>
          </cell>
          <cell r="GF376">
            <v>2.935563409038239</v>
          </cell>
          <cell r="GL376">
            <v>10.468558768595042</v>
          </cell>
          <cell r="GN376">
            <v>0</v>
          </cell>
          <cell r="GP376">
            <v>14.394268306818182</v>
          </cell>
          <cell r="GT376">
            <v>21.871921182266011</v>
          </cell>
          <cell r="GV376">
            <v>0</v>
          </cell>
        </row>
        <row r="377">
          <cell r="DO377" t="str">
            <v>FY2</v>
          </cell>
          <cell r="DS377">
            <v>199</v>
          </cell>
          <cell r="EG377">
            <v>54.7</v>
          </cell>
          <cell r="EI377">
            <v>0.27487437185929647</v>
          </cell>
          <cell r="EK377">
            <v>0</v>
          </cell>
          <cell r="EM377">
            <v>0</v>
          </cell>
          <cell r="EO377">
            <v>40.200000000000003</v>
          </cell>
          <cell r="EQ377">
            <v>0.20201005025125629</v>
          </cell>
          <cell r="ET377">
            <v>27.1</v>
          </cell>
          <cell r="FJ377">
            <v>0.58650000000000002</v>
          </cell>
          <cell r="GF377">
            <v>2.5461218311557792</v>
          </cell>
          <cell r="GL377">
            <v>9.2628563875685561</v>
          </cell>
          <cell r="GN377" t="str">
            <v>NM</v>
          </cell>
          <cell r="GP377">
            <v>12.603936427860697</v>
          </cell>
          <cell r="GT377">
            <v>18.925831202046034</v>
          </cell>
          <cell r="GV377">
            <v>0</v>
          </cell>
        </row>
        <row r="379">
          <cell r="DK379">
            <v>0</v>
          </cell>
          <cell r="DM379" t="str">
            <v>option</v>
          </cell>
          <cell r="DO379">
            <v>0</v>
          </cell>
          <cell r="DQ379">
            <v>0</v>
          </cell>
          <cell r="DS379">
            <v>0</v>
          </cell>
          <cell r="EC379" t="e">
            <v>#VALUE!</v>
          </cell>
          <cell r="EE379" t="e">
            <v>#VALUE!</v>
          </cell>
          <cell r="EG379">
            <v>0</v>
          </cell>
          <cell r="EI379" t="e">
            <v>#DIV/0!</v>
          </cell>
          <cell r="EK379">
            <v>0</v>
          </cell>
          <cell r="EM379">
            <v>0</v>
          </cell>
          <cell r="EO379">
            <v>0</v>
          </cell>
          <cell r="EQ379" t="e">
            <v>#DIV/0!</v>
          </cell>
          <cell r="ET379">
            <v>0</v>
          </cell>
          <cell r="FB379">
            <v>0</v>
          </cell>
          <cell r="FD379">
            <v>0</v>
          </cell>
          <cell r="FF379">
            <v>0</v>
          </cell>
          <cell r="FJ379">
            <v>0</v>
          </cell>
          <cell r="FL379">
            <v>0</v>
          </cell>
          <cell r="FN379">
            <v>0</v>
          </cell>
          <cell r="FQ379">
            <v>0</v>
          </cell>
          <cell r="FS379">
            <v>0</v>
          </cell>
          <cell r="FU379" t="e">
            <v>#DIV/0!</v>
          </cell>
          <cell r="FW379" t="e">
            <v>#DIV/0!</v>
          </cell>
          <cell r="FY379" t="e">
            <v>#DIV/0!</v>
          </cell>
          <cell r="GA379">
            <v>0</v>
          </cell>
          <cell r="GC379">
            <v>0</v>
          </cell>
          <cell r="GF379" t="e">
            <v>#DIV/0!</v>
          </cell>
          <cell r="GL379" t="e">
            <v>#DIV/0!</v>
          </cell>
          <cell r="GN379" t="e">
            <v>#DIV/0!</v>
          </cell>
          <cell r="GP379" t="e">
            <v>#DIV/0!</v>
          </cell>
          <cell r="GT379" t="e">
            <v>#DIV/0!</v>
          </cell>
          <cell r="GV379" t="e">
            <v>#DIV/0!</v>
          </cell>
          <cell r="HA379" t="e">
            <v>#DIV/0!</v>
          </cell>
          <cell r="HD379" t="e">
            <v>#DIV/0!</v>
          </cell>
          <cell r="HG379" t="e">
            <v>#DIV/0!</v>
          </cell>
          <cell r="HJ379" t="e">
            <v>#DIV/0!</v>
          </cell>
        </row>
        <row r="380">
          <cell r="DK380" t="str">
            <v xml:space="preserve"> -</v>
          </cell>
          <cell r="DL380">
            <v>0</v>
          </cell>
          <cell r="FL380">
            <v>0</v>
          </cell>
          <cell r="FN380">
            <v>0</v>
          </cell>
          <cell r="FQ380" t="str">
            <v xml:space="preserve"> -</v>
          </cell>
          <cell r="FR380">
            <v>0</v>
          </cell>
        </row>
        <row r="381">
          <cell r="DL381">
            <v>0</v>
          </cell>
          <cell r="FL381">
            <v>0</v>
          </cell>
          <cell r="FN381">
            <v>0</v>
          </cell>
          <cell r="FR381">
            <v>0</v>
          </cell>
        </row>
        <row r="382">
          <cell r="FL382">
            <v>0</v>
          </cell>
          <cell r="FN382">
            <v>0</v>
          </cell>
        </row>
        <row r="383">
          <cell r="DO383" t="str">
            <v>FY1</v>
          </cell>
          <cell r="DS383">
            <v>0</v>
          </cell>
          <cell r="EG383">
            <v>0</v>
          </cell>
          <cell r="EI383">
            <v>0</v>
          </cell>
          <cell r="EK383">
            <v>0</v>
          </cell>
          <cell r="EM383">
            <v>0</v>
          </cell>
          <cell r="EO383">
            <v>0</v>
          </cell>
          <cell r="EQ383">
            <v>0</v>
          </cell>
          <cell r="ET383">
            <v>0</v>
          </cell>
          <cell r="GF383">
            <v>0</v>
          </cell>
          <cell r="GL383">
            <v>0</v>
          </cell>
          <cell r="GN383">
            <v>0</v>
          </cell>
          <cell r="GP383">
            <v>0</v>
          </cell>
          <cell r="GT383">
            <v>0</v>
          </cell>
          <cell r="GV383">
            <v>0</v>
          </cell>
        </row>
        <row r="384">
          <cell r="DO384" t="str">
            <v>FY2</v>
          </cell>
          <cell r="DS384">
            <v>0</v>
          </cell>
          <cell r="EG384">
            <v>0</v>
          </cell>
          <cell r="EI384">
            <v>0</v>
          </cell>
          <cell r="EK384">
            <v>0</v>
          </cell>
          <cell r="EM384">
            <v>0</v>
          </cell>
          <cell r="EO384">
            <v>0</v>
          </cell>
          <cell r="EQ384">
            <v>0</v>
          </cell>
          <cell r="ET384">
            <v>0</v>
          </cell>
          <cell r="FJ384">
            <v>0</v>
          </cell>
          <cell r="GF384">
            <v>0</v>
          </cell>
          <cell r="GL384">
            <v>0</v>
          </cell>
          <cell r="GN384">
            <v>0</v>
          </cell>
          <cell r="GP384">
            <v>0</v>
          </cell>
          <cell r="GT384">
            <v>0</v>
          </cell>
          <cell r="GV384">
            <v>0</v>
          </cell>
        </row>
        <row r="386">
          <cell r="DK386">
            <v>0</v>
          </cell>
          <cell r="DM386" t="str">
            <v>option</v>
          </cell>
          <cell r="DO386">
            <v>0</v>
          </cell>
          <cell r="DQ386" t="e">
            <v>#VALUE!</v>
          </cell>
          <cell r="DS386">
            <v>0</v>
          </cell>
          <cell r="EC386" t="e">
            <v>#VALUE!</v>
          </cell>
          <cell r="EE386" t="e">
            <v>#VALUE!</v>
          </cell>
          <cell r="EG386">
            <v>0</v>
          </cell>
          <cell r="EI386" t="e">
            <v>#DIV/0!</v>
          </cell>
          <cell r="EK386">
            <v>0</v>
          </cell>
          <cell r="EM386">
            <v>0</v>
          </cell>
          <cell r="EO386">
            <v>0</v>
          </cell>
          <cell r="EQ386" t="e">
            <v>#DIV/0!</v>
          </cell>
          <cell r="ET386">
            <v>0</v>
          </cell>
          <cell r="FB386" t="e">
            <v>#VALUE!</v>
          </cell>
          <cell r="FD386">
            <v>0</v>
          </cell>
          <cell r="FF386">
            <v>0</v>
          </cell>
          <cell r="FJ386">
            <v>0</v>
          </cell>
          <cell r="FL386">
            <v>0</v>
          </cell>
          <cell r="FN386">
            <v>0</v>
          </cell>
          <cell r="FQ386">
            <v>0</v>
          </cell>
          <cell r="FS386">
            <v>0</v>
          </cell>
          <cell r="FU386" t="e">
            <v>#DIV/0!</v>
          </cell>
          <cell r="FW386" t="e">
            <v>#DIV/0!</v>
          </cell>
          <cell r="FY386" t="e">
            <v>#VALUE!</v>
          </cell>
          <cell r="GA386">
            <v>0</v>
          </cell>
          <cell r="GC386">
            <v>0</v>
          </cell>
          <cell r="GF386" t="e">
            <v>#DIV/0!</v>
          </cell>
          <cell r="GL386" t="e">
            <v>#DIV/0!</v>
          </cell>
          <cell r="GN386" t="e">
            <v>#DIV/0!</v>
          </cell>
          <cell r="GP386" t="e">
            <v>#DIV/0!</v>
          </cell>
          <cell r="GT386" t="e">
            <v>#DIV/0!</v>
          </cell>
          <cell r="GV386" t="e">
            <v>#DIV/0!</v>
          </cell>
          <cell r="HA386" t="e">
            <v>#DIV/0!</v>
          </cell>
          <cell r="HB386" t="str">
            <v>x</v>
          </cell>
          <cell r="HD386" t="e">
            <v>#DIV/0!</v>
          </cell>
          <cell r="HE386" t="str">
            <v>x</v>
          </cell>
          <cell r="HG386" t="e">
            <v>#DIV/0!</v>
          </cell>
          <cell r="HH386" t="str">
            <v>x</v>
          </cell>
          <cell r="HJ386" t="e">
            <v>#DIV/0!</v>
          </cell>
          <cell r="HK386" t="str">
            <v>x</v>
          </cell>
        </row>
        <row r="387">
          <cell r="DK387" t="str">
            <v xml:space="preserve"> -</v>
          </cell>
          <cell r="DL387">
            <v>0</v>
          </cell>
          <cell r="FL387">
            <v>0</v>
          </cell>
          <cell r="FN387">
            <v>0</v>
          </cell>
          <cell r="FQ387" t="str">
            <v xml:space="preserve"> -</v>
          </cell>
          <cell r="FR387">
            <v>0</v>
          </cell>
        </row>
        <row r="388">
          <cell r="DL388">
            <v>0</v>
          </cell>
          <cell r="FL388">
            <v>0</v>
          </cell>
          <cell r="FN388">
            <v>0</v>
          </cell>
          <cell r="FR388">
            <v>0</v>
          </cell>
        </row>
        <row r="389">
          <cell r="FL389">
            <v>0</v>
          </cell>
          <cell r="FN389">
            <v>0</v>
          </cell>
        </row>
        <row r="390">
          <cell r="DO390" t="str">
            <v>FY1</v>
          </cell>
          <cell r="DS390">
            <v>0</v>
          </cell>
          <cell r="EG390">
            <v>0</v>
          </cell>
          <cell r="EI390">
            <v>0</v>
          </cell>
          <cell r="EK390">
            <v>0</v>
          </cell>
          <cell r="EM390">
            <v>0</v>
          </cell>
          <cell r="EO390">
            <v>0</v>
          </cell>
          <cell r="EQ390">
            <v>0</v>
          </cell>
          <cell r="ET390">
            <v>0</v>
          </cell>
          <cell r="GF390">
            <v>0</v>
          </cell>
          <cell r="GL390">
            <v>0</v>
          </cell>
          <cell r="GN390">
            <v>0</v>
          </cell>
          <cell r="GP390">
            <v>0</v>
          </cell>
          <cell r="GT390">
            <v>0</v>
          </cell>
          <cell r="GV390">
            <v>0</v>
          </cell>
        </row>
        <row r="391">
          <cell r="DO391" t="str">
            <v>FY2</v>
          </cell>
          <cell r="DS391">
            <v>0</v>
          </cell>
          <cell r="EG391">
            <v>0</v>
          </cell>
          <cell r="EI391">
            <v>0</v>
          </cell>
          <cell r="EK391">
            <v>0</v>
          </cell>
          <cell r="EM391">
            <v>0</v>
          </cell>
          <cell r="EO391">
            <v>0</v>
          </cell>
          <cell r="EQ391">
            <v>0</v>
          </cell>
          <cell r="ET391">
            <v>0</v>
          </cell>
          <cell r="FJ391">
            <v>0</v>
          </cell>
          <cell r="GF391">
            <v>0</v>
          </cell>
          <cell r="GL391">
            <v>0</v>
          </cell>
          <cell r="GN391">
            <v>0</v>
          </cell>
          <cell r="GP391">
            <v>0</v>
          </cell>
          <cell r="GT391">
            <v>0</v>
          </cell>
          <cell r="GV391">
            <v>0</v>
          </cell>
        </row>
        <row r="393">
          <cell r="DK393">
            <v>0</v>
          </cell>
          <cell r="DM393" t="str">
            <v>option</v>
          </cell>
          <cell r="DO393">
            <v>0</v>
          </cell>
          <cell r="DQ393" t="e">
            <v>#VALUE!</v>
          </cell>
          <cell r="DS393">
            <v>0</v>
          </cell>
          <cell r="EC393">
            <v>0</v>
          </cell>
          <cell r="EE393" t="e">
            <v>#DIV/0!</v>
          </cell>
          <cell r="EG393">
            <v>0</v>
          </cell>
          <cell r="EI393" t="e">
            <v>#DIV/0!</v>
          </cell>
          <cell r="EK393">
            <v>0</v>
          </cell>
          <cell r="EM393">
            <v>0</v>
          </cell>
          <cell r="EO393">
            <v>0</v>
          </cell>
          <cell r="EQ393" t="e">
            <v>#DIV/0!</v>
          </cell>
          <cell r="ET393">
            <v>0</v>
          </cell>
          <cell r="FB393" t="e">
            <v>#VALUE!</v>
          </cell>
          <cell r="FD393">
            <v>0</v>
          </cell>
          <cell r="FF393">
            <v>0</v>
          </cell>
          <cell r="FJ393">
            <v>0</v>
          </cell>
          <cell r="FL393">
            <v>0</v>
          </cell>
          <cell r="FN393">
            <v>0</v>
          </cell>
          <cell r="FQ393">
            <v>0</v>
          </cell>
          <cell r="FS393">
            <v>0</v>
          </cell>
          <cell r="FU393" t="e">
            <v>#DIV/0!</v>
          </cell>
          <cell r="FW393" t="e">
            <v>#VALUE!</v>
          </cell>
          <cell r="FY393" t="e">
            <v>#VALUE!</v>
          </cell>
          <cell r="GA393">
            <v>0</v>
          </cell>
          <cell r="GC393">
            <v>0</v>
          </cell>
          <cell r="GF393" t="e">
            <v>#DIV/0!</v>
          </cell>
          <cell r="GL393" t="e">
            <v>#DIV/0!</v>
          </cell>
          <cell r="GN393" t="e">
            <v>#DIV/0!</v>
          </cell>
          <cell r="GP393" t="e">
            <v>#DIV/0!</v>
          </cell>
          <cell r="GT393" t="e">
            <v>#DIV/0!</v>
          </cell>
          <cell r="GV393" t="e">
            <v>#DIV/0!</v>
          </cell>
          <cell r="HA393" t="e">
            <v>#DIV/0!</v>
          </cell>
          <cell r="HD393" t="e">
            <v>#DIV/0!</v>
          </cell>
          <cell r="HG393" t="e">
            <v>#DIV/0!</v>
          </cell>
          <cell r="HJ393" t="e">
            <v>#DIV/0!</v>
          </cell>
        </row>
        <row r="394">
          <cell r="DK394" t="str">
            <v xml:space="preserve"> -</v>
          </cell>
          <cell r="DL394">
            <v>0</v>
          </cell>
          <cell r="FL394">
            <v>0</v>
          </cell>
          <cell r="FN394">
            <v>0</v>
          </cell>
          <cell r="FQ394" t="str">
            <v xml:space="preserve"> -</v>
          </cell>
          <cell r="FR394">
            <v>0</v>
          </cell>
        </row>
        <row r="395">
          <cell r="DL395">
            <v>0</v>
          </cell>
          <cell r="FL395">
            <v>0</v>
          </cell>
          <cell r="FN395">
            <v>0</v>
          </cell>
          <cell r="FR395">
            <v>0</v>
          </cell>
        </row>
        <row r="396">
          <cell r="FL396">
            <v>0</v>
          </cell>
          <cell r="FN396">
            <v>0</v>
          </cell>
        </row>
        <row r="397">
          <cell r="DO397" t="str">
            <v>FY1</v>
          </cell>
          <cell r="DS397">
            <v>0</v>
          </cell>
          <cell r="EG397">
            <v>0</v>
          </cell>
          <cell r="EI397">
            <v>0</v>
          </cell>
          <cell r="EK397">
            <v>0</v>
          </cell>
          <cell r="EM397">
            <v>0</v>
          </cell>
          <cell r="EO397">
            <v>0</v>
          </cell>
          <cell r="EQ397">
            <v>0</v>
          </cell>
          <cell r="ET397">
            <v>0</v>
          </cell>
          <cell r="GF397">
            <v>0</v>
          </cell>
          <cell r="GL397">
            <v>0</v>
          </cell>
          <cell r="GN397">
            <v>0</v>
          </cell>
          <cell r="GP397">
            <v>0</v>
          </cell>
          <cell r="GT397">
            <v>0</v>
          </cell>
          <cell r="GV397">
            <v>0</v>
          </cell>
        </row>
        <row r="398">
          <cell r="DO398" t="str">
            <v>FY2</v>
          </cell>
          <cell r="DS398">
            <v>0</v>
          </cell>
          <cell r="EG398">
            <v>0</v>
          </cell>
          <cell r="EI398">
            <v>0</v>
          </cell>
          <cell r="EK398">
            <v>0</v>
          </cell>
          <cell r="EM398">
            <v>0</v>
          </cell>
          <cell r="EO398">
            <v>0</v>
          </cell>
          <cell r="EQ398">
            <v>0</v>
          </cell>
          <cell r="ET398">
            <v>0</v>
          </cell>
          <cell r="FJ398">
            <v>0</v>
          </cell>
          <cell r="GF398">
            <v>0</v>
          </cell>
          <cell r="GL398">
            <v>0</v>
          </cell>
          <cell r="GN398">
            <v>0</v>
          </cell>
          <cell r="GP398">
            <v>0</v>
          </cell>
          <cell r="GT398">
            <v>0</v>
          </cell>
          <cell r="GV398">
            <v>0</v>
          </cell>
        </row>
        <row r="400">
          <cell r="DK400">
            <v>0</v>
          </cell>
          <cell r="DM400" t="str">
            <v>option</v>
          </cell>
          <cell r="DO400">
            <v>0</v>
          </cell>
          <cell r="DQ400" t="e">
            <v>#VALUE!</v>
          </cell>
          <cell r="DS400">
            <v>0</v>
          </cell>
          <cell r="EC400" t="e">
            <v>#VALUE!</v>
          </cell>
          <cell r="EE400" t="e">
            <v>#VALUE!</v>
          </cell>
          <cell r="EG400">
            <v>0</v>
          </cell>
          <cell r="EI400" t="e">
            <v>#DIV/0!</v>
          </cell>
          <cell r="EK400">
            <v>0</v>
          </cell>
          <cell r="EM400">
            <v>0</v>
          </cell>
          <cell r="EO400">
            <v>0</v>
          </cell>
          <cell r="EQ400" t="e">
            <v>#DIV/0!</v>
          </cell>
          <cell r="ET400">
            <v>0</v>
          </cell>
          <cell r="FB400" t="e">
            <v>#VALUE!</v>
          </cell>
          <cell r="FD400">
            <v>0</v>
          </cell>
          <cell r="FF400">
            <v>0</v>
          </cell>
          <cell r="FJ400">
            <v>0</v>
          </cell>
          <cell r="FL400">
            <v>0</v>
          </cell>
          <cell r="FN400">
            <v>0</v>
          </cell>
          <cell r="FQ400">
            <v>0</v>
          </cell>
          <cell r="FS400">
            <v>0</v>
          </cell>
          <cell r="FU400" t="e">
            <v>#DIV/0!</v>
          </cell>
          <cell r="FW400" t="e">
            <v>#VALUE!</v>
          </cell>
          <cell r="FY400" t="e">
            <v>#VALUE!</v>
          </cell>
          <cell r="GA400">
            <v>0</v>
          </cell>
          <cell r="GC400">
            <v>0</v>
          </cell>
          <cell r="GF400" t="e">
            <v>#DIV/0!</v>
          </cell>
          <cell r="GL400" t="e">
            <v>#DIV/0!</v>
          </cell>
          <cell r="GN400" t="e">
            <v>#DIV/0!</v>
          </cell>
          <cell r="GP400" t="e">
            <v>#DIV/0!</v>
          </cell>
          <cell r="GT400" t="e">
            <v>#DIV/0!</v>
          </cell>
          <cell r="GV400" t="e">
            <v>#DIV/0!</v>
          </cell>
          <cell r="HA400" t="e">
            <v>#DIV/0!</v>
          </cell>
          <cell r="HD400" t="e">
            <v>#DIV/0!</v>
          </cell>
          <cell r="HG400" t="e">
            <v>#DIV/0!</v>
          </cell>
          <cell r="HJ400" t="e">
            <v>#DIV/0!</v>
          </cell>
        </row>
        <row r="401">
          <cell r="DK401" t="str">
            <v xml:space="preserve"> -</v>
          </cell>
          <cell r="DL401">
            <v>0</v>
          </cell>
          <cell r="FL401">
            <v>0</v>
          </cell>
          <cell r="FN401">
            <v>0</v>
          </cell>
          <cell r="FQ401" t="str">
            <v xml:space="preserve"> -</v>
          </cell>
          <cell r="FR401">
            <v>0</v>
          </cell>
        </row>
        <row r="402">
          <cell r="DL402">
            <v>0</v>
          </cell>
          <cell r="FL402">
            <v>0</v>
          </cell>
          <cell r="FN402">
            <v>0</v>
          </cell>
          <cell r="FR402">
            <v>0</v>
          </cell>
        </row>
        <row r="403">
          <cell r="FL403">
            <v>0</v>
          </cell>
          <cell r="FN403">
            <v>0</v>
          </cell>
        </row>
        <row r="404">
          <cell r="DO404" t="str">
            <v>FY1</v>
          </cell>
          <cell r="DS404">
            <v>0</v>
          </cell>
          <cell r="EG404">
            <v>0</v>
          </cell>
          <cell r="EI404">
            <v>0</v>
          </cell>
          <cell r="EK404">
            <v>0</v>
          </cell>
          <cell r="EM404">
            <v>0</v>
          </cell>
          <cell r="EO404">
            <v>0</v>
          </cell>
          <cell r="EQ404">
            <v>0</v>
          </cell>
          <cell r="ET404">
            <v>0</v>
          </cell>
          <cell r="GF404">
            <v>0</v>
          </cell>
          <cell r="GL404">
            <v>0</v>
          </cell>
          <cell r="GN404">
            <v>0</v>
          </cell>
          <cell r="GP404">
            <v>0</v>
          </cell>
          <cell r="GT404">
            <v>0</v>
          </cell>
          <cell r="GV404">
            <v>0</v>
          </cell>
        </row>
        <row r="405">
          <cell r="DO405" t="str">
            <v>FY2</v>
          </cell>
          <cell r="DS405">
            <v>0</v>
          </cell>
          <cell r="EG405">
            <v>0</v>
          </cell>
          <cell r="EI405">
            <v>0</v>
          </cell>
          <cell r="EK405">
            <v>0</v>
          </cell>
          <cell r="EM405">
            <v>0</v>
          </cell>
          <cell r="EO405">
            <v>0</v>
          </cell>
          <cell r="EQ405">
            <v>0</v>
          </cell>
          <cell r="ET405">
            <v>0</v>
          </cell>
          <cell r="FJ405">
            <v>0</v>
          </cell>
          <cell r="GF405">
            <v>0</v>
          </cell>
          <cell r="GL405">
            <v>0</v>
          </cell>
          <cell r="GN405">
            <v>0</v>
          </cell>
          <cell r="GP405">
            <v>0</v>
          </cell>
          <cell r="GT405">
            <v>0</v>
          </cell>
          <cell r="GV405">
            <v>0</v>
          </cell>
        </row>
        <row r="407">
          <cell r="DK407">
            <v>0</v>
          </cell>
          <cell r="DM407" t="str">
            <v>option</v>
          </cell>
          <cell r="DO407">
            <v>0</v>
          </cell>
          <cell r="DQ407" t="e">
            <v>#VALUE!</v>
          </cell>
          <cell r="DS407">
            <v>0</v>
          </cell>
          <cell r="EC407" t="e">
            <v>#VALUE!</v>
          </cell>
          <cell r="EE407" t="e">
            <v>#VALUE!</v>
          </cell>
          <cell r="EG407">
            <v>0</v>
          </cell>
          <cell r="EI407" t="e">
            <v>#DIV/0!</v>
          </cell>
          <cell r="EK407">
            <v>0</v>
          </cell>
          <cell r="EM407">
            <v>0</v>
          </cell>
          <cell r="EO407">
            <v>0</v>
          </cell>
          <cell r="EQ407" t="e">
            <v>#DIV/0!</v>
          </cell>
          <cell r="ET407">
            <v>0</v>
          </cell>
          <cell r="FB407" t="e">
            <v>#VALUE!</v>
          </cell>
          <cell r="FD407">
            <v>0</v>
          </cell>
          <cell r="FF407">
            <v>0</v>
          </cell>
          <cell r="FJ407">
            <v>0</v>
          </cell>
          <cell r="FL407">
            <v>0</v>
          </cell>
          <cell r="FN407">
            <v>0</v>
          </cell>
          <cell r="FQ407">
            <v>0</v>
          </cell>
          <cell r="FS407">
            <v>0</v>
          </cell>
          <cell r="FU407" t="e">
            <v>#DIV/0!</v>
          </cell>
          <cell r="FW407" t="e">
            <v>#VALUE!</v>
          </cell>
          <cell r="FY407" t="e">
            <v>#VALUE!</v>
          </cell>
          <cell r="GA407">
            <v>0</v>
          </cell>
          <cell r="GC407">
            <v>0</v>
          </cell>
          <cell r="GF407" t="e">
            <v>#DIV/0!</v>
          </cell>
          <cell r="GL407" t="e">
            <v>#DIV/0!</v>
          </cell>
          <cell r="GN407" t="e">
            <v>#DIV/0!</v>
          </cell>
          <cell r="GP407" t="e">
            <v>#DIV/0!</v>
          </cell>
          <cell r="GT407" t="e">
            <v>#DIV/0!</v>
          </cell>
          <cell r="GV407" t="e">
            <v>#DIV/0!</v>
          </cell>
          <cell r="HA407" t="e">
            <v>#DIV/0!</v>
          </cell>
          <cell r="HD407" t="e">
            <v>#DIV/0!</v>
          </cell>
          <cell r="HG407" t="e">
            <v>#DIV/0!</v>
          </cell>
          <cell r="HJ407" t="e">
            <v>#DIV/0!</v>
          </cell>
        </row>
        <row r="408">
          <cell r="DK408" t="str">
            <v xml:space="preserve"> -</v>
          </cell>
          <cell r="DL408">
            <v>0</v>
          </cell>
          <cell r="FL408">
            <v>0</v>
          </cell>
          <cell r="FN408">
            <v>0</v>
          </cell>
          <cell r="FQ408" t="str">
            <v xml:space="preserve"> -</v>
          </cell>
          <cell r="FR408">
            <v>0</v>
          </cell>
        </row>
        <row r="409">
          <cell r="DL409">
            <v>0</v>
          </cell>
          <cell r="FL409">
            <v>0</v>
          </cell>
          <cell r="FN409">
            <v>0</v>
          </cell>
          <cell r="FR409">
            <v>0</v>
          </cell>
        </row>
        <row r="410">
          <cell r="FL410">
            <v>0</v>
          </cell>
          <cell r="FN410">
            <v>0</v>
          </cell>
        </row>
        <row r="411">
          <cell r="DO411" t="str">
            <v>FY1</v>
          </cell>
          <cell r="DS411">
            <v>0</v>
          </cell>
          <cell r="EG411">
            <v>0</v>
          </cell>
          <cell r="EI411">
            <v>0</v>
          </cell>
          <cell r="EK411">
            <v>0</v>
          </cell>
          <cell r="EM411">
            <v>0</v>
          </cell>
          <cell r="EO411">
            <v>0</v>
          </cell>
          <cell r="EQ411">
            <v>0</v>
          </cell>
          <cell r="ET411">
            <v>0</v>
          </cell>
          <cell r="GF411">
            <v>0</v>
          </cell>
          <cell r="GL411">
            <v>0</v>
          </cell>
          <cell r="GN411">
            <v>0</v>
          </cell>
          <cell r="GP411">
            <v>0</v>
          </cell>
          <cell r="GT411">
            <v>0</v>
          </cell>
          <cell r="GV411">
            <v>0</v>
          </cell>
        </row>
        <row r="412">
          <cell r="DO412" t="str">
            <v>FY2</v>
          </cell>
          <cell r="DS412">
            <v>0</v>
          </cell>
          <cell r="EG412">
            <v>0</v>
          </cell>
          <cell r="EI412">
            <v>0</v>
          </cell>
          <cell r="EK412">
            <v>0</v>
          </cell>
          <cell r="EM412">
            <v>0</v>
          </cell>
          <cell r="EO412">
            <v>0</v>
          </cell>
          <cell r="EQ412">
            <v>0</v>
          </cell>
          <cell r="ET412">
            <v>0</v>
          </cell>
          <cell r="FJ412">
            <v>0</v>
          </cell>
          <cell r="GF412">
            <v>0</v>
          </cell>
          <cell r="GL412">
            <v>0</v>
          </cell>
          <cell r="GN412">
            <v>0</v>
          </cell>
          <cell r="GP412">
            <v>0</v>
          </cell>
          <cell r="GT412">
            <v>0</v>
          </cell>
          <cell r="GV412">
            <v>0</v>
          </cell>
        </row>
        <row r="414">
          <cell r="DK414">
            <v>0</v>
          </cell>
          <cell r="DM414" t="str">
            <v>option</v>
          </cell>
          <cell r="DO414">
            <v>0</v>
          </cell>
          <cell r="DQ414" t="e">
            <v>#VALUE!</v>
          </cell>
          <cell r="DS414">
            <v>0</v>
          </cell>
          <cell r="EC414" t="e">
            <v>#VALUE!</v>
          </cell>
          <cell r="EE414" t="e">
            <v>#VALUE!</v>
          </cell>
          <cell r="EG414">
            <v>0</v>
          </cell>
          <cell r="EI414" t="e">
            <v>#DIV/0!</v>
          </cell>
          <cell r="EK414">
            <v>0</v>
          </cell>
          <cell r="EM414">
            <v>0</v>
          </cell>
          <cell r="EO414">
            <v>0</v>
          </cell>
          <cell r="EQ414" t="e">
            <v>#DIV/0!</v>
          </cell>
          <cell r="ET414">
            <v>0</v>
          </cell>
          <cell r="FB414" t="e">
            <v>#VALUE!</v>
          </cell>
          <cell r="FD414">
            <v>0</v>
          </cell>
          <cell r="FF414">
            <v>0</v>
          </cell>
          <cell r="FJ414">
            <v>0</v>
          </cell>
          <cell r="FL414">
            <v>0</v>
          </cell>
          <cell r="FN414">
            <v>0</v>
          </cell>
          <cell r="FQ414">
            <v>0</v>
          </cell>
          <cell r="FS414">
            <v>0</v>
          </cell>
          <cell r="FU414" t="e">
            <v>#DIV/0!</v>
          </cell>
          <cell r="FW414" t="e">
            <v>#VALUE!</v>
          </cell>
          <cell r="FY414" t="e">
            <v>#VALUE!</v>
          </cell>
          <cell r="GA414">
            <v>0</v>
          </cell>
          <cell r="GC414">
            <v>0</v>
          </cell>
          <cell r="GF414" t="e">
            <v>#DIV/0!</v>
          </cell>
          <cell r="GL414" t="e">
            <v>#DIV/0!</v>
          </cell>
          <cell r="GN414" t="e">
            <v>#DIV/0!</v>
          </cell>
          <cell r="GP414" t="e">
            <v>#DIV/0!</v>
          </cell>
          <cell r="GT414" t="e">
            <v>#DIV/0!</v>
          </cell>
          <cell r="GV414" t="e">
            <v>#DIV/0!</v>
          </cell>
          <cell r="HA414" t="e">
            <v>#DIV/0!</v>
          </cell>
          <cell r="HD414" t="e">
            <v>#DIV/0!</v>
          </cell>
          <cell r="HG414" t="e">
            <v>#DIV/0!</v>
          </cell>
          <cell r="HJ414" t="e">
            <v>#DIV/0!</v>
          </cell>
        </row>
        <row r="415">
          <cell r="DK415" t="str">
            <v xml:space="preserve"> -</v>
          </cell>
          <cell r="DL415">
            <v>0</v>
          </cell>
          <cell r="FL415">
            <v>0</v>
          </cell>
          <cell r="FN415">
            <v>0</v>
          </cell>
          <cell r="FQ415" t="str">
            <v xml:space="preserve"> -</v>
          </cell>
          <cell r="FR415">
            <v>0</v>
          </cell>
        </row>
        <row r="416">
          <cell r="DL416">
            <v>0</v>
          </cell>
          <cell r="FL416">
            <v>0</v>
          </cell>
          <cell r="FN416">
            <v>0</v>
          </cell>
          <cell r="FR416">
            <v>0</v>
          </cell>
        </row>
        <row r="417">
          <cell r="FL417">
            <v>0</v>
          </cell>
          <cell r="FN417">
            <v>0</v>
          </cell>
        </row>
        <row r="418">
          <cell r="DO418" t="str">
            <v>FY1</v>
          </cell>
          <cell r="DS418">
            <v>0</v>
          </cell>
          <cell r="EG418">
            <v>0</v>
          </cell>
          <cell r="EI418">
            <v>0</v>
          </cell>
          <cell r="EK418">
            <v>0</v>
          </cell>
          <cell r="EM418">
            <v>0</v>
          </cell>
          <cell r="EO418">
            <v>0</v>
          </cell>
          <cell r="EQ418">
            <v>0</v>
          </cell>
          <cell r="ET418">
            <v>0</v>
          </cell>
          <cell r="GF418">
            <v>0</v>
          </cell>
          <cell r="GL418">
            <v>0</v>
          </cell>
          <cell r="GN418">
            <v>0</v>
          </cell>
          <cell r="GP418">
            <v>0</v>
          </cell>
          <cell r="GT418">
            <v>0</v>
          </cell>
          <cell r="GV418">
            <v>0</v>
          </cell>
        </row>
        <row r="419">
          <cell r="DO419" t="str">
            <v>FY2</v>
          </cell>
          <cell r="DS419">
            <v>0</v>
          </cell>
          <cell r="EG419">
            <v>0</v>
          </cell>
          <cell r="EI419">
            <v>0</v>
          </cell>
          <cell r="EK419">
            <v>0</v>
          </cell>
          <cell r="EM419">
            <v>0</v>
          </cell>
          <cell r="EO419">
            <v>0</v>
          </cell>
          <cell r="EQ419">
            <v>0</v>
          </cell>
          <cell r="ET419">
            <v>0</v>
          </cell>
          <cell r="FJ419">
            <v>0</v>
          </cell>
          <cell r="GF419">
            <v>0</v>
          </cell>
          <cell r="GL419">
            <v>0</v>
          </cell>
          <cell r="GN419">
            <v>0</v>
          </cell>
          <cell r="GP419">
            <v>0</v>
          </cell>
          <cell r="GT419">
            <v>0</v>
          </cell>
          <cell r="GV419">
            <v>0</v>
          </cell>
        </row>
        <row r="421">
          <cell r="DK421">
            <v>0</v>
          </cell>
          <cell r="DM421" t="str">
            <v>option</v>
          </cell>
          <cell r="DO421">
            <v>0</v>
          </cell>
          <cell r="DQ421" t="e">
            <v>#VALUE!</v>
          </cell>
          <cell r="DS421">
            <v>0</v>
          </cell>
          <cell r="EC421" t="e">
            <v>#VALUE!</v>
          </cell>
          <cell r="EE421" t="e">
            <v>#VALUE!</v>
          </cell>
          <cell r="EG421">
            <v>0</v>
          </cell>
          <cell r="EI421" t="e">
            <v>#DIV/0!</v>
          </cell>
          <cell r="EK421">
            <v>0</v>
          </cell>
          <cell r="EM421">
            <v>0</v>
          </cell>
          <cell r="EO421">
            <v>0</v>
          </cell>
          <cell r="EQ421" t="e">
            <v>#DIV/0!</v>
          </cell>
          <cell r="ET421">
            <v>0</v>
          </cell>
          <cell r="FB421" t="e">
            <v>#VALUE!</v>
          </cell>
          <cell r="FD421">
            <v>0</v>
          </cell>
          <cell r="FF421">
            <v>0</v>
          </cell>
          <cell r="FJ421">
            <v>0</v>
          </cell>
          <cell r="FL421">
            <v>0</v>
          </cell>
          <cell r="FN421">
            <v>0</v>
          </cell>
          <cell r="FQ421">
            <v>0</v>
          </cell>
          <cell r="FS421">
            <v>0</v>
          </cell>
          <cell r="FU421" t="e">
            <v>#DIV/0!</v>
          </cell>
          <cell r="FW421" t="e">
            <v>#VALUE!</v>
          </cell>
          <cell r="FY421" t="e">
            <v>#VALUE!</v>
          </cell>
          <cell r="GA421">
            <v>0</v>
          </cell>
          <cell r="GC421">
            <v>0</v>
          </cell>
          <cell r="GF421" t="e">
            <v>#DIV/0!</v>
          </cell>
          <cell r="GL421" t="e">
            <v>#DIV/0!</v>
          </cell>
          <cell r="GN421" t="e">
            <v>#DIV/0!</v>
          </cell>
          <cell r="GP421" t="e">
            <v>#DIV/0!</v>
          </cell>
          <cell r="GT421" t="e">
            <v>#DIV/0!</v>
          </cell>
          <cell r="GV421" t="e">
            <v>#DIV/0!</v>
          </cell>
          <cell r="HA421" t="e">
            <v>#DIV/0!</v>
          </cell>
          <cell r="HD421" t="e">
            <v>#DIV/0!</v>
          </cell>
          <cell r="HG421" t="e">
            <v>#DIV/0!</v>
          </cell>
          <cell r="HJ421" t="e">
            <v>#DIV/0!</v>
          </cell>
        </row>
        <row r="422">
          <cell r="DK422" t="str">
            <v xml:space="preserve"> -</v>
          </cell>
          <cell r="DL422">
            <v>0</v>
          </cell>
          <cell r="FL422">
            <v>0</v>
          </cell>
          <cell r="FN422">
            <v>0</v>
          </cell>
          <cell r="FQ422" t="str">
            <v xml:space="preserve"> -</v>
          </cell>
          <cell r="FR422">
            <v>0</v>
          </cell>
        </row>
        <row r="423">
          <cell r="DL423">
            <v>0</v>
          </cell>
          <cell r="FL423">
            <v>0</v>
          </cell>
          <cell r="FN423">
            <v>0</v>
          </cell>
          <cell r="FR423">
            <v>0</v>
          </cell>
        </row>
        <row r="424">
          <cell r="FL424">
            <v>0</v>
          </cell>
          <cell r="FN424">
            <v>0</v>
          </cell>
        </row>
        <row r="425">
          <cell r="DO425" t="str">
            <v>FY1</v>
          </cell>
          <cell r="DS425">
            <v>0</v>
          </cell>
          <cell r="EG425">
            <v>0</v>
          </cell>
          <cell r="EI425">
            <v>0</v>
          </cell>
          <cell r="EK425">
            <v>0</v>
          </cell>
          <cell r="EM425">
            <v>0</v>
          </cell>
          <cell r="EO425">
            <v>0</v>
          </cell>
          <cell r="EQ425">
            <v>0</v>
          </cell>
          <cell r="ET425">
            <v>0</v>
          </cell>
          <cell r="GF425">
            <v>0</v>
          </cell>
          <cell r="GL425">
            <v>0</v>
          </cell>
          <cell r="GN425">
            <v>0</v>
          </cell>
          <cell r="GP425">
            <v>0</v>
          </cell>
          <cell r="GT425">
            <v>0</v>
          </cell>
          <cell r="GV425">
            <v>0</v>
          </cell>
        </row>
        <row r="426">
          <cell r="DO426" t="str">
            <v>FY2</v>
          </cell>
          <cell r="DS426">
            <v>0</v>
          </cell>
          <cell r="EG426">
            <v>0</v>
          </cell>
          <cell r="EI426">
            <v>0</v>
          </cell>
          <cell r="EK426">
            <v>0</v>
          </cell>
          <cell r="EM426">
            <v>0</v>
          </cell>
          <cell r="EO426">
            <v>0</v>
          </cell>
          <cell r="EQ426">
            <v>0</v>
          </cell>
          <cell r="ET426">
            <v>0</v>
          </cell>
          <cell r="FJ426">
            <v>0</v>
          </cell>
          <cell r="GF426">
            <v>0</v>
          </cell>
          <cell r="GL426">
            <v>0</v>
          </cell>
          <cell r="GN426">
            <v>0</v>
          </cell>
          <cell r="GP426">
            <v>0</v>
          </cell>
          <cell r="GT426">
            <v>0</v>
          </cell>
          <cell r="GV426">
            <v>0</v>
          </cell>
        </row>
        <row r="428">
          <cell r="DK428">
            <v>0</v>
          </cell>
          <cell r="DM428" t="str">
            <v>option</v>
          </cell>
          <cell r="DO428">
            <v>0</v>
          </cell>
          <cell r="DQ428" t="e">
            <v>#VALUE!</v>
          </cell>
          <cell r="DS428">
            <v>0</v>
          </cell>
          <cell r="EC428" t="e">
            <v>#VALUE!</v>
          </cell>
          <cell r="EE428" t="e">
            <v>#VALUE!</v>
          </cell>
          <cell r="EG428">
            <v>0</v>
          </cell>
          <cell r="EI428" t="e">
            <v>#DIV/0!</v>
          </cell>
          <cell r="EK428">
            <v>0</v>
          </cell>
          <cell r="EM428">
            <v>0</v>
          </cell>
          <cell r="EO428">
            <v>0</v>
          </cell>
          <cell r="EQ428" t="e">
            <v>#DIV/0!</v>
          </cell>
          <cell r="ET428">
            <v>0</v>
          </cell>
          <cell r="FB428" t="e">
            <v>#VALUE!</v>
          </cell>
          <cell r="FD428">
            <v>0</v>
          </cell>
          <cell r="FF428">
            <v>0</v>
          </cell>
          <cell r="FJ428">
            <v>0</v>
          </cell>
          <cell r="FL428">
            <v>0</v>
          </cell>
          <cell r="FN428">
            <v>0</v>
          </cell>
          <cell r="FQ428">
            <v>0</v>
          </cell>
          <cell r="FS428">
            <v>0</v>
          </cell>
          <cell r="FU428" t="e">
            <v>#DIV/0!</v>
          </cell>
          <cell r="FW428" t="e">
            <v>#VALUE!</v>
          </cell>
          <cell r="FY428" t="e">
            <v>#VALUE!</v>
          </cell>
          <cell r="GA428">
            <v>0</v>
          </cell>
          <cell r="GC428">
            <v>0</v>
          </cell>
          <cell r="GF428" t="e">
            <v>#DIV/0!</v>
          </cell>
          <cell r="GL428" t="e">
            <v>#DIV/0!</v>
          </cell>
          <cell r="GN428" t="e">
            <v>#DIV/0!</v>
          </cell>
          <cell r="GP428" t="e">
            <v>#DIV/0!</v>
          </cell>
          <cell r="GT428" t="e">
            <v>#DIV/0!</v>
          </cell>
          <cell r="GV428" t="e">
            <v>#DIV/0!</v>
          </cell>
          <cell r="HA428" t="e">
            <v>#DIV/0!</v>
          </cell>
          <cell r="HD428" t="e">
            <v>#DIV/0!</v>
          </cell>
          <cell r="HG428" t="e">
            <v>#DIV/0!</v>
          </cell>
          <cell r="HJ428" t="e">
            <v>#DIV/0!</v>
          </cell>
        </row>
        <row r="429">
          <cell r="DK429" t="str">
            <v xml:space="preserve"> -</v>
          </cell>
          <cell r="DL429">
            <v>0</v>
          </cell>
          <cell r="FL429">
            <v>0</v>
          </cell>
          <cell r="FN429">
            <v>0</v>
          </cell>
          <cell r="FQ429" t="str">
            <v xml:space="preserve"> -</v>
          </cell>
          <cell r="FR429">
            <v>0</v>
          </cell>
        </row>
        <row r="430">
          <cell r="DL430">
            <v>0</v>
          </cell>
          <cell r="FL430">
            <v>0</v>
          </cell>
          <cell r="FN430">
            <v>0</v>
          </cell>
          <cell r="FR430">
            <v>0</v>
          </cell>
        </row>
        <row r="431">
          <cell r="FL431">
            <v>0</v>
          </cell>
          <cell r="FN431">
            <v>0</v>
          </cell>
        </row>
        <row r="432">
          <cell r="DO432" t="str">
            <v>FY1</v>
          </cell>
          <cell r="DS432">
            <v>0</v>
          </cell>
          <cell r="EG432">
            <v>0</v>
          </cell>
          <cell r="EI432">
            <v>0</v>
          </cell>
          <cell r="EK432">
            <v>0</v>
          </cell>
          <cell r="EM432">
            <v>0</v>
          </cell>
          <cell r="EO432">
            <v>0</v>
          </cell>
          <cell r="EQ432">
            <v>0</v>
          </cell>
          <cell r="ET432">
            <v>0</v>
          </cell>
          <cell r="GF432">
            <v>0</v>
          </cell>
          <cell r="GL432">
            <v>0</v>
          </cell>
          <cell r="GN432">
            <v>0</v>
          </cell>
          <cell r="GP432">
            <v>0</v>
          </cell>
          <cell r="GT432">
            <v>0</v>
          </cell>
          <cell r="GV432">
            <v>0</v>
          </cell>
        </row>
        <row r="433">
          <cell r="DO433" t="str">
            <v>FY2</v>
          </cell>
          <cell r="DS433">
            <v>0</v>
          </cell>
          <cell r="EG433">
            <v>0</v>
          </cell>
          <cell r="EI433">
            <v>0</v>
          </cell>
          <cell r="EK433">
            <v>0</v>
          </cell>
          <cell r="EM433">
            <v>0</v>
          </cell>
          <cell r="EO433">
            <v>0</v>
          </cell>
          <cell r="EQ433">
            <v>0</v>
          </cell>
          <cell r="ET433">
            <v>0</v>
          </cell>
          <cell r="FJ433">
            <v>0</v>
          </cell>
          <cell r="GF433">
            <v>0</v>
          </cell>
          <cell r="GL433">
            <v>0</v>
          </cell>
          <cell r="GN433">
            <v>0</v>
          </cell>
          <cell r="GP433">
            <v>0</v>
          </cell>
          <cell r="GT433">
            <v>0</v>
          </cell>
          <cell r="GV433">
            <v>0</v>
          </cell>
        </row>
        <row r="435">
          <cell r="DK435">
            <v>0</v>
          </cell>
          <cell r="DM435" t="str">
            <v>option</v>
          </cell>
          <cell r="DO435">
            <v>0</v>
          </cell>
          <cell r="DQ435" t="e">
            <v>#VALUE!</v>
          </cell>
          <cell r="DS435">
            <v>0</v>
          </cell>
          <cell r="EC435" t="e">
            <v>#VALUE!</v>
          </cell>
          <cell r="EE435" t="e">
            <v>#VALUE!</v>
          </cell>
          <cell r="EG435">
            <v>0</v>
          </cell>
          <cell r="EI435" t="e">
            <v>#DIV/0!</v>
          </cell>
          <cell r="EK435">
            <v>0</v>
          </cell>
          <cell r="EM435">
            <v>0</v>
          </cell>
          <cell r="EO435">
            <v>0</v>
          </cell>
          <cell r="EQ435" t="e">
            <v>#DIV/0!</v>
          </cell>
          <cell r="ET435">
            <v>0</v>
          </cell>
          <cell r="FB435" t="e">
            <v>#VALUE!</v>
          </cell>
          <cell r="FD435">
            <v>0</v>
          </cell>
          <cell r="FF435">
            <v>0</v>
          </cell>
          <cell r="FJ435">
            <v>0</v>
          </cell>
          <cell r="FL435">
            <v>0</v>
          </cell>
          <cell r="FN435">
            <v>0</v>
          </cell>
          <cell r="FQ435">
            <v>0</v>
          </cell>
          <cell r="FS435">
            <v>0</v>
          </cell>
          <cell r="FU435" t="e">
            <v>#DIV/0!</v>
          </cell>
          <cell r="FW435" t="e">
            <v>#VALUE!</v>
          </cell>
          <cell r="FY435" t="e">
            <v>#VALUE!</v>
          </cell>
          <cell r="GA435">
            <v>0</v>
          </cell>
          <cell r="GC435">
            <v>0</v>
          </cell>
          <cell r="GF435" t="e">
            <v>#DIV/0!</v>
          </cell>
          <cell r="GL435" t="e">
            <v>#DIV/0!</v>
          </cell>
          <cell r="GN435" t="e">
            <v>#DIV/0!</v>
          </cell>
          <cell r="GP435" t="e">
            <v>#DIV/0!</v>
          </cell>
          <cell r="GT435" t="e">
            <v>#DIV/0!</v>
          </cell>
          <cell r="GV435" t="e">
            <v>#DIV/0!</v>
          </cell>
          <cell r="HA435" t="e">
            <v>#DIV/0!</v>
          </cell>
          <cell r="HD435" t="e">
            <v>#DIV/0!</v>
          </cell>
          <cell r="HG435" t="e">
            <v>#DIV/0!</v>
          </cell>
          <cell r="HJ435" t="e">
            <v>#DIV/0!</v>
          </cell>
        </row>
        <row r="436">
          <cell r="DK436" t="str">
            <v xml:space="preserve"> -</v>
          </cell>
          <cell r="DL436">
            <v>0</v>
          </cell>
          <cell r="FL436">
            <v>0</v>
          </cell>
          <cell r="FN436">
            <v>0</v>
          </cell>
          <cell r="FQ436" t="str">
            <v xml:space="preserve"> -</v>
          </cell>
          <cell r="FR436">
            <v>0</v>
          </cell>
        </row>
        <row r="437">
          <cell r="DL437">
            <v>0</v>
          </cell>
          <cell r="FL437">
            <v>0</v>
          </cell>
          <cell r="FN437">
            <v>0</v>
          </cell>
          <cell r="FR437">
            <v>0</v>
          </cell>
        </row>
        <row r="438">
          <cell r="FL438">
            <v>0</v>
          </cell>
          <cell r="FN438">
            <v>0</v>
          </cell>
        </row>
        <row r="439">
          <cell r="DO439" t="str">
            <v>FY1</v>
          </cell>
          <cell r="DS439">
            <v>0</v>
          </cell>
          <cell r="EG439">
            <v>0</v>
          </cell>
          <cell r="EI439">
            <v>0</v>
          </cell>
          <cell r="EK439">
            <v>0</v>
          </cell>
          <cell r="EM439">
            <v>0</v>
          </cell>
          <cell r="EO439">
            <v>0</v>
          </cell>
          <cell r="EQ439">
            <v>0</v>
          </cell>
          <cell r="ET439">
            <v>0</v>
          </cell>
          <cell r="GF439">
            <v>0</v>
          </cell>
          <cell r="GL439">
            <v>0</v>
          </cell>
          <cell r="GN439">
            <v>0</v>
          </cell>
          <cell r="GP439">
            <v>0</v>
          </cell>
          <cell r="GT439">
            <v>0</v>
          </cell>
          <cell r="GV439">
            <v>0</v>
          </cell>
        </row>
        <row r="440">
          <cell r="DO440" t="str">
            <v>FY2</v>
          </cell>
          <cell r="DS440">
            <v>0</v>
          </cell>
          <cell r="EG440">
            <v>0</v>
          </cell>
          <cell r="EI440">
            <v>0</v>
          </cell>
          <cell r="EK440">
            <v>0</v>
          </cell>
          <cell r="EM440">
            <v>0</v>
          </cell>
          <cell r="EO440">
            <v>0</v>
          </cell>
          <cell r="EQ440">
            <v>0</v>
          </cell>
          <cell r="ET440">
            <v>0</v>
          </cell>
          <cell r="FJ440">
            <v>0</v>
          </cell>
          <cell r="GF440">
            <v>0</v>
          </cell>
          <cell r="GL440">
            <v>0</v>
          </cell>
          <cell r="GN440">
            <v>0</v>
          </cell>
          <cell r="GP440">
            <v>0</v>
          </cell>
          <cell r="GT440">
            <v>0</v>
          </cell>
          <cell r="GV440">
            <v>0</v>
          </cell>
        </row>
        <row r="443">
          <cell r="GC443" t="e">
            <v>#REF!</v>
          </cell>
        </row>
        <row r="444">
          <cell r="EB444" t="str">
            <v xml:space="preserve">     Mean:</v>
          </cell>
          <cell r="EE444" t="e">
            <v>#NAME?</v>
          </cell>
          <cell r="EI444">
            <v>0.1915497635160954</v>
          </cell>
          <cell r="EM444">
            <v>0.12712975123817355</v>
          </cell>
          <cell r="EQ444">
            <v>0.11122394258303042</v>
          </cell>
          <cell r="GC444" t="str">
            <v xml:space="preserve">     Mean:</v>
          </cell>
          <cell r="GF444">
            <v>2.5288033017708722</v>
          </cell>
          <cell r="GH444">
            <v>31.1430021978022</v>
          </cell>
          <cell r="GJ444">
            <v>33.520105661567577</v>
          </cell>
          <cell r="GL444">
            <v>13.370836014056181</v>
          </cell>
          <cell r="GN444">
            <v>19.592257930626708</v>
          </cell>
          <cell r="GP444">
            <v>23.198833206785324</v>
          </cell>
          <cell r="GT444">
            <v>50.004043200836819</v>
          </cell>
          <cell r="GX444">
            <v>17.411510088041027</v>
          </cell>
          <cell r="HA444" t="e">
            <v>#DIV/0!</v>
          </cell>
          <cell r="HB444" t="str">
            <v>x</v>
          </cell>
          <cell r="HD444" t="e">
            <v>#DIV/0!</v>
          </cell>
          <cell r="HE444" t="str">
            <v>x</v>
          </cell>
          <cell r="HG444">
            <v>3.1400966183574877</v>
          </cell>
          <cell r="HH444" t="str">
            <v>x</v>
          </cell>
          <cell r="HJ444" t="e">
            <v>#NAME?</v>
          </cell>
          <cell r="HK444" t="str">
            <v>x</v>
          </cell>
        </row>
        <row r="445">
          <cell r="EI445">
            <v>0.1793369246819686</v>
          </cell>
          <cell r="EM445">
            <v>0.1113925968682605</v>
          </cell>
          <cell r="EQ445">
            <v>8.4946572875220394E-2</v>
          </cell>
          <cell r="GF445">
            <v>2.4143857401020652</v>
          </cell>
          <cell r="GH445">
            <v>40.334843164764571</v>
          </cell>
          <cell r="GJ445">
            <v>40.334843164764571</v>
          </cell>
          <cell r="GL445">
            <v>14.157308576532316</v>
          </cell>
          <cell r="GN445">
            <v>22.315296560191499</v>
          </cell>
          <cell r="GP445">
            <v>38.208451356653256</v>
          </cell>
          <cell r="GT445">
            <v>39.491256841986583</v>
          </cell>
          <cell r="GV445">
            <v>37.837155225447425</v>
          </cell>
          <cell r="GX445">
            <v>15.175152026061177</v>
          </cell>
          <cell r="HA445">
            <v>39.491256841986583</v>
          </cell>
        </row>
        <row r="446">
          <cell r="EI446">
            <v>0.18122349313328118</v>
          </cell>
          <cell r="EM446">
            <v>0.10914468695761398</v>
          </cell>
          <cell r="EQ446">
            <v>8.6860427522968478E-2</v>
          </cell>
          <cell r="GF446">
            <v>2.0941163843801132</v>
          </cell>
          <cell r="GH446">
            <v>37.93884017098739</v>
          </cell>
          <cell r="GJ446">
            <v>37.93884017098739</v>
          </cell>
          <cell r="GL446">
            <v>12.620594903545173</v>
          </cell>
          <cell r="GN446">
            <v>20.238091588732289</v>
          </cell>
          <cell r="GP446">
            <v>32.481686892512045</v>
          </cell>
          <cell r="GT446">
            <v>33.513152868491581</v>
          </cell>
          <cell r="GV446">
            <v>28.478108074585521</v>
          </cell>
          <cell r="GX446">
            <v>13.63061922434818</v>
          </cell>
          <cell r="HD446">
            <v>33.513152868491581</v>
          </cell>
        </row>
        <row r="447">
          <cell r="EI447">
            <v>0.20976266952177017</v>
          </cell>
          <cell r="EM447">
            <v>0.11298172062170933</v>
          </cell>
          <cell r="EQ447" t="e">
            <v>#REF!</v>
          </cell>
          <cell r="GF447" t="e">
            <v>#REF!</v>
          </cell>
          <cell r="GL447">
            <v>12.689947992998077</v>
          </cell>
          <cell r="GN447" t="e">
            <v>#REF!</v>
          </cell>
          <cell r="GP447" t="e">
            <v>#REF!</v>
          </cell>
          <cell r="GT447">
            <v>32.864994228264955</v>
          </cell>
          <cell r="GV447">
            <v>30.242429546647998</v>
          </cell>
          <cell r="GX447" t="e">
            <v>#REF!</v>
          </cell>
        </row>
        <row r="449">
          <cell r="EE449" t="e">
            <v>#NAME?</v>
          </cell>
          <cell r="EI449" t="e">
            <v>#NAME?</v>
          </cell>
          <cell r="EM449" t="e">
            <v>#NAME?</v>
          </cell>
          <cell r="EO449" t="str">
            <v xml:space="preserve">     Median:</v>
          </cell>
          <cell r="EQ449" t="e">
            <v>#NAME?</v>
          </cell>
          <cell r="GC449" t="str">
            <v xml:space="preserve">     Median:</v>
          </cell>
          <cell r="GF449" t="e">
            <v>#NAME?</v>
          </cell>
          <cell r="GL449" t="e">
            <v>#NAME?</v>
          </cell>
          <cell r="GN449" t="e">
            <v>#NAME?</v>
          </cell>
          <cell r="GP449" t="e">
            <v>#NAME?</v>
          </cell>
          <cell r="GT449" t="e">
            <v>#NAME?</v>
          </cell>
          <cell r="GV449" t="e">
            <v>#NAME?</v>
          </cell>
          <cell r="HA449" t="e">
            <v>#NAME?</v>
          </cell>
          <cell r="HD449" t="e">
            <v>#NAME?</v>
          </cell>
          <cell r="HG449" t="e">
            <v>#NAME?</v>
          </cell>
          <cell r="HJ449" t="e">
            <v>#NAME?</v>
          </cell>
        </row>
        <row r="450">
          <cell r="EI450" t="e">
            <v>#NAME?</v>
          </cell>
          <cell r="EM450" t="e">
            <v>#NAME?</v>
          </cell>
          <cell r="EQ450" t="e">
            <v>#NAME?</v>
          </cell>
          <cell r="GF450" t="e">
            <v>#NAME?</v>
          </cell>
          <cell r="GL450" t="e">
            <v>#NAME?</v>
          </cell>
          <cell r="GN450" t="e">
            <v>#NAME?</v>
          </cell>
          <cell r="GP450" t="e">
            <v>#NAME?</v>
          </cell>
          <cell r="GT450" t="e">
            <v>#NAME?</v>
          </cell>
          <cell r="GV450" t="e">
            <v>#NAME?</v>
          </cell>
        </row>
        <row r="451">
          <cell r="EI451" t="e">
            <v>#NAME?</v>
          </cell>
          <cell r="EM451" t="e">
            <v>#NAME?</v>
          </cell>
          <cell r="EQ451" t="e">
            <v>#NAME?</v>
          </cell>
          <cell r="GF451" t="e">
            <v>#NAME?</v>
          </cell>
          <cell r="GL451" t="e">
            <v>#NAME?</v>
          </cell>
          <cell r="GN451" t="e">
            <v>#NAME?</v>
          </cell>
          <cell r="GP451" t="e">
            <v>#NAME?</v>
          </cell>
          <cell r="GT451" t="e">
            <v>#NAME?</v>
          </cell>
          <cell r="GV451" t="e">
            <v>#NAME?</v>
          </cell>
        </row>
        <row r="453">
          <cell r="EE453" t="e">
            <v>#NAME?</v>
          </cell>
          <cell r="EI453" t="e">
            <v>#NAME?</v>
          </cell>
          <cell r="EM453" t="e">
            <v>#NAME?</v>
          </cell>
          <cell r="EO453" t="str">
            <v xml:space="preserve">     High:</v>
          </cell>
          <cell r="EQ453" t="e">
            <v>#NAME?</v>
          </cell>
          <cell r="GC453" t="str">
            <v xml:space="preserve">     High:</v>
          </cell>
          <cell r="GF453" t="e">
            <v>#NAME?</v>
          </cell>
          <cell r="GL453" t="e">
            <v>#NAME?</v>
          </cell>
          <cell r="GN453" t="e">
            <v>#NAME?</v>
          </cell>
          <cell r="GP453" t="e">
            <v>#NAME?</v>
          </cell>
          <cell r="GT453" t="e">
            <v>#NAME?</v>
          </cell>
          <cell r="GV453" t="e">
            <v>#NAME?</v>
          </cell>
          <cell r="HA453" t="e">
            <v>#NAME?</v>
          </cell>
          <cell r="HD453" t="e">
            <v>#NAME?</v>
          </cell>
          <cell r="HG453" t="e">
            <v>#NAME?</v>
          </cell>
          <cell r="HJ453" t="e">
            <v>#NAME?</v>
          </cell>
        </row>
        <row r="455">
          <cell r="EE455" t="e">
            <v>#NAME?</v>
          </cell>
          <cell r="EI455" t="e">
            <v>#NAME?</v>
          </cell>
          <cell r="EM455" t="e">
            <v>#NAME?</v>
          </cell>
          <cell r="EO455" t="str">
            <v xml:space="preserve">     Low:</v>
          </cell>
          <cell r="EQ455" t="e">
            <v>#NAME?</v>
          </cell>
          <cell r="GC455" t="str">
            <v xml:space="preserve">     Low:</v>
          </cell>
          <cell r="GF455" t="e">
            <v>#NAME?</v>
          </cell>
          <cell r="GL455" t="e">
            <v>#NAME?</v>
          </cell>
          <cell r="GN455" t="e">
            <v>#NAME?</v>
          </cell>
          <cell r="GP455" t="e">
            <v>#NAME?</v>
          </cell>
          <cell r="GT455" t="e">
            <v>#NAME?</v>
          </cell>
          <cell r="GV455" t="e">
            <v>#NAME?</v>
          </cell>
          <cell r="HA455" t="e">
            <v>#NAME?</v>
          </cell>
          <cell r="HD455" t="e">
            <v>#NAME?</v>
          </cell>
          <cell r="HG455" t="e">
            <v>#NAME?</v>
          </cell>
          <cell r="HJ455" t="e">
            <v>#NAME?</v>
          </cell>
        </row>
        <row r="459">
          <cell r="GA459" t="str">
            <v>JCDecaux</v>
          </cell>
          <cell r="GM459" t="str">
            <v>Derived from</v>
          </cell>
        </row>
        <row r="460">
          <cell r="GA460" t="str">
            <v>Implied Firm Value</v>
          </cell>
          <cell r="GM460" t="str">
            <v>multiples of:</v>
          </cell>
          <cell r="HA460" t="str">
            <v>FY1</v>
          </cell>
          <cell r="HD460" t="str">
            <v>FY2</v>
          </cell>
          <cell r="HG460" t="str">
            <v>Book</v>
          </cell>
          <cell r="HJ460" t="str">
            <v>Net Inc.</v>
          </cell>
        </row>
        <row r="461">
          <cell r="GF461" t="str">
            <v>Rev.</v>
          </cell>
          <cell r="GH461" t="str">
            <v>EBITDA - Capex</v>
          </cell>
          <cell r="GJ461" t="str">
            <v>FCF</v>
          </cell>
          <cell r="GL461" t="str">
            <v>EBITDA</v>
          </cell>
          <cell r="GN461" t="str">
            <v>EBITA</v>
          </cell>
          <cell r="GP461" t="str">
            <v>EBIT</v>
          </cell>
          <cell r="HA461" t="str">
            <v>EPS</v>
          </cell>
          <cell r="HD461" t="str">
            <v>EPS</v>
          </cell>
          <cell r="HG461" t="str">
            <v>Value</v>
          </cell>
          <cell r="HJ461" t="str">
            <v>+ DA</v>
          </cell>
        </row>
        <row r="463">
          <cell r="DK463" t="str">
            <v>JCDecaux</v>
          </cell>
          <cell r="DM463">
            <v>0</v>
          </cell>
          <cell r="DN463" t="str">
            <v>FRF</v>
          </cell>
          <cell r="DO463">
            <v>36160</v>
          </cell>
          <cell r="DQ463">
            <v>0</v>
          </cell>
          <cell r="DS463">
            <v>7056</v>
          </cell>
          <cell r="DU463">
            <v>843</v>
          </cell>
          <cell r="DW463">
            <v>0.11947278911564625</v>
          </cell>
          <cell r="DY463">
            <v>432</v>
          </cell>
          <cell r="EA463">
            <v>6.1224489795918366E-2</v>
          </cell>
          <cell r="EC463">
            <v>0</v>
          </cell>
          <cell r="EE463">
            <v>0</v>
          </cell>
          <cell r="EG463">
            <v>1894</v>
          </cell>
          <cell r="EI463">
            <v>0.26842403628117911</v>
          </cell>
          <cell r="EK463">
            <v>1185.9000000000001</v>
          </cell>
          <cell r="EM463">
            <v>0.16806972789115648</v>
          </cell>
          <cell r="EO463">
            <v>1162.9000000000001</v>
          </cell>
          <cell r="EQ463">
            <v>0.16481009070294786</v>
          </cell>
          <cell r="ET463">
            <v>758.9362900000001</v>
          </cell>
          <cell r="FB463">
            <v>0</v>
          </cell>
          <cell r="FD463">
            <v>0</v>
          </cell>
          <cell r="FF463">
            <v>2528</v>
          </cell>
          <cell r="GE463" t="str">
            <v>LTM</v>
          </cell>
          <cell r="GF463">
            <v>17843.236097295274</v>
          </cell>
          <cell r="GH463">
            <v>26253.550852747256</v>
          </cell>
          <cell r="GJ463">
            <v>14480.685645797194</v>
          </cell>
          <cell r="GL463">
            <v>25324.363410622405</v>
          </cell>
          <cell r="GN463">
            <v>23234.458679930216</v>
          </cell>
          <cell r="GP463">
            <v>26977.923136170655</v>
          </cell>
          <cell r="HA463" t="e">
            <v>#DIV/0!</v>
          </cell>
          <cell r="HD463" t="e">
            <v>#DIV/0!</v>
          </cell>
          <cell r="HG463">
            <v>7938.1642512077287</v>
          </cell>
          <cell r="HJ463" t="e">
            <v>#DIV/0!</v>
          </cell>
        </row>
        <row r="464">
          <cell r="FL464">
            <v>0</v>
          </cell>
          <cell r="FN464">
            <v>0</v>
          </cell>
        </row>
        <row r="465">
          <cell r="DL465">
            <v>0</v>
          </cell>
          <cell r="FL465">
            <v>0</v>
          </cell>
          <cell r="FN465">
            <v>0</v>
          </cell>
        </row>
        <row r="466">
          <cell r="DK466" t="str">
            <v xml:space="preserve"> -  Pro forma financials</v>
          </cell>
          <cell r="FL466">
            <v>0</v>
          </cell>
          <cell r="FN466">
            <v>0</v>
          </cell>
        </row>
        <row r="467">
          <cell r="DO467" t="str">
            <v>FY1</v>
          </cell>
          <cell r="DS467">
            <v>7714</v>
          </cell>
          <cell r="DU467">
            <v>906.17324448301497</v>
          </cell>
          <cell r="DW467">
            <v>0.11747125284975564</v>
          </cell>
          <cell r="DY467">
            <v>867.17324448301497</v>
          </cell>
          <cell r="EA467">
            <v>0.11241551004446655</v>
          </cell>
          <cell r="EG467">
            <v>2031.415</v>
          </cell>
          <cell r="EI467">
            <v>0.26334132745657246</v>
          </cell>
          <cell r="EK467">
            <v>1203.237067939499</v>
          </cell>
          <cell r="EM467">
            <v>0.15598095254595526</v>
          </cell>
          <cell r="EO467">
            <v>1056.237067939499</v>
          </cell>
          <cell r="EQ467">
            <v>0.13692469120294257</v>
          </cell>
          <cell r="ET467">
            <v>471.00223330401769</v>
          </cell>
          <cell r="FF467">
            <v>2905.135500826229</v>
          </cell>
          <cell r="FH467">
            <v>0</v>
          </cell>
          <cell r="GE467" t="str">
            <v>FY1</v>
          </cell>
          <cell r="GF467">
            <v>18624.57159914733</v>
          </cell>
          <cell r="GH467">
            <v>36550.355696328268</v>
          </cell>
          <cell r="GJ467">
            <v>34977.296812902452</v>
          </cell>
          <cell r="GL467">
            <v>28759.369001996394</v>
          </cell>
          <cell r="GN467">
            <v>26850.592003285205</v>
          </cell>
          <cell r="GP467">
            <v>40357.182631460404</v>
          </cell>
          <cell r="HA467">
            <v>0</v>
          </cell>
        </row>
        <row r="468">
          <cell r="DO468" t="str">
            <v>FY2</v>
          </cell>
          <cell r="DS468">
            <v>8695</v>
          </cell>
          <cell r="DU468">
            <v>1641.2567281348788</v>
          </cell>
          <cell r="DW468">
            <v>0.18875868063655882</v>
          </cell>
          <cell r="DY468">
            <v>1574.2567281348788</v>
          </cell>
          <cell r="EA468">
            <v>0.18105310271821493</v>
          </cell>
          <cell r="EG468">
            <v>2592.415</v>
          </cell>
          <cell r="EI468">
            <v>0.29815008625646922</v>
          </cell>
          <cell r="EK468">
            <v>1715.2690437163919</v>
          </cell>
          <cell r="EM468">
            <v>0.197270735332535</v>
          </cell>
          <cell r="EO468">
            <v>1457.2690437163919</v>
          </cell>
          <cell r="EQ468">
            <v>0.16759850991562875</v>
          </cell>
          <cell r="ET468">
            <v>621.53240208059606</v>
          </cell>
          <cell r="FF468">
            <v>3337.4983764826657</v>
          </cell>
          <cell r="FJ468">
            <v>0</v>
          </cell>
          <cell r="GE468" t="str">
            <v>FY2</v>
          </cell>
          <cell r="GF468">
            <v>18208.341962185084</v>
          </cell>
          <cell r="GH468">
            <v>62267.376688266871</v>
          </cell>
          <cell r="GJ468">
            <v>59725.474396810714</v>
          </cell>
          <cell r="GL468">
            <v>32717.81953687406</v>
          </cell>
          <cell r="GN468">
            <v>34713.772006049585</v>
          </cell>
          <cell r="GP468">
            <v>47334.556796146288</v>
          </cell>
          <cell r="HD468">
            <v>0</v>
          </cell>
        </row>
        <row r="469">
          <cell r="DO469" t="str">
            <v>FY3</v>
          </cell>
          <cell r="DS469">
            <v>9543.7000000000007</v>
          </cell>
          <cell r="EG469">
            <v>3053.9155000000001</v>
          </cell>
          <cell r="EI469">
            <v>0.31999282249022915</v>
          </cell>
          <cell r="EK469">
            <v>1883.9997532181274</v>
          </cell>
          <cell r="EM469">
            <v>0.19740768813124127</v>
          </cell>
          <cell r="EO469">
            <v>1736.9997532181274</v>
          </cell>
          <cell r="EQ469">
            <v>0.18200485694417545</v>
          </cell>
          <cell r="ET469">
            <v>879.0676753320173</v>
          </cell>
          <cell r="GE469" t="str">
            <v>FY3</v>
          </cell>
          <cell r="GF469" t="e">
            <v>#REF!</v>
          </cell>
          <cell r="GL469">
            <v>38754.028870010719</v>
          </cell>
          <cell r="GN469" t="e">
            <v>#REF!</v>
          </cell>
          <cell r="GP469" t="e">
            <v>#REF!</v>
          </cell>
        </row>
        <row r="473">
          <cell r="GA473" t="str">
            <v>JCDecaux</v>
          </cell>
          <cell r="GP473" t="str">
            <v>Derived from</v>
          </cell>
        </row>
        <row r="474">
          <cell r="GA474" t="str">
            <v>Implied Equity Value</v>
          </cell>
          <cell r="GP474" t="str">
            <v>multiple of:</v>
          </cell>
          <cell r="HA474" t="str">
            <v>FY1</v>
          </cell>
          <cell r="HD474" t="str">
            <v>FY2</v>
          </cell>
          <cell r="HG474" t="str">
            <v>Book</v>
          </cell>
          <cell r="HJ474" t="str">
            <v>Net Inc.</v>
          </cell>
        </row>
        <row r="475">
          <cell r="GF475" t="str">
            <v>Rev.</v>
          </cell>
          <cell r="GH475" t="str">
            <v>EBITDA - Capex</v>
          </cell>
          <cell r="GJ475" t="str">
            <v>FCF</v>
          </cell>
          <cell r="GL475" t="str">
            <v>EBITDA</v>
          </cell>
          <cell r="GN475" t="str">
            <v>EBITA</v>
          </cell>
          <cell r="GP475" t="str">
            <v>EBIT</v>
          </cell>
          <cell r="GT475" t="str">
            <v>EPS</v>
          </cell>
          <cell r="GV475" t="str">
            <v>Consensus EPS</v>
          </cell>
          <cell r="HA475" t="str">
            <v>EPS</v>
          </cell>
          <cell r="HD475" t="str">
            <v>EPS</v>
          </cell>
          <cell r="HG475" t="str">
            <v>Value</v>
          </cell>
          <cell r="HJ475" t="str">
            <v>+ DA</v>
          </cell>
        </row>
        <row r="477">
          <cell r="FW477" t="e">
            <v>#DIV/0!</v>
          </cell>
          <cell r="FY477" t="e">
            <v>#DIV/0!</v>
          </cell>
          <cell r="GE477" t="str">
            <v>LTM</v>
          </cell>
          <cell r="GF477">
            <v>12081.207097295273</v>
          </cell>
          <cell r="GH477">
            <v>20491.521852747253</v>
          </cell>
          <cell r="GJ477">
            <v>8718.6566457971931</v>
          </cell>
          <cell r="GL477">
            <v>19562.334410622403</v>
          </cell>
          <cell r="GN477">
            <v>17472.429679930217</v>
          </cell>
          <cell r="GP477">
            <v>21215.894136170653</v>
          </cell>
          <cell r="GT477">
            <v>37949.883031842823</v>
          </cell>
          <cell r="HA477">
            <v>0</v>
          </cell>
          <cell r="HD477">
            <v>0</v>
          </cell>
          <cell r="HG477">
            <v>0</v>
          </cell>
          <cell r="HJ477" t="e">
            <v>#DIV/0!</v>
          </cell>
        </row>
        <row r="478">
          <cell r="GE478" t="str">
            <v>LTM</v>
          </cell>
        </row>
        <row r="481">
          <cell r="GE481" t="str">
            <v>FY1</v>
          </cell>
          <cell r="GF481">
            <v>12862.542599147329</v>
          </cell>
          <cell r="GH481">
            <v>30788.326696328266</v>
          </cell>
          <cell r="GJ481">
            <v>29215.26781290245</v>
          </cell>
          <cell r="GL481">
            <v>22997.340001996396</v>
          </cell>
          <cell r="GN481">
            <v>21088.563003285206</v>
          </cell>
          <cell r="GP481">
            <v>34595.153631460402</v>
          </cell>
          <cell r="GT481">
            <v>18600.470168558251</v>
          </cell>
          <cell r="GV481">
            <v>17821.384613056522</v>
          </cell>
          <cell r="HA481">
            <v>0</v>
          </cell>
        </row>
        <row r="482">
          <cell r="GE482" t="str">
            <v>FY2</v>
          </cell>
          <cell r="GF482">
            <v>12446.312962185084</v>
          </cell>
          <cell r="GH482">
            <v>56505.347688266869</v>
          </cell>
          <cell r="GJ482">
            <v>53963.445396810712</v>
          </cell>
          <cell r="GL482">
            <v>26955.790536874061</v>
          </cell>
          <cell r="GN482">
            <v>28951.743006049583</v>
          </cell>
          <cell r="GP482">
            <v>41572.527796146285</v>
          </cell>
          <cell r="GT482">
            <v>20829.51040364779</v>
          </cell>
          <cell r="GV482">
            <v>17700.066918307955</v>
          </cell>
          <cell r="HD482">
            <v>0</v>
          </cell>
        </row>
        <row r="483">
          <cell r="GE483" t="str">
            <v>FY3</v>
          </cell>
          <cell r="GF483" t="e">
            <v>#REF!</v>
          </cell>
          <cell r="GK483">
            <v>-5762.0290000000005</v>
          </cell>
          <cell r="GL483">
            <v>32991.999870010717</v>
          </cell>
          <cell r="GN483" t="e">
            <v>#REF!</v>
          </cell>
          <cell r="GP483" t="e">
            <v>#REF!</v>
          </cell>
          <cell r="GT483">
            <v>28890.55407604104</v>
          </cell>
          <cell r="GV483">
            <v>26585.14223796417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/>
      <sheetData sheetId="18" refreshError="1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x Liability"/>
      <sheetName val="stockholm projections CY"/>
      <sheetName val="stockholm summary CY"/>
      <sheetName val="london projections"/>
      <sheetName val="#REF"/>
      <sheetName val="Endeca"/>
      <sheetName val="use"/>
      <sheetName val="WACC"/>
      <sheetName val="sheet1"/>
      <sheetName val="Model"/>
      <sheetName val="Scenario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3">
          <cell r="AN3">
            <v>6607837.398000001</v>
          </cell>
        </row>
        <row r="5">
          <cell r="AC5">
            <v>17467200.748801529</v>
          </cell>
          <cell r="AD5">
            <v>16538223.72638947</v>
          </cell>
          <cell r="AE5">
            <v>15998771.060468353</v>
          </cell>
          <cell r="AH5">
            <v>18411546.388869178</v>
          </cell>
          <cell r="AI5">
            <v>21472514.890533656</v>
          </cell>
          <cell r="AJ5">
            <v>19667105.774523679</v>
          </cell>
          <cell r="AN5">
            <v>10833751.919799998</v>
          </cell>
        </row>
        <row r="19">
          <cell r="AC19">
            <v>16851439.4608</v>
          </cell>
          <cell r="AD19">
            <v>16773543.598599769</v>
          </cell>
          <cell r="AH19">
            <v>17010495.4069</v>
          </cell>
          <cell r="AI19">
            <v>16979677.680999998</v>
          </cell>
          <cell r="AJ19">
            <v>17551022.737900004</v>
          </cell>
        </row>
        <row r="21">
          <cell r="AF21">
            <v>-12116301.326714821</v>
          </cell>
          <cell r="AK21">
            <v>-12860966.836170871</v>
          </cell>
        </row>
        <row r="23">
          <cell r="AK23">
            <v>-19309999.516999997</v>
          </cell>
        </row>
        <row r="25">
          <cell r="AF25">
            <v>13041591.886337167</v>
          </cell>
          <cell r="AK25">
            <v>13200632.340703404</v>
          </cell>
        </row>
        <row r="33">
          <cell r="AF33">
            <v>-1687421.920101115</v>
          </cell>
          <cell r="AK33">
            <v>-2558285.0717867725</v>
          </cell>
        </row>
        <row r="34">
          <cell r="AF34">
            <v>-26973646.809367992</v>
          </cell>
          <cell r="AK34">
            <v>-27140408.952251997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5">
          <cell r="AM5">
            <v>19348066.647501849</v>
          </cell>
          <cell r="AN5">
            <v>21858421.473217171</v>
          </cell>
          <cell r="AO5">
            <v>19348066.647501849</v>
          </cell>
        </row>
        <row r="19">
          <cell r="AM19">
            <v>17857569.9333</v>
          </cell>
          <cell r="AN19">
            <v>19027730.302499998</v>
          </cell>
          <cell r="AO19">
            <v>18851151.648699991</v>
          </cell>
        </row>
        <row r="21">
          <cell r="AP21">
            <v>-13578303.945009951</v>
          </cell>
        </row>
        <row r="23">
          <cell r="AP23">
            <v>-19224345.062962599</v>
          </cell>
        </row>
        <row r="25">
          <cell r="AP25">
            <v>14111254.091965348</v>
          </cell>
        </row>
        <row r="33">
          <cell r="AP33">
            <v>-2463465.644046111</v>
          </cell>
        </row>
        <row r="34">
          <cell r="AP34">
            <v>-27515822.878867999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5">
          <cell r="AU5">
            <v>16127929</v>
          </cell>
          <cell r="AV5">
            <v>18700643</v>
          </cell>
          <cell r="AW5">
            <v>19527019</v>
          </cell>
        </row>
        <row r="17">
          <cell r="AU17">
            <v>14030138.386843938</v>
          </cell>
          <cell r="AV17">
            <v>13471702.056201862</v>
          </cell>
          <cell r="AW17">
            <v>13646112.278338009</v>
          </cell>
        </row>
        <row r="21">
          <cell r="AX21">
            <v>-13846598.813289631</v>
          </cell>
        </row>
        <row r="23">
          <cell r="AX23">
            <v>-20596771.963976424</v>
          </cell>
        </row>
        <row r="25">
          <cell r="AX25">
            <v>14588499.163116179</v>
          </cell>
        </row>
        <row r="33">
          <cell r="AX33">
            <v>-2020482</v>
          </cell>
        </row>
        <row r="34">
          <cell r="AX34">
            <v>-27140408.952251997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5">
          <cell r="AZ5">
            <v>16336669.773786213</v>
          </cell>
          <cell r="BA5">
            <v>16579645.133774078</v>
          </cell>
          <cell r="BB5">
            <v>16441023.224048685</v>
          </cell>
        </row>
        <row r="15">
          <cell r="AZ15">
            <v>15653092.917432422</v>
          </cell>
        </row>
        <row r="17">
          <cell r="BA17">
            <v>15818791.441183381</v>
          </cell>
          <cell r="BB17">
            <v>15854124.972563403</v>
          </cell>
        </row>
        <row r="21">
          <cell r="BC21">
            <v>-15245166.445415344</v>
          </cell>
        </row>
        <row r="23">
          <cell r="BC23">
            <v>-21602024.256853297</v>
          </cell>
        </row>
        <row r="25">
          <cell r="BC25">
            <v>12023733.311420828</v>
          </cell>
        </row>
        <row r="34">
          <cell r="BC34">
            <v>-32595167.795511022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5">
          <cell r="BE5">
            <v>16474599.680168953</v>
          </cell>
          <cell r="BF5">
            <v>16507895.399791453</v>
          </cell>
          <cell r="BG5">
            <v>16569441.46813526</v>
          </cell>
        </row>
        <row r="17">
          <cell r="BE17">
            <v>15907697.754532725</v>
          </cell>
          <cell r="BF17">
            <v>15960612.887143813</v>
          </cell>
          <cell r="BG17">
            <v>16040824.055644097</v>
          </cell>
        </row>
        <row r="23">
          <cell r="BH23">
            <v>-21602024.256853297</v>
          </cell>
        </row>
        <row r="25">
          <cell r="BH25">
            <v>14251263.410579408</v>
          </cell>
        </row>
        <row r="34">
          <cell r="BH34">
            <v>-33133509.220326208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5">
          <cell r="BJ5">
            <v>16774852.136814788</v>
          </cell>
          <cell r="BK5">
            <v>16877659.535242729</v>
          </cell>
          <cell r="BL5">
            <v>16934498.195301499</v>
          </cell>
        </row>
        <row r="17">
          <cell r="BJ17">
            <v>16181272.104839772</v>
          </cell>
          <cell r="BK17">
            <v>16290873.621011149</v>
          </cell>
          <cell r="BL17">
            <v>15576535.079810474</v>
          </cell>
        </row>
        <row r="23">
          <cell r="BM23">
            <v>-21658222.460714988</v>
          </cell>
        </row>
        <row r="25">
          <cell r="BM25">
            <v>17537212.096138615</v>
          </cell>
        </row>
        <row r="34">
          <cell r="BM34">
            <v>-31820825.224590845</v>
          </cell>
        </row>
      </sheetData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5">
          <cell r="BO5">
            <v>14648176.829548884</v>
          </cell>
          <cell r="BP5">
            <v>16237988.808650997</v>
          </cell>
          <cell r="BQ5">
            <v>21597736.066414796</v>
          </cell>
        </row>
        <row r="17">
          <cell r="BO17">
            <v>16058207.585184818</v>
          </cell>
          <cell r="BP17">
            <v>16581164.078853985</v>
          </cell>
          <cell r="BQ17">
            <v>16682672.822034987</v>
          </cell>
        </row>
        <row r="21">
          <cell r="BR21">
            <v>-14352617.534166973</v>
          </cell>
        </row>
        <row r="23">
          <cell r="BR23">
            <v>-22597637.539789923</v>
          </cell>
        </row>
        <row r="25">
          <cell r="BR25">
            <v>18852058.655925781</v>
          </cell>
        </row>
        <row r="33">
          <cell r="BR33">
            <v>-4217024.3834999995</v>
          </cell>
        </row>
        <row r="34">
          <cell r="BR34">
            <v>-28336459.869999997</v>
          </cell>
        </row>
      </sheetData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"/>
      <sheetName val="Balance Sheet"/>
      <sheetName val="Cashflow Statement"/>
      <sheetName val="Cashflow Recon"/>
      <sheetName val="EV"/>
      <sheetName val="VIF and VNB"/>
      <sheetName val="Cell Margin"/>
      <sheetName val="Cell TB"/>
    </sheetNames>
    <sheetDataSet>
      <sheetData sheetId="0">
        <row r="16">
          <cell r="H16">
            <v>3363.7390635000002</v>
          </cell>
          <cell r="J16">
            <v>3316.0064044999999</v>
          </cell>
          <cell r="L16">
            <v>5473.4956100000009</v>
          </cell>
        </row>
        <row r="45">
          <cell r="C45">
            <v>15.006659999999684</v>
          </cell>
        </row>
        <row r="48">
          <cell r="H48">
            <v>-5159.4265300000006</v>
          </cell>
          <cell r="J48">
            <v>-6235.8956999999973</v>
          </cell>
          <cell r="L48">
            <v>-4999.1190300000026</v>
          </cell>
        </row>
        <row r="65">
          <cell r="C65">
            <v>-110.62178000000003</v>
          </cell>
        </row>
        <row r="66">
          <cell r="C66">
            <v>-1030.01394</v>
          </cell>
        </row>
        <row r="68">
          <cell r="C68">
            <v>-729.93272999999999</v>
          </cell>
        </row>
        <row r="77">
          <cell r="I77">
            <v>3365.9339524019742</v>
          </cell>
          <cell r="K77">
            <v>4405.9716490027495</v>
          </cell>
          <cell r="M77">
            <v>5037.881504214718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ancial By Branch"/>
      <sheetName val="AllLife IS vs Budget EV"/>
      <sheetName val="EV budget"/>
      <sheetName val="SA RESULTS - DETAILED F2023"/>
      <sheetName val="GRP RESULTS"/>
      <sheetName val="Cost analysis"/>
      <sheetName val="VAT calc"/>
      <sheetName val="ALL Life TB - Clean"/>
      <sheetName val="GAP v2"/>
      <sheetName val="Activity indicators"/>
      <sheetName val="VIF and VNB"/>
      <sheetName val="Balance sheet"/>
      <sheetName val="New debt covenants"/>
      <sheetName val="Balance sheet notes"/>
      <sheetName val="Cell TB - Consolidated"/>
      <sheetName val="Cell accounts"/>
      <sheetName val="ALL Life TB - Raw"/>
      <sheetName val="Income statement"/>
      <sheetName val="Financial Soundness calc"/>
      <sheetName val="Lookups"/>
    </sheetNames>
    <sheetDataSet>
      <sheetData sheetId="0" refreshError="1"/>
      <sheetData sheetId="1" refreshError="1"/>
      <sheetData sheetId="2">
        <row r="13">
          <cell r="H13">
            <v>12488584.856019773</v>
          </cell>
        </row>
      </sheetData>
      <sheetData sheetId="3" refreshError="1"/>
      <sheetData sheetId="4" refreshError="1"/>
      <sheetData sheetId="5" refreshError="1"/>
      <sheetData sheetId="6" refreshError="1"/>
      <sheetData sheetId="7">
        <row r="14">
          <cell r="F14">
            <v>595349.5087441369</v>
          </cell>
        </row>
      </sheetData>
      <sheetData sheetId="8" refreshError="1"/>
      <sheetData sheetId="9" refreshError="1"/>
      <sheetData sheetId="10">
        <row r="39">
          <cell r="H39">
            <v>41968</v>
          </cell>
          <cell r="I39">
            <v>42093</v>
          </cell>
        </row>
        <row r="68">
          <cell r="H68">
            <v>315</v>
          </cell>
          <cell r="I68">
            <v>232</v>
          </cell>
        </row>
        <row r="69">
          <cell r="H69">
            <v>172045</v>
          </cell>
          <cell r="I69">
            <v>163356</v>
          </cell>
        </row>
        <row r="73">
          <cell r="H73">
            <v>150</v>
          </cell>
          <cell r="I73">
            <v>136</v>
          </cell>
        </row>
        <row r="74">
          <cell r="H74">
            <v>99970</v>
          </cell>
          <cell r="I74">
            <v>114550</v>
          </cell>
        </row>
      </sheetData>
      <sheetData sheetId="11" refreshError="1"/>
      <sheetData sheetId="12" refreshError="1"/>
      <sheetData sheetId="13" refreshError="1"/>
      <sheetData sheetId="14" refreshError="1"/>
      <sheetData sheetId="15" refreshError="1"/>
      <sheetData sheetId="16">
        <row r="4">
          <cell r="I4">
            <v>10420544.3507</v>
          </cell>
        </row>
        <row r="10">
          <cell r="I10">
            <v>-3176381.4769000001</v>
          </cell>
          <cell r="J10">
            <v>-3058321.0106000002</v>
          </cell>
          <cell r="K10">
            <v>-2747157.3626000001</v>
          </cell>
        </row>
        <row r="11">
          <cell r="I11">
            <v>-4512383.3952000001</v>
          </cell>
          <cell r="J11">
            <v>-4487605.9040999897</v>
          </cell>
          <cell r="K11">
            <v>-4330020.9577000001</v>
          </cell>
        </row>
      </sheetData>
      <sheetData sheetId="17" refreshError="1"/>
      <sheetData sheetId="18" refreshError="1"/>
      <sheetData sheetId="19" refreshError="1"/>
      <sheetData sheetId="2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VIF @ POS May month"/>
    </sheetNames>
    <sheetDataSet>
      <sheetData sheetId="0">
        <row r="16">
          <cell r="R16">
            <v>53301821.54439877</v>
          </cell>
        </row>
        <row r="19">
          <cell r="U19">
            <v>210</v>
          </cell>
        </row>
        <row r="20">
          <cell r="U20">
            <v>15</v>
          </cell>
        </row>
        <row r="21">
          <cell r="U21">
            <v>111</v>
          </cell>
        </row>
        <row r="49">
          <cell r="F49">
            <v>121510</v>
          </cell>
        </row>
        <row r="50">
          <cell r="F50">
            <v>4230</v>
          </cell>
        </row>
        <row r="51">
          <cell r="F51">
            <v>105545</v>
          </cell>
        </row>
      </sheetData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ctions"/>
      <sheetName val="Financial By Branch"/>
      <sheetName val="AllLife IS vs Budget EV"/>
      <sheetName val="EV budget"/>
      <sheetName val="SA RESULTS - DETAILED F2023"/>
      <sheetName val="GRP RESULTS"/>
      <sheetName val="Cost analysis"/>
      <sheetName val="VAT calc"/>
      <sheetName val="ALL Life TB - Clean"/>
      <sheetName val="GAP v2"/>
      <sheetName val="Activity indicators"/>
      <sheetName val="VIF and VNB"/>
      <sheetName val="Balance sheet"/>
      <sheetName val="Balance sheet notes"/>
      <sheetName val="New debt covenants"/>
      <sheetName val="Cell accounts"/>
      <sheetName val="Cell TB - Consolidated"/>
      <sheetName val="ALL Life TB - Raw"/>
      <sheetName val="Sheet1"/>
      <sheetName val="Income statement"/>
      <sheetName val="Financial Soundness calc"/>
      <sheetName val="Lookups"/>
    </sheetNames>
    <sheetDataSet>
      <sheetData sheetId="0"/>
      <sheetData sheetId="1"/>
      <sheetData sheetId="2">
        <row r="13">
          <cell r="K13">
            <v>12525519.69710388</v>
          </cell>
        </row>
      </sheetData>
      <sheetData sheetId="3"/>
      <sheetData sheetId="4"/>
      <sheetData sheetId="5"/>
      <sheetData sheetId="6"/>
      <sheetData sheetId="7"/>
      <sheetData sheetId="8"/>
      <sheetData sheetId="9"/>
      <sheetData sheetId="10">
        <row r="39">
          <cell r="K39">
            <v>44145</v>
          </cell>
        </row>
        <row r="68">
          <cell r="K68">
            <v>351</v>
          </cell>
        </row>
        <row r="69">
          <cell r="K69">
            <v>209409.82456961498</v>
          </cell>
        </row>
        <row r="73">
          <cell r="K73">
            <v>151</v>
          </cell>
        </row>
        <row r="74">
          <cell r="K74">
            <v>120489.5748817678</v>
          </cell>
        </row>
      </sheetData>
      <sheetData sheetId="11">
        <row r="43">
          <cell r="I43">
            <v>13858.73727292924</v>
          </cell>
        </row>
      </sheetData>
      <sheetData sheetId="12"/>
      <sheetData sheetId="13"/>
      <sheetData sheetId="14"/>
      <sheetData sheetId="15">
        <row r="4">
          <cell r="L4">
            <v>10834373.755899999</v>
          </cell>
        </row>
      </sheetData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come statement"/>
    </sheetNames>
    <sheetDataSet>
      <sheetData sheetId="0">
        <row r="25">
          <cell r="H25">
            <v>-4291.5690224999998</v>
          </cell>
          <cell r="I25">
            <v>-4633.5678024999997</v>
          </cell>
        </row>
      </sheetData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Budgeted Inc Statement"/>
      <sheetName val="EV Income Statement"/>
      <sheetName val="Model changes"/>
      <sheetName val="EV Income Statement 2"/>
      <sheetName val="Recon to AFS"/>
      <sheetName val="EV Income Statement 2021"/>
      <sheetName val="EV IS Recon 2019_2020"/>
      <sheetName val="Fixed vs Variable Costs"/>
      <sheetName val="IFRS Income Statement"/>
      <sheetName val="VIF movement recon"/>
      <sheetName val="Balance Sheet"/>
      <sheetName val="Cash Flow"/>
      <sheetName val="Cashflow Per Month"/>
      <sheetName val="VIF Build"/>
      <sheetName val="Deficit Account"/>
      <sheetName val="Comparision"/>
      <sheetName val="Return on EV"/>
      <sheetName val="Cash Forecast2019 Nov.Dec Updat"/>
      <sheetName val="Expense analysis"/>
      <sheetName val="Expense slide"/>
      <sheetName val="Output slide"/>
      <sheetName val="Business Metrics"/>
      <sheetName val="Revenue Split"/>
      <sheetName val="Assumption changes"/>
      <sheetName val="Graph"/>
      <sheetName val="Advertising"/>
      <sheetName val="INPUTS"/>
      <sheetName val="VIF POS vs Advertising"/>
      <sheetName val="Cash Scenarios Covid"/>
      <sheetName val="Opco Summary"/>
      <sheetName val="Option 1"/>
      <sheetName val="Omart GP"/>
      <sheetName val="Projected Rundown 31.12.2019"/>
      <sheetName val="Option 1 Fixed 100%"/>
      <sheetName val="Tranche repayt"/>
      <sheetName val="Debt amort"/>
      <sheetName val="Capex and amort"/>
      <sheetName val="Cash balance check"/>
      <sheetName val="Costs checks"/>
      <sheetName val="Rundown Base"/>
      <sheetName val="Rundown +25%"/>
      <sheetName val="2020 forecast"/>
      <sheetName val="Option 4"/>
      <sheetName val="Cash forecast Mgt Acc Format"/>
      <sheetName val="CASH FORECAST"/>
      <sheetName val="EXISTING BOOK"/>
      <sheetName val="STEPHS FORECAST"/>
      <sheetName val="Summary Stephs Forecast"/>
      <sheetName val="Sheet1"/>
      <sheetName val="Revised Medium"/>
      <sheetName val="SALES FORECAST"/>
      <sheetName val="Sales Premium"/>
      <sheetName val="NB_INCEPTIONS"/>
      <sheetName val="Inceptions per product"/>
      <sheetName val="New bus recurring"/>
      <sheetName val="Inceptions Mix"/>
      <sheetName val="AA AD GP"/>
      <sheetName val="AA STL GP"/>
      <sheetName val="HIV GP"/>
      <sheetName val="HIV Kal"/>
      <sheetName val="DIA"/>
      <sheetName val="STL"/>
      <sheetName val="Fun 1"/>
      <sheetName val="Fun 2"/>
      <sheetName val="STL Re"/>
      <sheetName val="STL Upsell"/>
      <sheetName val="ADB"/>
      <sheetName val="DIA new"/>
      <sheetName val="PlanB"/>
      <sheetName val="GAP recon"/>
      <sheetName val="GAP repayment"/>
      <sheetName val="Deficit acc balances"/>
      <sheetName val="NB Volumn Run Down"/>
      <sheetName val="HIV vol"/>
      <sheetName val="DIA vol"/>
      <sheetName val="STL vol"/>
      <sheetName val="HIV Kal vol"/>
      <sheetName val="Fun1 vol"/>
      <sheetName val="Fun2 vol"/>
      <sheetName val="STL Re vol"/>
      <sheetName val="AD vol"/>
      <sheetName val="DIA new vol"/>
      <sheetName val="PlanB vol"/>
      <sheetName val="Volume AA AD"/>
      <sheetName val="Volume AA STL"/>
      <sheetName val="Lapse curve"/>
      <sheetName val="Maintenance recon"/>
      <sheetName val="Maintenance Income"/>
      <sheetName val="Deficit Repayment "/>
      <sheetName val="NB Gross Premium Run Down"/>
      <sheetName val="Missed Premium"/>
      <sheetName val="Lapse Curve Analysis"/>
      <sheetName val="Gen-re Recon"/>
      <sheetName val="Actual.Projected repayments"/>
      <sheetName val="VIF sale"/>
      <sheetName val="NB Deficit Account"/>
      <sheetName val="Jan-May deficit acc"/>
      <sheetName val="Additional Fin Re"/>
      <sheetName val="VIF sold check"/>
      <sheetName val="STL cohort FinRe"/>
      <sheetName val="NB_VIF"/>
      <sheetName val="VIF CALC"/>
      <sheetName val="VIF Decrement"/>
      <sheetName val="VIF recon"/>
      <sheetName val="DEBT"/>
      <sheetName val="DEBT HAIRCUT"/>
      <sheetName val="VIF recon Jul 21"/>
      <sheetName val="GRP_COST"/>
      <sheetName val="INT_REC"/>
      <sheetName val="COST_CALC"/>
      <sheetName val="DATA"/>
      <sheetName val="Tables and 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1">
          <cell r="BM11">
            <v>-542.73395473079938</v>
          </cell>
          <cell r="BN11">
            <v>-586.52904149813003</v>
          </cell>
          <cell r="BO11">
            <v>-618.52354116040658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onthly Budgeted Inc Statement"/>
      <sheetName val="EV Income Statement"/>
      <sheetName val="Model changes"/>
      <sheetName val="EV Income Statement 2"/>
      <sheetName val="Recon to AFS"/>
      <sheetName val="EV Income Statement 2021"/>
      <sheetName val="EV IS Recon 2019_2020"/>
      <sheetName val="Fixed vs Variable Costs"/>
      <sheetName val="IFRS Income Statement"/>
      <sheetName val="VIF movement recon"/>
      <sheetName val="Balance Sheet"/>
      <sheetName val="Cash Flow"/>
      <sheetName val="Cashflow Per Month"/>
      <sheetName val="VIF Build"/>
      <sheetName val="Deficit Account"/>
      <sheetName val="Comparision"/>
      <sheetName val="Return on EV"/>
      <sheetName val="Cash Forecast2019 Nov.Dec Updat"/>
      <sheetName val="Expense analysis"/>
      <sheetName val="Expense slide"/>
      <sheetName val="Output slide"/>
      <sheetName val="Business Metrics"/>
      <sheetName val="Revenue Split"/>
      <sheetName val="Assumption changes"/>
      <sheetName val="Graph"/>
      <sheetName val="Advertising"/>
      <sheetName val="INPUTS"/>
      <sheetName val="VIF POS vs Advertising"/>
      <sheetName val="Cash Scenarios Covid"/>
      <sheetName val="Opco Summary"/>
      <sheetName val="Option 1"/>
      <sheetName val="Omart GP"/>
      <sheetName val="Projected Rundown 31.12.2019"/>
      <sheetName val="Option 1 Fixed 100%"/>
      <sheetName val="Tranche repayt"/>
      <sheetName val="Debt amort"/>
      <sheetName val="Capex and amort"/>
      <sheetName val="Cash balance check"/>
      <sheetName val="Costs checks"/>
      <sheetName val="Rundown Base"/>
      <sheetName val="Rundown +25%"/>
      <sheetName val="2020 forecast"/>
      <sheetName val="Option 4"/>
      <sheetName val="Cash forecast Mgt Acc Format"/>
      <sheetName val="CASH FORECAST"/>
      <sheetName val="EXISTING BOOK"/>
      <sheetName val="STEPHS FORECAST"/>
      <sheetName val="Summary Stephs Forecast"/>
      <sheetName val="Sheet1"/>
      <sheetName val="Revised Medium"/>
      <sheetName val="SALES FORECAST"/>
      <sheetName val="Sales Premium"/>
      <sheetName val="NB_INCEPTIONS"/>
      <sheetName val="Inceptions per product"/>
      <sheetName val="New bus recurring"/>
      <sheetName val="Inceptions Mix"/>
      <sheetName val="AA AD GP"/>
      <sheetName val="AA STL GP"/>
      <sheetName val="HIV GP"/>
      <sheetName val="HIV Kal"/>
      <sheetName val="DIA"/>
      <sheetName val="STL"/>
      <sheetName val="Fun 1"/>
      <sheetName val="Fun 2"/>
      <sheetName val="STL Re"/>
      <sheetName val="STL Upsell"/>
      <sheetName val="ADB"/>
      <sheetName val="DIA new"/>
      <sheetName val="PlanB"/>
      <sheetName val="GAP recon"/>
      <sheetName val="GAP repayment"/>
      <sheetName val="Deficit acc balances"/>
      <sheetName val="NB Volumn Run Down"/>
      <sheetName val="HIV vol"/>
      <sheetName val="DIA vol"/>
      <sheetName val="STL vol"/>
      <sheetName val="HIV Kal vol"/>
      <sheetName val="Fun1 vol"/>
      <sheetName val="Fun2 vol"/>
      <sheetName val="STL Re vol"/>
      <sheetName val="AD vol"/>
      <sheetName val="DIA new vol"/>
      <sheetName val="PlanB vol"/>
      <sheetName val="Volume AA AD"/>
      <sheetName val="Volume AA STL"/>
      <sheetName val="Lapse curve"/>
      <sheetName val="Maintenance recon"/>
      <sheetName val="Maintenance Income"/>
      <sheetName val="Deficit Repayment "/>
      <sheetName val="NB Gross Premium Run Down"/>
      <sheetName val="Missed Premium"/>
      <sheetName val="Lapse Curve Analysis"/>
      <sheetName val="Gen-re Recon"/>
      <sheetName val="Actual.Projected repayments"/>
      <sheetName val="VIF sale"/>
      <sheetName val="NB Deficit Account"/>
      <sheetName val="Jan-May deficit acc"/>
      <sheetName val="Additional Fin Re"/>
      <sheetName val="VIF sold check"/>
      <sheetName val="STL cohort FinRe"/>
      <sheetName val="NB_VIF"/>
      <sheetName val="VIF CALC"/>
      <sheetName val="VIF Decrement"/>
      <sheetName val="VIF recon"/>
      <sheetName val="DEBT"/>
      <sheetName val="DEBT HAIRCUT"/>
      <sheetName val="VIF recon Jul 21"/>
      <sheetName val="GRP_COST"/>
      <sheetName val="INT_REC"/>
      <sheetName val="COST_CALC"/>
      <sheetName val="DATA"/>
      <sheetName val="Tables and Variable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>
        <row r="11">
          <cell r="BP11">
            <v>-623.71485030681367</v>
          </cell>
          <cell r="BQ11">
            <v>-623.71485030681367</v>
          </cell>
          <cell r="BR11">
            <v>-623.71485030681367</v>
          </cell>
          <cell r="BS11">
            <v>-623.71485030681367</v>
          </cell>
          <cell r="BT11">
            <v>-626.25931752688382</v>
          </cell>
        </row>
      </sheetData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bitda"/>
    </sheetNames>
    <sheetDataSet>
      <sheetData sheetId="0">
        <row r="5">
          <cell r="BT5">
            <v>15926622.63817931</v>
          </cell>
          <cell r="BU5">
            <v>15888089.035851911</v>
          </cell>
          <cell r="BV5">
            <v>15728154.322764974</v>
          </cell>
        </row>
        <row r="15">
          <cell r="BT15">
            <v>16748072.310172074</v>
          </cell>
          <cell r="BU15">
            <v>16748072.310172074</v>
          </cell>
          <cell r="BV15">
            <v>16748072.310172074</v>
          </cell>
        </row>
        <row r="25">
          <cell r="BW25">
            <v>18072154.349682804</v>
          </cell>
        </row>
        <row r="33">
          <cell r="BW33">
            <v>-4323075.1428749999</v>
          </cell>
        </row>
        <row r="34">
          <cell r="BW34">
            <v>30316</v>
          </cell>
        </row>
      </sheetData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haleen Baweja" id="{67650C6B-2163-4FEA-836E-D1D1D1AAD4A6}" userId="ffb4c39540ca672a" providerId="Windows Live"/>
</personList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AA33" dT="2019-05-29T10:28:47.27" personId="{67650C6B-2163-4FEA-836E-D1D1D1AAD4A6}" id="{1D8C1F8D-31C7-4FAA-ADC8-5792FA2790E4}">
    <text>Source: X-rates.com</text>
  </threadedComment>
  <threadedComment ref="AB33" dT="2019-05-29T10:28:47.27" personId="{67650C6B-2163-4FEA-836E-D1D1D1AAD4A6}" id="{E52EAE28-150B-4863-94AD-9C96D9CF05EB}">
    <text>Source: X-rates.com</text>
  </threadedComment>
  <threadedComment ref="AC33" dT="2019-05-29T10:28:47.27" personId="{67650C6B-2163-4FEA-836E-D1D1D1AAD4A6}" id="{CE784D5D-67F6-4D7B-A503-640DC06D9339}">
    <text>Source: X-rates.com</text>
  </threadedComment>
  <threadedComment ref="AD33" dT="2019-05-29T10:28:47.27" personId="{67650C6B-2163-4FEA-836E-D1D1D1AAD4A6}" id="{55C7329F-6628-4335-8D07-9586F5205C4C}">
    <text>Source: X-rates.com</text>
  </threadedComment>
  <threadedComment ref="AE33" dT="2019-05-29T10:28:47.27" personId="{67650C6B-2163-4FEA-836E-D1D1D1AAD4A6}" id="{C615385F-C027-464D-A26F-09882D82C714}">
    <text>Source: X-rates.com</text>
  </threadedComment>
  <threadedComment ref="AF33" dT="2019-05-29T10:28:47.27" personId="{67650C6B-2163-4FEA-836E-D1D1D1AAD4A6}" id="{EF52BC42-6E36-4BDD-917D-FAB68E9B338B}">
    <text>Source: X-rates.com</text>
  </threadedComment>
  <threadedComment ref="E94" dT="2019-03-26T07:31:41.70" personId="{67650C6B-2163-4FEA-836E-D1D1D1AAD4A6}" id="{DDE56F27-B92B-46C8-8904-6752E4B2F0CE}">
    <text>South Africa HHM (UN website)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W46"/>
  <sheetViews>
    <sheetView showGridLines="0" zoomScale="90" zoomScaleNormal="90" workbookViewId="0">
      <pane xSplit="3" ySplit="3" topLeftCell="Z4" activePane="bottomRight" state="frozen"/>
      <selection pane="topRight" activeCell="D1" sqref="D1"/>
      <selection pane="bottomLeft" activeCell="A4" sqref="A4"/>
      <selection pane="bottomRight" activeCell="K32" sqref="K32"/>
    </sheetView>
  </sheetViews>
  <sheetFormatPr defaultColWidth="8.81640625" defaultRowHeight="14.5" outlineLevelCol="1" x14ac:dyDescent="0.35"/>
  <cols>
    <col min="1" max="1" width="4.54296875" style="100" customWidth="1"/>
    <col min="2" max="2" width="41.81640625" style="97" bestFit="1" customWidth="1"/>
    <col min="3" max="3" width="3.1796875" style="100" customWidth="1"/>
    <col min="4" max="5" width="8.81640625" style="100" hidden="1" customWidth="1" outlineLevel="1"/>
    <col min="6" max="6" width="9.1796875" style="100" hidden="1" customWidth="1" collapsed="1"/>
    <col min="7" max="7" width="8.90625" style="100" hidden="1" customWidth="1"/>
    <col min="8" max="10" width="10" style="100" hidden="1" customWidth="1"/>
    <col min="11" max="11" width="10" style="100" customWidth="1"/>
    <col min="12" max="15" width="8.81640625" style="100" hidden="1" customWidth="1" outlineLevel="1"/>
    <col min="16" max="16" width="3.81640625" style="100" customWidth="1" collapsed="1"/>
    <col min="17" max="20" width="8.81640625" style="100" hidden="1" customWidth="1" outlineLevel="1"/>
    <col min="21" max="21" width="3.81640625" style="100" customWidth="1" collapsed="1"/>
    <col min="22" max="25" width="8.81640625" style="100" hidden="1" customWidth="1" outlineLevel="1"/>
    <col min="26" max="26" width="3.81640625" style="100" customWidth="1" collapsed="1"/>
    <col min="27" max="27" width="9.1796875" style="100" hidden="1" customWidth="1" outlineLevel="1"/>
    <col min="28" max="30" width="7.90625" style="100" hidden="1" customWidth="1" outlineLevel="1"/>
    <col min="31" max="31" width="7.90625" style="100" customWidth="1" collapsed="1"/>
    <col min="32" max="33" width="5.453125" style="100" hidden="1" customWidth="1" outlineLevel="1"/>
    <col min="34" max="34" width="7.90625" style="100" hidden="1" customWidth="1" outlineLevel="1"/>
    <col min="35" max="35" width="3.90625" style="100" hidden="1" customWidth="1" outlineLevel="1"/>
    <col min="36" max="36" width="7.90625" style="100" customWidth="1" collapsed="1"/>
    <col min="37" max="40" width="7.90625" style="100" hidden="1" customWidth="1" outlineLevel="1"/>
    <col min="41" max="41" width="7.90625" style="100" customWidth="1" outlineLevel="1"/>
    <col min="42" max="46" width="7.90625" style="100" hidden="1" customWidth="1" outlineLevel="1"/>
    <col min="47" max="49" width="7.90625" style="100" customWidth="1" outlineLevel="1"/>
    <col min="50" max="51" width="7.90625" style="100" customWidth="1"/>
    <col min="52" max="52" width="11.1796875" style="100" hidden="1" customWidth="1" outlineLevel="1"/>
    <col min="53" max="61" width="8.81640625" style="100" hidden="1" customWidth="1" outlineLevel="1"/>
    <col min="62" max="62" width="7" style="100" hidden="1" customWidth="1" outlineLevel="1"/>
    <col min="63" max="63" width="4.90625" style="100" hidden="1" customWidth="1" outlineLevel="1"/>
    <col min="64" max="64" width="3.1796875" style="100" hidden="1" customWidth="1" collapsed="1"/>
    <col min="65" max="76" width="8.81640625" style="100" hidden="1" customWidth="1" outlineLevel="1"/>
    <col min="77" max="77" width="3.1796875" style="100" hidden="1" customWidth="1" collapsed="1"/>
    <col min="78" max="78" width="12" style="100" hidden="1" customWidth="1" outlineLevel="1"/>
    <col min="79" max="80" width="8.81640625" style="100" hidden="1" customWidth="1" outlineLevel="1"/>
    <col min="81" max="81" width="9.6328125" style="100" hidden="1" customWidth="1" outlineLevel="1"/>
    <col min="82" max="82" width="8.81640625" style="100" hidden="1" customWidth="1" outlineLevel="1"/>
    <col min="83" max="83" width="9.81640625" style="100" hidden="1" customWidth="1" outlineLevel="1"/>
    <col min="84" max="84" width="8.6328125" style="100" hidden="1" customWidth="1" outlineLevel="1"/>
    <col min="85" max="89" width="8.81640625" style="100" hidden="1" customWidth="1" outlineLevel="1"/>
    <col min="90" max="90" width="5.08984375" style="100" hidden="1" customWidth="1" collapsed="1"/>
    <col min="91" max="102" width="8.90625" style="100" hidden="1" customWidth="1" outlineLevel="1"/>
    <col min="103" max="103" width="8.81640625" style="100" hidden="1" customWidth="1" collapsed="1"/>
    <col min="104" max="115" width="8.81640625" style="100" hidden="1" customWidth="1" outlineLevel="1"/>
    <col min="116" max="116" width="8.81640625" style="100" hidden="1" customWidth="1" collapsed="1"/>
    <col min="117" max="119" width="8.81640625" style="100" hidden="1" customWidth="1"/>
    <col min="120" max="120" width="11.36328125" style="100" hidden="1" customWidth="1"/>
    <col min="121" max="121" width="8.81640625" style="100" hidden="1" customWidth="1"/>
    <col min="122" max="123" width="9.36328125" style="100" hidden="1" customWidth="1"/>
    <col min="124" max="124" width="12.54296875" style="100" hidden="1" customWidth="1"/>
    <col min="125" max="125" width="11.1796875" style="100" hidden="1" customWidth="1"/>
    <col min="126" max="126" width="12.54296875" style="100" hidden="1" customWidth="1"/>
    <col min="127" max="132" width="9.36328125" style="100" hidden="1" customWidth="1"/>
    <col min="133" max="133" width="8.81640625" style="100" hidden="1" customWidth="1"/>
    <col min="134" max="134" width="10.08984375" style="100" hidden="1" customWidth="1"/>
    <col min="135" max="136" width="8.81640625" style="100" hidden="1" customWidth="1"/>
    <col min="137" max="137" width="11.90625" style="100" hidden="1" customWidth="1"/>
    <col min="138" max="140" width="9.36328125" style="100" hidden="1" customWidth="1"/>
    <col min="141" max="142" width="8.81640625" style="100" hidden="1" customWidth="1"/>
    <col min="143" max="145" width="9.36328125" style="100" hidden="1" customWidth="1"/>
    <col min="146" max="146" width="8.81640625" style="100" hidden="1" customWidth="1"/>
    <col min="147" max="147" width="8.81640625" style="100"/>
    <col min="148" max="150" width="9.1796875" style="100" bestFit="1" customWidth="1"/>
    <col min="151" max="151" width="9.36328125" style="100" bestFit="1" customWidth="1"/>
    <col min="152" max="16384" width="8.81640625" style="100"/>
  </cols>
  <sheetData>
    <row r="1" spans="1:153" ht="18" x14ac:dyDescent="0.4">
      <c r="A1" s="99" t="s">
        <v>44</v>
      </c>
    </row>
    <row r="2" spans="1:153" ht="18" x14ac:dyDescent="0.4">
      <c r="B2" s="101"/>
      <c r="C2" s="99"/>
      <c r="I2" s="118" t="s">
        <v>91</v>
      </c>
      <c r="J2" s="118" t="s">
        <v>91</v>
      </c>
      <c r="K2" s="118" t="s">
        <v>91</v>
      </c>
      <c r="AL2" s="118" t="s">
        <v>91</v>
      </c>
      <c r="AM2" s="118" t="s">
        <v>91</v>
      </c>
      <c r="AN2" s="118" t="s">
        <v>91</v>
      </c>
      <c r="AO2" s="124"/>
      <c r="AP2" s="118" t="s">
        <v>91</v>
      </c>
      <c r="AQ2" s="118" t="s">
        <v>91</v>
      </c>
      <c r="AR2" s="118" t="s">
        <v>91</v>
      </c>
      <c r="AS2" s="118" t="s">
        <v>91</v>
      </c>
      <c r="AT2" s="124"/>
      <c r="AU2" s="124"/>
      <c r="AV2" s="124"/>
      <c r="AW2" s="124"/>
      <c r="DQ2" s="118" t="s">
        <v>91</v>
      </c>
      <c r="DR2" s="118" t="s">
        <v>91</v>
      </c>
      <c r="DT2" s="118" t="s">
        <v>91</v>
      </c>
      <c r="DU2" s="118" t="s">
        <v>91</v>
      </c>
      <c r="DW2" s="118" t="s">
        <v>91</v>
      </c>
      <c r="DX2" s="118" t="s">
        <v>91</v>
      </c>
      <c r="DY2" s="124"/>
      <c r="DZ2" s="118"/>
      <c r="EA2" s="124"/>
      <c r="EB2" s="124"/>
      <c r="ED2" s="118" t="s">
        <v>91</v>
      </c>
      <c r="EE2" s="118" t="s">
        <v>91</v>
      </c>
      <c r="EF2" s="118" t="s">
        <v>91</v>
      </c>
      <c r="EG2" s="118" t="s">
        <v>91</v>
      </c>
      <c r="EH2" s="118" t="s">
        <v>91</v>
      </c>
      <c r="EI2" s="118" t="s">
        <v>91</v>
      </c>
      <c r="EJ2" s="118" t="s">
        <v>91</v>
      </c>
      <c r="EK2" s="118" t="s">
        <v>91</v>
      </c>
      <c r="EL2" s="118" t="s">
        <v>91</v>
      </c>
      <c r="EM2" s="118" t="s">
        <v>91</v>
      </c>
      <c r="EN2" s="118" t="s">
        <v>91</v>
      </c>
      <c r="EO2" s="118" t="s">
        <v>91</v>
      </c>
      <c r="ER2" s="118" t="s">
        <v>91</v>
      </c>
      <c r="ES2" s="118" t="s">
        <v>91</v>
      </c>
      <c r="ET2" s="118" t="s">
        <v>91</v>
      </c>
      <c r="EU2" s="118" t="s">
        <v>91</v>
      </c>
      <c r="EV2" s="118" t="s">
        <v>91</v>
      </c>
      <c r="EW2" s="118" t="s">
        <v>91</v>
      </c>
    </row>
    <row r="3" spans="1:153" s="97" customFormat="1" ht="13" x14ac:dyDescent="0.3">
      <c r="B3" s="102" t="s">
        <v>3</v>
      </c>
      <c r="C3" s="103"/>
      <c r="D3" s="92">
        <v>2018</v>
      </c>
      <c r="E3" s="92">
        <v>2019</v>
      </c>
      <c r="F3" s="92">
        <v>2020</v>
      </c>
      <c r="G3" s="92">
        <v>2021</v>
      </c>
      <c r="H3" s="92">
        <v>2022</v>
      </c>
      <c r="I3" s="92">
        <v>2023</v>
      </c>
      <c r="J3" s="92">
        <v>2024</v>
      </c>
      <c r="K3" s="92">
        <v>2025</v>
      </c>
      <c r="L3" s="104" t="s">
        <v>46</v>
      </c>
      <c r="M3" s="104" t="s">
        <v>47</v>
      </c>
      <c r="N3" s="104" t="s">
        <v>13</v>
      </c>
      <c r="O3" s="104" t="s">
        <v>6</v>
      </c>
      <c r="P3" s="105"/>
      <c r="Q3" s="104" t="s">
        <v>1</v>
      </c>
      <c r="R3" s="104" t="s">
        <v>31</v>
      </c>
      <c r="S3" s="104" t="s">
        <v>34</v>
      </c>
      <c r="T3" s="104" t="s">
        <v>48</v>
      </c>
      <c r="U3" s="105"/>
      <c r="V3" s="104" t="s">
        <v>73</v>
      </c>
      <c r="W3" s="104" t="s">
        <v>74</v>
      </c>
      <c r="X3" s="104" t="s">
        <v>75</v>
      </c>
      <c r="Y3" s="104" t="s">
        <v>76</v>
      </c>
      <c r="Z3" s="105"/>
      <c r="AA3" s="104" t="s">
        <v>79</v>
      </c>
      <c r="AB3" s="104" t="s">
        <v>80</v>
      </c>
      <c r="AC3" s="104" t="s">
        <v>81</v>
      </c>
      <c r="AD3" s="104" t="s">
        <v>82</v>
      </c>
      <c r="AE3" s="104"/>
      <c r="AF3" s="104" t="s">
        <v>83</v>
      </c>
      <c r="AG3" s="104" t="s">
        <v>84</v>
      </c>
      <c r="AH3" s="104" t="s">
        <v>85</v>
      </c>
      <c r="AI3" s="104" t="s">
        <v>86</v>
      </c>
      <c r="AJ3" s="104"/>
      <c r="AK3" s="104" t="s">
        <v>87</v>
      </c>
      <c r="AL3" s="104" t="s">
        <v>88</v>
      </c>
      <c r="AM3" s="104" t="s">
        <v>89</v>
      </c>
      <c r="AN3" s="104" t="s">
        <v>90</v>
      </c>
      <c r="AO3" s="104"/>
      <c r="AP3" s="104" t="s">
        <v>92</v>
      </c>
      <c r="AQ3" s="104" t="s">
        <v>93</v>
      </c>
      <c r="AR3" s="104" t="s">
        <v>94</v>
      </c>
      <c r="AS3" s="104" t="s">
        <v>95</v>
      </c>
      <c r="AT3" s="104"/>
      <c r="AU3" s="104" t="s">
        <v>96</v>
      </c>
      <c r="AV3" s="104" t="s">
        <v>97</v>
      </c>
      <c r="AW3" s="104" t="s">
        <v>98</v>
      </c>
      <c r="AX3" s="104" t="s">
        <v>99</v>
      </c>
      <c r="AY3" s="104"/>
      <c r="AZ3" s="98">
        <v>43101</v>
      </c>
      <c r="BA3" s="98">
        <v>43132</v>
      </c>
      <c r="BB3" s="98">
        <v>43160</v>
      </c>
      <c r="BC3" s="98">
        <v>43191</v>
      </c>
      <c r="BD3" s="98">
        <v>43221</v>
      </c>
      <c r="BE3" s="98">
        <v>43252</v>
      </c>
      <c r="BF3" s="98">
        <v>43282</v>
      </c>
      <c r="BG3" s="98">
        <v>43313</v>
      </c>
      <c r="BH3" s="98">
        <v>43344</v>
      </c>
      <c r="BI3" s="98">
        <v>43374</v>
      </c>
      <c r="BJ3" s="98">
        <v>43405</v>
      </c>
      <c r="BK3" s="98">
        <v>43435</v>
      </c>
      <c r="BL3" s="106"/>
      <c r="BM3" s="98">
        <v>43466</v>
      </c>
      <c r="BN3" s="98">
        <v>43497</v>
      </c>
      <c r="BO3" s="98">
        <v>43525</v>
      </c>
      <c r="BP3" s="98">
        <v>43556</v>
      </c>
      <c r="BQ3" s="98">
        <v>43586</v>
      </c>
      <c r="BR3" s="98">
        <v>43617</v>
      </c>
      <c r="BS3" s="98">
        <v>43647</v>
      </c>
      <c r="BT3" s="98">
        <v>43678</v>
      </c>
      <c r="BU3" s="98">
        <v>43709</v>
      </c>
      <c r="BV3" s="98">
        <v>43739</v>
      </c>
      <c r="BW3" s="98">
        <v>43770</v>
      </c>
      <c r="BX3" s="98">
        <v>43800</v>
      </c>
      <c r="BY3" s="106"/>
      <c r="BZ3" s="98">
        <v>43831</v>
      </c>
      <c r="CA3" s="98">
        <v>43863</v>
      </c>
      <c r="CB3" s="98">
        <v>43895</v>
      </c>
      <c r="CC3" s="98">
        <v>43927</v>
      </c>
      <c r="CD3" s="98">
        <v>43959</v>
      </c>
      <c r="CE3" s="98">
        <v>43991</v>
      </c>
      <c r="CF3" s="98">
        <v>44023</v>
      </c>
      <c r="CG3" s="98">
        <v>44055</v>
      </c>
      <c r="CH3" s="98">
        <v>44087</v>
      </c>
      <c r="CI3" s="98">
        <v>44119</v>
      </c>
      <c r="CJ3" s="98">
        <v>44151</v>
      </c>
      <c r="CK3" s="98">
        <v>44183</v>
      </c>
      <c r="CM3" s="98">
        <v>44197</v>
      </c>
      <c r="CN3" s="98">
        <v>44228</v>
      </c>
      <c r="CO3" s="98">
        <v>44256</v>
      </c>
      <c r="CP3" s="98">
        <v>44287</v>
      </c>
      <c r="CQ3" s="98">
        <v>44317</v>
      </c>
      <c r="CR3" s="98">
        <v>44348</v>
      </c>
      <c r="CS3" s="98">
        <v>44378</v>
      </c>
      <c r="CT3" s="98">
        <v>44409</v>
      </c>
      <c r="CU3" s="98">
        <v>44440</v>
      </c>
      <c r="CV3" s="98">
        <v>44470</v>
      </c>
      <c r="CW3" s="98">
        <v>44501</v>
      </c>
      <c r="CX3" s="98">
        <v>44531</v>
      </c>
      <c r="CZ3" s="98">
        <v>44562</v>
      </c>
      <c r="DA3" s="98">
        <v>44593</v>
      </c>
      <c r="DB3" s="98">
        <v>44621</v>
      </c>
      <c r="DC3" s="98">
        <v>44652</v>
      </c>
      <c r="DD3" s="98">
        <v>44682</v>
      </c>
      <c r="DE3" s="98">
        <v>44713</v>
      </c>
      <c r="DF3" s="98">
        <v>44743</v>
      </c>
      <c r="DG3" s="98">
        <v>44774</v>
      </c>
      <c r="DH3" s="98">
        <v>44805</v>
      </c>
      <c r="DI3" s="98">
        <v>44835</v>
      </c>
      <c r="DJ3" s="98">
        <v>44866</v>
      </c>
      <c r="DK3" s="98">
        <v>44896</v>
      </c>
      <c r="DM3" s="98">
        <v>44927</v>
      </c>
      <c r="DN3" s="98">
        <v>44958</v>
      </c>
      <c r="DO3" s="98">
        <v>44986</v>
      </c>
      <c r="DP3" s="98">
        <v>45017</v>
      </c>
      <c r="DQ3" s="98">
        <v>45047</v>
      </c>
      <c r="DR3" s="98">
        <v>45078</v>
      </c>
      <c r="DS3" s="98">
        <v>45108</v>
      </c>
      <c r="DT3" s="98">
        <v>45139</v>
      </c>
      <c r="DU3" s="98">
        <v>45170</v>
      </c>
      <c r="DV3" s="98">
        <v>45200</v>
      </c>
      <c r="DW3" s="98">
        <v>45231</v>
      </c>
      <c r="DX3" s="98">
        <v>45261</v>
      </c>
      <c r="DY3" s="106"/>
      <c r="DZ3" s="98"/>
      <c r="EA3" s="106"/>
      <c r="EB3" s="106"/>
      <c r="ED3" s="98">
        <v>45292</v>
      </c>
      <c r="EE3" s="98">
        <v>45323</v>
      </c>
      <c r="EF3" s="98">
        <v>45352</v>
      </c>
      <c r="EG3" s="98">
        <v>45383</v>
      </c>
      <c r="EH3" s="98">
        <v>45413</v>
      </c>
      <c r="EI3" s="98">
        <v>45444</v>
      </c>
      <c r="EJ3" s="98">
        <v>45474</v>
      </c>
      <c r="EK3" s="98">
        <v>45505</v>
      </c>
      <c r="EL3" s="98">
        <v>45536</v>
      </c>
      <c r="EM3" s="98">
        <v>45566</v>
      </c>
      <c r="EN3" s="98">
        <v>45597</v>
      </c>
      <c r="EO3" s="98">
        <v>45627</v>
      </c>
      <c r="ER3" s="98">
        <v>45658</v>
      </c>
      <c r="ES3" s="98">
        <v>45689</v>
      </c>
      <c r="ET3" s="98">
        <v>45717</v>
      </c>
      <c r="EU3" s="98">
        <v>45748</v>
      </c>
      <c r="EV3" s="98">
        <v>45778</v>
      </c>
      <c r="EW3" s="98">
        <v>45809</v>
      </c>
    </row>
    <row r="4" spans="1:153" s="97" customFormat="1" ht="13" x14ac:dyDescent="0.3">
      <c r="B4" s="107" t="s">
        <v>54</v>
      </c>
      <c r="C4" s="108"/>
      <c r="D4" s="96">
        <f>+SUM(AZ4:BK4)</f>
        <v>134869.39964999998</v>
      </c>
      <c r="E4" s="96">
        <f>+SUM(BM4:BX4)</f>
        <v>146663.24105000001</v>
      </c>
      <c r="F4" s="96">
        <f>+SUM(V4:Y4)</f>
        <v>160456.97587999998</v>
      </c>
      <c r="G4" s="96">
        <f>SUM(AA4:AD4)</f>
        <v>185124.63024600002</v>
      </c>
      <c r="H4" s="96">
        <f>SUM(AF4:AI4)</f>
        <v>186565.14098</v>
      </c>
      <c r="I4" s="96">
        <f>SUM(AK4:AN4)</f>
        <v>207679.22008749977</v>
      </c>
      <c r="J4" s="96">
        <f>SUM(AP4:AR4)</f>
        <v>136383.09674988367</v>
      </c>
      <c r="K4" s="96">
        <f>SUM(AU4:AX4)</f>
        <v>99566.261416590016</v>
      </c>
      <c r="L4" s="96">
        <f>+SUM(AZ4:BB4)</f>
        <v>33509.467530000002</v>
      </c>
      <c r="M4" s="96">
        <f>+SUM(BC4:BE4)</f>
        <v>33425.234899999996</v>
      </c>
      <c r="N4" s="96">
        <f>+SUM(BF4:BH4)</f>
        <v>34066.432920000007</v>
      </c>
      <c r="O4" s="96">
        <f>+SUM(BI4:BK4)</f>
        <v>33868.264299999988</v>
      </c>
      <c r="P4" s="96"/>
      <c r="Q4" s="96">
        <f>+SUM(BM4:BO4)</f>
        <v>33357.507619999997</v>
      </c>
      <c r="R4" s="96">
        <f>+SUM(BP4:BR4)</f>
        <v>37922.455349999997</v>
      </c>
      <c r="S4" s="96">
        <f>+SUM(BS4:BU4)</f>
        <v>39427.696870000022</v>
      </c>
      <c r="T4" s="96">
        <f>+SUM(BV4:BX4)</f>
        <v>35955.581210000004</v>
      </c>
      <c r="U4" s="96"/>
      <c r="V4" s="96">
        <f>+SUM(BZ4:CB4)</f>
        <v>40558.574140000004</v>
      </c>
      <c r="W4" s="96">
        <f>SUM(CC4:CE4)</f>
        <v>39979.771460000004</v>
      </c>
      <c r="X4" s="96">
        <f>SUM(CF4:CH4)</f>
        <v>41427.316319999998</v>
      </c>
      <c r="Y4" s="96">
        <f>SUM(CI4:CK4)</f>
        <v>38491.313959999999</v>
      </c>
      <c r="Z4" s="96"/>
      <c r="AA4" s="96">
        <f>SUM(CM4:CO4)</f>
        <v>44413.854179999995</v>
      </c>
      <c r="AB4" s="96">
        <f>SUM(CP4:CR4)</f>
        <v>45894.423699999999</v>
      </c>
      <c r="AC4" s="96">
        <f>SUM(CS4:CU4)</f>
        <v>47614.212855999998</v>
      </c>
      <c r="AD4" s="96">
        <f>SUM(CV4:CX4)</f>
        <v>47202.139510000001</v>
      </c>
      <c r="AE4" s="96"/>
      <c r="AF4" s="96">
        <f>SUM(CZ4:DB4)</f>
        <v>44137.42671</v>
      </c>
      <c r="AG4" s="96">
        <f>SUM(DC4:DE4)</f>
        <v>46840.714269999997</v>
      </c>
      <c r="AH4" s="96">
        <f>SUM(DF4:DH4)</f>
        <v>47806</v>
      </c>
      <c r="AI4" s="96">
        <f>SUM(DI4:DK4)</f>
        <v>47781</v>
      </c>
      <c r="AJ4" s="96"/>
      <c r="AK4" s="96">
        <f>SUM(DM4:DO4)</f>
        <v>49335</v>
      </c>
      <c r="AL4" s="96">
        <f>SUM(DP4:DR4)</f>
        <v>51066.572377199773</v>
      </c>
      <c r="AM4" s="96">
        <f>SUM(DS4:DU4)</f>
        <v>51541.195825799994</v>
      </c>
      <c r="AN4" s="96">
        <f>SUM(DV4:DX4)</f>
        <v>55736.451884499991</v>
      </c>
      <c r="AO4" s="96"/>
      <c r="AP4" s="96">
        <f>SUM(ED4:EF4)</f>
        <v>41147.952721383816</v>
      </c>
      <c r="AQ4" s="96">
        <f>SUM(EG4:EI4)</f>
        <v>47326.009331179208</v>
      </c>
      <c r="AR4" s="96">
        <f>SUM(EJ4:EL4)</f>
        <v>47909.134697320631</v>
      </c>
      <c r="AS4" s="96">
        <f>SUM(EM4:EO4)</f>
        <v>48048.680805661395</v>
      </c>
      <c r="AT4" s="96"/>
      <c r="AU4" s="96">
        <f>SUM(ER4:ET4)</f>
        <v>49322.044486073792</v>
      </c>
      <c r="AV4" s="96">
        <f>SUM(EU4:EW4)</f>
        <v>50244.216930516217</v>
      </c>
      <c r="AW4" s="96"/>
      <c r="AX4" s="96"/>
      <c r="AY4" s="96"/>
      <c r="AZ4" s="96">
        <v>10410.98639</v>
      </c>
      <c r="BA4" s="96">
        <v>11854.896990000003</v>
      </c>
      <c r="BB4" s="96">
        <v>11243.584150000001</v>
      </c>
      <c r="BC4" s="96">
        <v>11497.60627</v>
      </c>
      <c r="BD4" s="96">
        <v>10633.450139999999</v>
      </c>
      <c r="BE4" s="96">
        <v>11294.178490000002</v>
      </c>
      <c r="BF4" s="96">
        <v>11076.425489999996</v>
      </c>
      <c r="BG4" s="96">
        <v>11222.903420000002</v>
      </c>
      <c r="BH4" s="96">
        <v>11767.104010000006</v>
      </c>
      <c r="BI4" s="96">
        <v>11390.247399999993</v>
      </c>
      <c r="BJ4" s="96">
        <v>11381.752459999994</v>
      </c>
      <c r="BK4" s="96">
        <v>11096.264439999999</v>
      </c>
      <c r="BL4" s="96"/>
      <c r="BM4" s="96">
        <v>10265.101790000001</v>
      </c>
      <c r="BN4" s="96">
        <v>11590.802920000002</v>
      </c>
      <c r="BO4" s="96">
        <v>11501.602909999996</v>
      </c>
      <c r="BP4" s="96">
        <v>12315.045319999992</v>
      </c>
      <c r="BQ4" s="96">
        <v>12975.808799999999</v>
      </c>
      <c r="BR4" s="96">
        <v>12631.601230000006</v>
      </c>
      <c r="BS4" s="96">
        <v>12979.747120000016</v>
      </c>
      <c r="BT4" s="96">
        <v>13118.100679999989</v>
      </c>
      <c r="BU4" s="96">
        <v>13329.849070000018</v>
      </c>
      <c r="BV4" s="96">
        <v>11994.410299999985</v>
      </c>
      <c r="BW4" s="96">
        <v>12245.071769999991</v>
      </c>
      <c r="BX4" s="96">
        <v>11716.099140000031</v>
      </c>
      <c r="BY4" s="96"/>
      <c r="BZ4" s="96">
        <v>13490.737080000001</v>
      </c>
      <c r="CA4" s="96">
        <v>13589.184440000001</v>
      </c>
      <c r="CB4" s="96">
        <v>13478.652619999999</v>
      </c>
      <c r="CC4" s="96">
        <v>14030.541229999999</v>
      </c>
      <c r="CD4" s="96">
        <v>13859.77966</v>
      </c>
      <c r="CE4" s="96">
        <v>12089.450570000001</v>
      </c>
      <c r="CF4" s="96">
        <v>14008.05935</v>
      </c>
      <c r="CG4" s="96">
        <v>13522.225369999998</v>
      </c>
      <c r="CH4" s="96">
        <v>13897.031600000002</v>
      </c>
      <c r="CI4" s="96">
        <v>9970.7681400000001</v>
      </c>
      <c r="CJ4" s="96">
        <v>14395.089</v>
      </c>
      <c r="CK4" s="96">
        <v>14125.456819999999</v>
      </c>
      <c r="CM4" s="96">
        <v>14430.6587</v>
      </c>
      <c r="CN4" s="96">
        <v>15369.367579999998</v>
      </c>
      <c r="CO4" s="96">
        <v>14613.8279</v>
      </c>
      <c r="CP4" s="96">
        <v>15173.65502</v>
      </c>
      <c r="CQ4" s="96">
        <v>15042.08166</v>
      </c>
      <c r="CR4" s="96">
        <v>15678.687019999999</v>
      </c>
      <c r="CS4" s="96">
        <v>15966.386377999999</v>
      </c>
      <c r="CT4" s="96">
        <v>16454.974387999999</v>
      </c>
      <c r="CU4" s="96">
        <v>15192.85209</v>
      </c>
      <c r="CV4" s="96">
        <v>16108.345730000001</v>
      </c>
      <c r="CW4" s="96">
        <v>15728.16366</v>
      </c>
      <c r="CX4" s="96">
        <v>15365.63012</v>
      </c>
      <c r="CZ4" s="96">
        <v>14443.278399999999</v>
      </c>
      <c r="DA4" s="96">
        <v>15020.234460000001</v>
      </c>
      <c r="DB4" s="96">
        <v>14673.913849999997</v>
      </c>
      <c r="DC4" s="96">
        <v>15861.641439999999</v>
      </c>
      <c r="DD4" s="96">
        <v>15069.82382</v>
      </c>
      <c r="DE4" s="96">
        <v>15909.249010000001</v>
      </c>
      <c r="DF4" s="96">
        <v>16062</v>
      </c>
      <c r="DG4" s="96">
        <v>15879</v>
      </c>
      <c r="DH4" s="96">
        <v>15865</v>
      </c>
      <c r="DI4" s="96">
        <v>16030</v>
      </c>
      <c r="DJ4" s="96">
        <v>16144</v>
      </c>
      <c r="DK4" s="96">
        <v>15607</v>
      </c>
      <c r="DM4" s="97">
        <v>16726</v>
      </c>
      <c r="DN4" s="97">
        <v>16365</v>
      </c>
      <c r="DO4" s="97">
        <v>16244</v>
      </c>
      <c r="DP4" s="114">
        <f>[4]Ebitda!$AC$19/1000</f>
        <v>16851.4394608</v>
      </c>
      <c r="DQ4" s="114">
        <f>[4]Ebitda!$AD$19/1000</f>
        <v>16773.543598599768</v>
      </c>
      <c r="DR4" s="114">
        <f>([4]Ebitda!$AN$3+[4]Ebitda!$AN$5)/1000</f>
        <v>17441.589317800001</v>
      </c>
      <c r="DS4" s="121">
        <f>[4]Ebitda!$AH$19/1000</f>
        <v>17010.495406900001</v>
      </c>
      <c r="DT4" s="121">
        <f>[4]Ebitda!$AI$19/1000</f>
        <v>16979.677680999997</v>
      </c>
      <c r="DU4" s="121">
        <f>[4]Ebitda!$AJ$19/1000</f>
        <v>17551.022737900003</v>
      </c>
      <c r="DV4" s="121">
        <f>[5]Ebitda!$AM$19/1000</f>
        <v>17857.569933300001</v>
      </c>
      <c r="DW4" s="121">
        <f>[5]Ebitda!$AN$19/1000</f>
        <v>19027.7303025</v>
      </c>
      <c r="DX4" s="121">
        <f>[5]Ebitda!$AO$19/1000</f>
        <v>18851.15164869999</v>
      </c>
      <c r="DY4" s="121"/>
      <c r="DZ4" s="121"/>
      <c r="EA4" s="121"/>
      <c r="EB4" s="121"/>
      <c r="ED4" s="122">
        <f>[6]Ebitda!AU17/1000</f>
        <v>14030.138386843939</v>
      </c>
      <c r="EE4" s="122">
        <f>[6]Ebitda!AV17/1000</f>
        <v>13471.702056201862</v>
      </c>
      <c r="EF4" s="122">
        <f>[6]Ebitda!AW17/1000</f>
        <v>13646.112278338009</v>
      </c>
      <c r="EG4" s="114">
        <f>[7]Ebitda!$AZ$15/1000</f>
        <v>15653.092917432421</v>
      </c>
      <c r="EH4" s="114">
        <f>[7]Ebitda!$BA$17/1000</f>
        <v>15818.791441183381</v>
      </c>
      <c r="EI4" s="114">
        <f>[7]Ebitda!$BB$17/1000</f>
        <v>15854.124972563402</v>
      </c>
      <c r="EJ4" s="114">
        <f>[8]Ebitda!$BE$17/1000</f>
        <v>15907.697754532725</v>
      </c>
      <c r="EK4" s="114">
        <f>[8]Ebitda!$BF$17/1000</f>
        <v>15960.612887143812</v>
      </c>
      <c r="EL4" s="114">
        <f>[8]Ebitda!$BG$17/1000</f>
        <v>16040.824055644096</v>
      </c>
      <c r="EM4" s="114">
        <f>[9]Ebitda!$BJ$17/1000</f>
        <v>16181.272104839773</v>
      </c>
      <c r="EN4" s="114">
        <f>[9]Ebitda!$BK$17/1000</f>
        <v>16290.873621011149</v>
      </c>
      <c r="EO4" s="114">
        <f>[9]Ebitda!$BL$17/1000</f>
        <v>15576.535079810474</v>
      </c>
      <c r="ER4" s="122">
        <f>[10]Ebitda!$BO$17/1000</f>
        <v>16058.207585184819</v>
      </c>
      <c r="ES4" s="122">
        <f>[10]Ebitda!$BP$17/1000</f>
        <v>16581.164078853984</v>
      </c>
      <c r="ET4" s="122">
        <f>[10]Ebitda!$BQ$17/1000</f>
        <v>16682.672822034987</v>
      </c>
      <c r="EU4" s="122">
        <f>[18]Ebitda!$BT$15/1000</f>
        <v>16748.072310172072</v>
      </c>
      <c r="EV4" s="122">
        <f>[18]Ebitda!$BU$15/1000</f>
        <v>16748.072310172072</v>
      </c>
      <c r="EW4" s="122">
        <f>[18]Ebitda!$BV$15/1000</f>
        <v>16748.072310172072</v>
      </c>
    </row>
    <row r="5" spans="1:153" s="97" customFormat="1" ht="13" x14ac:dyDescent="0.3">
      <c r="B5" s="107" t="s">
        <v>55</v>
      </c>
      <c r="C5" s="108"/>
      <c r="D5" s="96">
        <f>+SUM(AZ5:BK5)</f>
        <v>0</v>
      </c>
      <c r="E5" s="96">
        <f>+SUM(BM5:BX5)</f>
        <v>27136.426960000001</v>
      </c>
      <c r="F5" s="96">
        <f>+SUM(V5:Y5)</f>
        <v>47899.795870000002</v>
      </c>
      <c r="G5" s="96">
        <f>SUM(AA5:AD5)</f>
        <v>47926.851600000002</v>
      </c>
      <c r="H5" s="96">
        <f>SUM(AF5:AI5)</f>
        <v>55918.87644</v>
      </c>
      <c r="I5" s="96">
        <f t="shared" ref="I5:I8" si="0">SUM(AK5:AN5)</f>
        <v>43662.338960870889</v>
      </c>
      <c r="J5" s="96">
        <f>SUM(AP5:AR5)</f>
        <v>34588</v>
      </c>
      <c r="K5" s="96">
        <f t="shared" ref="K5:K8" si="1">SUM(AU5:AX5)</f>
        <v>26842.130622000004</v>
      </c>
      <c r="L5" s="96">
        <f>+SUM(AZ5:BB5)</f>
        <v>0</v>
      </c>
      <c r="M5" s="96">
        <f>+SUM(BC5:BE5)</f>
        <v>0</v>
      </c>
      <c r="N5" s="96">
        <f>+SUM(BF5:BH5)</f>
        <v>0</v>
      </c>
      <c r="O5" s="96">
        <f>+SUM(BI5:BK5)</f>
        <v>0</v>
      </c>
      <c r="Q5" s="96">
        <f>+SUM(BM5:BO5)</f>
        <v>0</v>
      </c>
      <c r="R5" s="96">
        <f>+SUM(BP5:BR5)</f>
        <v>0</v>
      </c>
      <c r="S5" s="96">
        <f>+SUM(BS5:BU5)</f>
        <v>0</v>
      </c>
      <c r="T5" s="96">
        <f>+SUM(BV5:BX5)</f>
        <v>27136.426960000001</v>
      </c>
      <c r="V5" s="96">
        <f>+SUM(BZ5:CB5)</f>
        <v>9859.4212399999997</v>
      </c>
      <c r="W5" s="96">
        <f>SUM(CC5:CE5)</f>
        <v>14245.214500000002</v>
      </c>
      <c r="X5" s="96">
        <f t="shared" ref="X5:X8" si="2">SUM(CF5:CH5)</f>
        <v>12491.117829999999</v>
      </c>
      <c r="Y5" s="96">
        <f>SUM(CI5:CK5)</f>
        <v>11304.042300000001</v>
      </c>
      <c r="AA5" s="96">
        <f t="shared" ref="AA5:AA8" si="3">SUM(CM5:CO5)</f>
        <v>10709.160830000001</v>
      </c>
      <c r="AB5" s="96">
        <f t="shared" ref="AB5:AB8" si="4">SUM(CP5:CR5)</f>
        <v>12059.361870000001</v>
      </c>
      <c r="AC5" s="96">
        <f t="shared" ref="AC5:AC8" si="5">SUM(CS5:CU5)</f>
        <v>12200.35338</v>
      </c>
      <c r="AD5" s="96">
        <f t="shared" ref="AD5:AD8" si="6">SUM(CV5:CX5)</f>
        <v>12957.97552</v>
      </c>
      <c r="AE5" s="96"/>
      <c r="AF5" s="96">
        <f>SUM(CZ5:DB5)</f>
        <v>16738.680110000001</v>
      </c>
      <c r="AG5" s="96">
        <f>SUM(DC5:DE5)</f>
        <v>9607.1963300000007</v>
      </c>
      <c r="AH5" s="96">
        <f>SUM(DF5:DH5)</f>
        <v>19591</v>
      </c>
      <c r="AI5" s="96">
        <f>SUM(DI5:DK5)</f>
        <v>9982</v>
      </c>
      <c r="AJ5" s="96"/>
      <c r="AK5" s="96">
        <f>SUM(DM5:DO5)</f>
        <v>8641</v>
      </c>
      <c r="AL5" s="96">
        <f>SUM(DP5:DR5)</f>
        <v>10459.924382608695</v>
      </c>
      <c r="AM5" s="96">
        <f>SUM(DS5:DU5)</f>
        <v>11494.629743479582</v>
      </c>
      <c r="AN5" s="96">
        <f>SUM(DV5:DX5)</f>
        <v>13066.784834782611</v>
      </c>
      <c r="AO5" s="96"/>
      <c r="AP5" s="96">
        <f t="shared" ref="AP5:AP23" si="7">SUM(ED5:EF5)</f>
        <v>11293</v>
      </c>
      <c r="AQ5" s="96">
        <f>SUM(EG5:EI5)</f>
        <v>11245</v>
      </c>
      <c r="AR5" s="96">
        <f>SUM(EJ5:EL5)</f>
        <v>12050</v>
      </c>
      <c r="AS5" s="96">
        <f>SUM(EM5:EO5)</f>
        <v>13658</v>
      </c>
      <c r="AT5" s="96"/>
      <c r="AU5" s="96">
        <f>SUM(ER5:ET5)</f>
        <v>12153.241078000001</v>
      </c>
      <c r="AV5" s="96">
        <f>SUM(EU5:EW5)</f>
        <v>14688.889544000001</v>
      </c>
      <c r="AW5" s="96"/>
      <c r="AX5" s="96"/>
      <c r="AY5" s="96"/>
      <c r="AZ5" s="96"/>
      <c r="BA5" s="96"/>
      <c r="BB5" s="96"/>
      <c r="BC5" s="96"/>
      <c r="BD5" s="96"/>
      <c r="BE5" s="96"/>
      <c r="BF5" s="96"/>
      <c r="BG5" s="96"/>
      <c r="BH5" s="96"/>
      <c r="BI5" s="96"/>
      <c r="BJ5" s="96"/>
      <c r="BK5" s="96"/>
      <c r="BM5" s="96"/>
      <c r="BN5" s="96"/>
      <c r="BO5" s="96"/>
      <c r="BP5" s="96"/>
      <c r="BQ5" s="96"/>
      <c r="BR5" s="96"/>
      <c r="BS5" s="96"/>
      <c r="BT5" s="96"/>
      <c r="BU5" s="96"/>
      <c r="BV5" s="96">
        <v>23473.08957</v>
      </c>
      <c r="BW5" s="96">
        <v>3663.3373900000001</v>
      </c>
      <c r="BX5" s="96"/>
      <c r="BZ5" s="96">
        <v>4090.5893500000002</v>
      </c>
      <c r="CA5" s="96">
        <v>1813.5845900000002</v>
      </c>
      <c r="CB5" s="96">
        <v>3955.2473</v>
      </c>
      <c r="CC5" s="96">
        <v>2210.1434199999999</v>
      </c>
      <c r="CD5" s="96">
        <v>8734.213600000001</v>
      </c>
      <c r="CE5" s="96">
        <v>3300.8574800000001</v>
      </c>
      <c r="CF5" s="96">
        <v>3719.0478399999997</v>
      </c>
      <c r="CG5" s="96">
        <v>3951.4912300000001</v>
      </c>
      <c r="CH5" s="96">
        <v>4820.5787599999994</v>
      </c>
      <c r="CI5" s="96">
        <v>3791.5651200000002</v>
      </c>
      <c r="CJ5" s="96">
        <v>3909.1293300000002</v>
      </c>
      <c r="CK5" s="96">
        <v>3603.3478500000001</v>
      </c>
      <c r="CM5" s="96">
        <v>4715.4433300000001</v>
      </c>
      <c r="CN5" s="96">
        <v>2693.7970699999996</v>
      </c>
      <c r="CO5" s="96">
        <v>3299.9204300000001</v>
      </c>
      <c r="CP5" s="96">
        <v>4293.5872499999996</v>
      </c>
      <c r="CQ5" s="96">
        <v>3850.4609</v>
      </c>
      <c r="CR5" s="96">
        <v>3915.3137200000001</v>
      </c>
      <c r="CS5" s="96">
        <v>3577.4260899999999</v>
      </c>
      <c r="CT5" s="96">
        <v>2993.1974700000001</v>
      </c>
      <c r="CU5" s="96">
        <v>5629.7298199999996</v>
      </c>
      <c r="CV5" s="96">
        <v>4519.9921299999996</v>
      </c>
      <c r="CW5" s="96">
        <v>4245.2962600000001</v>
      </c>
      <c r="CX5" s="96">
        <v>4192.6871300000003</v>
      </c>
      <c r="CZ5" s="96">
        <v>3932.5675200000001</v>
      </c>
      <c r="DA5" s="96">
        <v>2833.2192</v>
      </c>
      <c r="DB5" s="96">
        <v>9972.8933900000011</v>
      </c>
      <c r="DC5" s="96">
        <v>3220.5148599999998</v>
      </c>
      <c r="DD5" s="96">
        <v>3219.50486</v>
      </c>
      <c r="DE5" s="96">
        <v>3167.17661</v>
      </c>
      <c r="DF5" s="96">
        <v>6087</v>
      </c>
      <c r="DG5" s="96">
        <v>9684</v>
      </c>
      <c r="DH5" s="96">
        <v>3820</v>
      </c>
      <c r="DI5" s="96">
        <v>3694</v>
      </c>
      <c r="DJ5" s="96">
        <v>2769</v>
      </c>
      <c r="DK5" s="96">
        <v>3519</v>
      </c>
      <c r="DM5" s="97">
        <v>2662</v>
      </c>
      <c r="DN5" s="97">
        <v>2492</v>
      </c>
      <c r="DO5" s="97">
        <v>3487</v>
      </c>
      <c r="DP5" s="114">
        <v>3349.1021043478258</v>
      </c>
      <c r="DQ5" s="114">
        <v>3516.034452173913</v>
      </c>
      <c r="DR5" s="114">
        <v>3594.7878260869566</v>
      </c>
      <c r="DS5" s="115">
        <v>3488.5755795139162</v>
      </c>
      <c r="DT5" s="115">
        <v>3914.8024808087443</v>
      </c>
      <c r="DU5" s="115">
        <v>4091.2516831569219</v>
      </c>
      <c r="DV5" s="115">
        <v>4037.1309652173918</v>
      </c>
      <c r="DW5" s="115">
        <v>3719.8038956521746</v>
      </c>
      <c r="DX5" s="115">
        <v>5309.8499739130439</v>
      </c>
      <c r="DY5" s="115"/>
      <c r="DZ5" s="115"/>
      <c r="EA5" s="115"/>
      <c r="EB5" s="115"/>
      <c r="ED5" s="97">
        <v>3785</v>
      </c>
      <c r="EE5" s="97">
        <v>3572</v>
      </c>
      <c r="EF5" s="97">
        <v>3936</v>
      </c>
      <c r="EG5" s="97">
        <v>4141</v>
      </c>
      <c r="EH5" s="97">
        <v>3552</v>
      </c>
      <c r="EI5" s="97">
        <f>EH5</f>
        <v>3552</v>
      </c>
      <c r="EJ5" s="97">
        <v>3954</v>
      </c>
      <c r="EK5" s="97">
        <v>4383</v>
      </c>
      <c r="EL5" s="97">
        <v>3713</v>
      </c>
      <c r="EM5" s="97">
        <v>4243</v>
      </c>
      <c r="EN5" s="97">
        <v>5036</v>
      </c>
      <c r="EO5" s="97">
        <v>4379</v>
      </c>
      <c r="ER5" s="129">
        <f>'[11]Income Statement'!$H$16</f>
        <v>3363.7390635000002</v>
      </c>
      <c r="ES5" s="129">
        <f>'[11]Income Statement'!$J$16</f>
        <v>3316.0064044999999</v>
      </c>
      <c r="ET5" s="129">
        <f>'[11]Income Statement'!$L$16</f>
        <v>5473.4956100000009</v>
      </c>
      <c r="EU5" s="129">
        <v>4905.8004240000009</v>
      </c>
      <c r="EV5" s="129">
        <v>4900.9313920000004</v>
      </c>
      <c r="EW5" s="129">
        <v>4882.1577280000001</v>
      </c>
    </row>
    <row r="6" spans="1:153" s="97" customFormat="1" ht="13" x14ac:dyDescent="0.3">
      <c r="B6" s="107" t="s">
        <v>56</v>
      </c>
      <c r="C6" s="108"/>
      <c r="D6" s="96">
        <f>+SUM(AZ6:BK6)</f>
        <v>57209.946330000006</v>
      </c>
      <c r="E6" s="96">
        <f>+SUM(BM6:BX6)</f>
        <v>21474.999096200005</v>
      </c>
      <c r="F6" s="96">
        <f>+SUM(V6:Y6)</f>
        <v>1726.99497</v>
      </c>
      <c r="G6" s="96">
        <f>SUM(AA6:AD6)</f>
        <v>0</v>
      </c>
      <c r="H6" s="96">
        <f>SUM(AF6:AI6)</f>
        <v>0</v>
      </c>
      <c r="I6" s="96">
        <f t="shared" si="0"/>
        <v>0</v>
      </c>
      <c r="J6" s="96"/>
      <c r="K6" s="96"/>
      <c r="L6" s="96">
        <f>+SUM(AZ6:BB6)</f>
        <v>0</v>
      </c>
      <c r="M6" s="96">
        <f>+SUM(BC6:BE6)</f>
        <v>0</v>
      </c>
      <c r="N6" s="96">
        <f>+SUM(BF6:BH6)</f>
        <v>0</v>
      </c>
      <c r="O6" s="96">
        <f>+SUM(BI6:BK6)</f>
        <v>57209.946330000006</v>
      </c>
      <c r="Q6" s="96">
        <f>+SUM(BM6:BO6)</f>
        <v>0</v>
      </c>
      <c r="R6" s="96">
        <f>+SUM(BP6:BR6)</f>
        <v>0</v>
      </c>
      <c r="S6" s="96">
        <f>+SUM(BS6:BU6)</f>
        <v>16304.781286200003</v>
      </c>
      <c r="T6" s="96">
        <f>+SUM(BV6:BX6)</f>
        <v>5170.2178100000001</v>
      </c>
      <c r="V6" s="96">
        <f>+SUM(BZ6:CB6)</f>
        <v>1726.99497</v>
      </c>
      <c r="W6" s="96">
        <f t="shared" ref="W6:W8" si="8">SUM(CC6:CE6)</f>
        <v>0</v>
      </c>
      <c r="X6" s="96">
        <f t="shared" si="2"/>
        <v>0</v>
      </c>
      <c r="Y6" s="96">
        <f t="shared" ref="Y6:Y8" si="9">SUM(CI6:CK6)</f>
        <v>0</v>
      </c>
      <c r="AA6" s="96">
        <f t="shared" si="3"/>
        <v>0</v>
      </c>
      <c r="AB6" s="96">
        <f t="shared" si="4"/>
        <v>0</v>
      </c>
      <c r="AC6" s="96">
        <f t="shared" si="5"/>
        <v>0</v>
      </c>
      <c r="AD6" s="96">
        <f t="shared" si="6"/>
        <v>0</v>
      </c>
      <c r="AE6" s="96"/>
      <c r="AF6" s="96">
        <f>SUM(CZ6:DB6)</f>
        <v>0</v>
      </c>
      <c r="AG6" s="96">
        <f>SUM(DC6:DE6)</f>
        <v>0</v>
      </c>
      <c r="AH6" s="96">
        <f>SUM(DF6:DH6)</f>
        <v>0</v>
      </c>
      <c r="AI6" s="96">
        <f>SUM(DI6:DK6)</f>
        <v>0</v>
      </c>
      <c r="AJ6" s="96"/>
      <c r="AK6" s="96">
        <f t="shared" ref="AK6:AK8" si="10">SUM(DM6:DO6)</f>
        <v>0</v>
      </c>
      <c r="AL6" s="96">
        <f t="shared" ref="AL6:AL8" si="11">SUM(DP6:DR6)</f>
        <v>0</v>
      </c>
      <c r="AM6" s="96">
        <f>SUM(DS6:DU6)</f>
        <v>0</v>
      </c>
      <c r="AN6" s="96">
        <f>SUM(DV6:DX6)</f>
        <v>0</v>
      </c>
      <c r="AO6" s="96"/>
      <c r="AP6" s="96"/>
      <c r="AQ6" s="96"/>
      <c r="AR6" s="96"/>
      <c r="AS6" s="96"/>
      <c r="AT6" s="96"/>
      <c r="AU6" s="96"/>
      <c r="AV6" s="96"/>
      <c r="AW6" s="96"/>
      <c r="AX6" s="96"/>
      <c r="AY6" s="96"/>
      <c r="AZ6" s="96"/>
      <c r="BA6" s="96"/>
      <c r="BB6" s="96"/>
      <c r="BC6" s="96"/>
      <c r="BD6" s="96"/>
      <c r="BE6" s="96"/>
      <c r="BF6" s="96"/>
      <c r="BG6" s="96"/>
      <c r="BH6" s="96"/>
      <c r="BI6" s="96">
        <f>72128817.33/1000</f>
        <v>72128.817330000005</v>
      </c>
      <c r="BJ6" s="96"/>
      <c r="BK6" s="96">
        <f>-14918871/1000</f>
        <v>-14918.870999999999</v>
      </c>
      <c r="BM6" s="96"/>
      <c r="BN6" s="96"/>
      <c r="BO6" s="96"/>
      <c r="BP6" s="96"/>
      <c r="BQ6" s="96"/>
      <c r="BR6" s="96"/>
      <c r="BS6" s="96"/>
      <c r="BT6" s="96">
        <v>14644.360356200003</v>
      </c>
      <c r="BU6" s="96">
        <v>1660.42093</v>
      </c>
      <c r="BV6" s="96">
        <v>1617.6528799999999</v>
      </c>
      <c r="BW6" s="96">
        <v>1853.4380699999999</v>
      </c>
      <c r="BX6" s="96">
        <v>1699.1268599999999</v>
      </c>
      <c r="BZ6" s="96">
        <v>1726.99497</v>
      </c>
      <c r="CA6" s="96">
        <v>0</v>
      </c>
      <c r="CB6" s="96">
        <v>0</v>
      </c>
      <c r="CC6" s="96">
        <v>0</v>
      </c>
      <c r="CD6" s="96">
        <v>0</v>
      </c>
      <c r="CE6" s="96">
        <v>0</v>
      </c>
      <c r="CF6" s="96">
        <v>0</v>
      </c>
      <c r="CG6" s="96">
        <v>0</v>
      </c>
      <c r="CH6" s="96">
        <v>0</v>
      </c>
      <c r="CI6" s="96">
        <v>0</v>
      </c>
      <c r="CJ6" s="96">
        <v>0</v>
      </c>
      <c r="CK6" s="96">
        <v>0</v>
      </c>
      <c r="CM6" s="96">
        <v>0</v>
      </c>
      <c r="CN6" s="96">
        <v>0</v>
      </c>
      <c r="CO6" s="96">
        <v>0</v>
      </c>
      <c r="CP6" s="96">
        <v>0</v>
      </c>
      <c r="CQ6" s="96">
        <v>0</v>
      </c>
      <c r="CR6" s="96">
        <v>0</v>
      </c>
      <c r="CS6" s="96">
        <v>0</v>
      </c>
      <c r="CT6" s="96">
        <v>0</v>
      </c>
      <c r="CU6" s="96">
        <v>0</v>
      </c>
      <c r="CV6" s="96">
        <v>0</v>
      </c>
      <c r="CW6" s="96">
        <v>0</v>
      </c>
      <c r="CX6" s="96">
        <v>0</v>
      </c>
      <c r="CZ6" s="96">
        <v>0</v>
      </c>
      <c r="DA6" s="96">
        <v>0</v>
      </c>
      <c r="DB6" s="96">
        <v>0</v>
      </c>
      <c r="DC6" s="96">
        <v>0</v>
      </c>
      <c r="DD6" s="96">
        <v>0</v>
      </c>
      <c r="DE6" s="96">
        <v>0</v>
      </c>
      <c r="DF6" s="96">
        <v>0</v>
      </c>
      <c r="DG6" s="96">
        <v>0</v>
      </c>
      <c r="DH6" s="96">
        <v>0</v>
      </c>
      <c r="DI6" s="96">
        <v>0</v>
      </c>
      <c r="DJ6" s="96">
        <v>0</v>
      </c>
      <c r="DK6" s="96">
        <v>0</v>
      </c>
      <c r="DM6" s="97">
        <v>0</v>
      </c>
      <c r="DN6" s="97">
        <v>0</v>
      </c>
      <c r="DO6" s="97">
        <v>0</v>
      </c>
      <c r="DP6" s="97">
        <v>0</v>
      </c>
      <c r="DQ6" s="97">
        <v>0</v>
      </c>
      <c r="DR6" s="97">
        <v>0</v>
      </c>
      <c r="DS6" s="97">
        <v>0</v>
      </c>
      <c r="DT6" s="97">
        <v>0</v>
      </c>
      <c r="DU6" s="97">
        <v>0</v>
      </c>
      <c r="DW6" s="117"/>
      <c r="DX6" s="117"/>
      <c r="DY6" s="117"/>
      <c r="DZ6" s="117"/>
      <c r="EA6" s="117"/>
      <c r="EB6" s="117"/>
      <c r="ED6" s="97">
        <v>0</v>
      </c>
      <c r="EE6" s="97">
        <v>0</v>
      </c>
      <c r="EF6" s="97">
        <v>0</v>
      </c>
      <c r="EG6" s="97">
        <v>0</v>
      </c>
      <c r="EH6" s="97">
        <v>0</v>
      </c>
      <c r="EI6" s="97">
        <v>0</v>
      </c>
      <c r="EJ6" s="97">
        <v>0</v>
      </c>
      <c r="EK6" s="97">
        <v>0</v>
      </c>
      <c r="EL6" s="97">
        <v>0</v>
      </c>
      <c r="EM6" s="97">
        <v>0</v>
      </c>
      <c r="EN6" s="97">
        <v>0</v>
      </c>
      <c r="EO6" s="97">
        <v>0</v>
      </c>
      <c r="ER6" s="97">
        <v>0</v>
      </c>
      <c r="ES6" s="97">
        <v>0</v>
      </c>
      <c r="ET6" s="97">
        <v>0</v>
      </c>
      <c r="EU6" s="97">
        <v>0</v>
      </c>
      <c r="EV6" s="97">
        <v>0</v>
      </c>
      <c r="EW6" s="97">
        <v>0</v>
      </c>
    </row>
    <row r="7" spans="1:153" s="97" customFormat="1" ht="13" x14ac:dyDescent="0.3">
      <c r="B7" s="107" t="s">
        <v>72</v>
      </c>
      <c r="D7" s="96">
        <f>+SUM(AZ7:BK7)</f>
        <v>0</v>
      </c>
      <c r="E7" s="96">
        <f>+SUM(BM7:BX7)</f>
        <v>107018.77630081</v>
      </c>
      <c r="F7" s="96">
        <f>+SUM(V7:Y7)</f>
        <v>119880.9747840068</v>
      </c>
      <c r="G7" s="96">
        <f>SUM(AA7:AD7)</f>
        <v>145366.76846340881</v>
      </c>
      <c r="H7" s="96">
        <f>SUM(AF7:AI7)</f>
        <v>39527.425921275062</v>
      </c>
      <c r="I7" s="96">
        <f t="shared" si="0"/>
        <v>36587.410906595003</v>
      </c>
      <c r="J7" s="96">
        <f>SUM(AP7:AR7)</f>
        <v>38310.886023143656</v>
      </c>
      <c r="K7" s="96">
        <f t="shared" si="1"/>
        <v>37880.787105619442</v>
      </c>
      <c r="Q7" s="96">
        <f>+SUM(BM7:BO7)</f>
        <v>22828.023906670896</v>
      </c>
      <c r="R7" s="96">
        <f>+SUM(BP7:BR7)</f>
        <v>28358.464743329103</v>
      </c>
      <c r="S7" s="96">
        <f>+SUM(BS7:BU7)</f>
        <v>29398.045781253895</v>
      </c>
      <c r="T7" s="96">
        <f>+SUM(BV7:BX7)</f>
        <v>26434.241869556106</v>
      </c>
      <c r="V7" s="96">
        <f>+SUM(BZ7:CB7)</f>
        <v>24514.658314429202</v>
      </c>
      <c r="W7" s="96">
        <f>SUM(CC7:CE7)</f>
        <v>29465</v>
      </c>
      <c r="X7" s="96">
        <f>SUM(CF7:CH7)</f>
        <v>33026.305470170199</v>
      </c>
      <c r="Y7" s="96">
        <f t="shared" si="9"/>
        <v>32875.010999407401</v>
      </c>
      <c r="AA7" s="96">
        <f t="shared" si="3"/>
        <v>35967.079143232499</v>
      </c>
      <c r="AB7" s="96">
        <f t="shared" si="4"/>
        <v>33255.955320176319</v>
      </c>
      <c r="AC7" s="96">
        <f t="shared" si="5"/>
        <v>40801</v>
      </c>
      <c r="AD7" s="96">
        <f t="shared" si="6"/>
        <v>35342.733999999997</v>
      </c>
      <c r="AE7" s="96"/>
      <c r="AF7" s="96">
        <f>SUM(CZ7:DB7)</f>
        <v>27729.425921275066</v>
      </c>
      <c r="AG7" s="96">
        <f>SUM(DC7:DE7)</f>
        <v>17143</v>
      </c>
      <c r="AH7" s="96">
        <f>SUM(DF7:DH7)</f>
        <v>-6000</v>
      </c>
      <c r="AI7" s="96">
        <f>SUM(DI7:DK7)</f>
        <v>655</v>
      </c>
      <c r="AJ7" s="96"/>
      <c r="AK7" s="96">
        <f t="shared" si="10"/>
        <v>3635.3111201909887</v>
      </c>
      <c r="AL7" s="96">
        <f t="shared" si="11"/>
        <v>8106.9326752071393</v>
      </c>
      <c r="AM7" s="96">
        <f>SUM(DS7:DU7)</f>
        <v>14296.767372237649</v>
      </c>
      <c r="AN7" s="96">
        <f>SUM(DV7:DX7)</f>
        <v>10548.399738959226</v>
      </c>
      <c r="AO7" s="96"/>
      <c r="AP7" s="96">
        <f t="shared" si="7"/>
        <v>9147</v>
      </c>
      <c r="AQ7" s="96">
        <f t="shared" ref="AQ7:AQ8" si="12">SUM(EG7:EI7)</f>
        <v>15026.34406500333</v>
      </c>
      <c r="AR7" s="96">
        <f>SUM(EJ7:EL7)</f>
        <v>14137.541958140326</v>
      </c>
      <c r="AS7" s="96">
        <f>SUM(EM7:EO7)</f>
        <v>20311</v>
      </c>
      <c r="AT7" s="96"/>
      <c r="AU7" s="96">
        <f>SUM(ER7:ET7)</f>
        <v>12809.787105619442</v>
      </c>
      <c r="AV7" s="96">
        <f t="shared" ref="AV7:AV8" si="13">SUM(EU7:EW7)</f>
        <v>25071</v>
      </c>
      <c r="AW7" s="96"/>
      <c r="AX7" s="96"/>
      <c r="AY7" s="96"/>
      <c r="BM7" s="96">
        <v>5674.5189803347903</v>
      </c>
      <c r="BN7" s="96">
        <v>8706.5946302689081</v>
      </c>
      <c r="BO7" s="96">
        <v>8446.9102960671971</v>
      </c>
      <c r="BP7" s="96">
        <v>8316.6371232882047</v>
      </c>
      <c r="BQ7" s="96">
        <v>9645.1639834237976</v>
      </c>
      <c r="BR7" s="96">
        <v>10396.663636617101</v>
      </c>
      <c r="BS7" s="96">
        <v>8638.9050580584008</v>
      </c>
      <c r="BT7" s="96">
        <v>10091.029750685309</v>
      </c>
      <c r="BU7" s="96">
        <v>10668.110972510185</v>
      </c>
      <c r="BV7" s="96">
        <v>11056.94874136521</v>
      </c>
      <c r="BW7" s="96">
        <v>8663.1287932278938</v>
      </c>
      <c r="BX7" s="96">
        <v>6714.1643349630031</v>
      </c>
      <c r="BZ7" s="96">
        <v>6454.9826318501464</v>
      </c>
      <c r="CA7" s="96">
        <v>8042.4826702909531</v>
      </c>
      <c r="CB7" s="96">
        <v>10017.1930122881</v>
      </c>
      <c r="CC7" s="96">
        <v>7910</v>
      </c>
      <c r="CD7" s="96">
        <v>11006</v>
      </c>
      <c r="CE7" s="96">
        <v>10549</v>
      </c>
      <c r="CF7" s="96">
        <v>11600.449469577601</v>
      </c>
      <c r="CG7" s="96">
        <v>9198.2372299929993</v>
      </c>
      <c r="CH7" s="96">
        <v>12227.618770599598</v>
      </c>
      <c r="CI7" s="96">
        <v>11600.371999407405</v>
      </c>
      <c r="CJ7" s="96">
        <v>12178.697999999989</v>
      </c>
      <c r="CK7" s="96">
        <v>9095.9410000000062</v>
      </c>
      <c r="CM7" s="96">
        <v>10052.893</v>
      </c>
      <c r="CN7" s="96">
        <v>13763.029143232499</v>
      </c>
      <c r="CO7" s="96">
        <v>12151.156999999999</v>
      </c>
      <c r="CP7" s="96">
        <v>10501.664266813597</v>
      </c>
      <c r="CQ7" s="96">
        <v>11523.950999999999</v>
      </c>
      <c r="CR7" s="96">
        <v>11230.340053362719</v>
      </c>
      <c r="CS7" s="96">
        <v>12497</v>
      </c>
      <c r="CT7" s="96">
        <v>16304</v>
      </c>
      <c r="CU7" s="96">
        <v>12000</v>
      </c>
      <c r="CV7" s="96">
        <v>12017.733999999997</v>
      </c>
      <c r="CW7" s="96">
        <v>12125</v>
      </c>
      <c r="CX7" s="96">
        <v>11200</v>
      </c>
      <c r="CZ7" s="96">
        <v>8010.8711076594445</v>
      </c>
      <c r="DA7" s="96">
        <v>10159.114686994735</v>
      </c>
      <c r="DB7" s="96">
        <v>9559.4401266208843</v>
      </c>
      <c r="DC7" s="96">
        <v>5645</v>
      </c>
      <c r="DD7" s="96">
        <v>6158</v>
      </c>
      <c r="DE7" s="96">
        <v>5340</v>
      </c>
      <c r="DF7" s="96">
        <v>-4698</v>
      </c>
      <c r="DG7" s="96">
        <v>-4640</v>
      </c>
      <c r="DH7" s="96">
        <v>3338</v>
      </c>
      <c r="DI7" s="96">
        <v>-1492</v>
      </c>
      <c r="DJ7" s="96">
        <v>1547</v>
      </c>
      <c r="DK7" s="96">
        <v>600</v>
      </c>
      <c r="DM7" s="115">
        <v>1322.9110630864043</v>
      </c>
      <c r="DN7" s="115">
        <v>1172.1853163834721</v>
      </c>
      <c r="DO7" s="115">
        <v>1140.2147407211123</v>
      </c>
      <c r="DP7" s="115">
        <v>2982.9376161346991</v>
      </c>
      <c r="DQ7" s="119">
        <v>2662.6390002736262</v>
      </c>
      <c r="DR7" s="119">
        <v>2461.356058798814</v>
      </c>
      <c r="DS7" s="115">
        <v>4945.6533398597858</v>
      </c>
      <c r="DT7" s="115">
        <v>4866.0735590856639</v>
      </c>
      <c r="DU7" s="115">
        <v>4485.0404732921997</v>
      </c>
      <c r="DV7" s="115">
        <v>4450.3997389592259</v>
      </c>
      <c r="DW7" s="117">
        <v>3049</v>
      </c>
      <c r="DX7" s="117">
        <v>3049</v>
      </c>
      <c r="DY7" s="117"/>
      <c r="DZ7" s="117"/>
      <c r="EA7" s="117"/>
      <c r="EB7" s="117"/>
      <c r="ED7" s="128">
        <v>3049</v>
      </c>
      <c r="EE7" s="128">
        <v>3049</v>
      </c>
      <c r="EF7" s="128">
        <v>3049</v>
      </c>
      <c r="EG7" s="129">
        <v>5315.5314456343767</v>
      </c>
      <c r="EH7" s="129">
        <v>4998.2986333221779</v>
      </c>
      <c r="EI7" s="129">
        <v>4712.5139860467752</v>
      </c>
      <c r="EJ7" s="129">
        <v>4712.5139860467752</v>
      </c>
      <c r="EK7" s="129">
        <v>4712.5139860467752</v>
      </c>
      <c r="EL7" s="129">
        <v>4712.5139860467752</v>
      </c>
      <c r="EM7" s="97">
        <v>4858</v>
      </c>
      <c r="EN7" s="97">
        <v>10595</v>
      </c>
      <c r="EO7" s="97">
        <f>EM7</f>
        <v>4858</v>
      </c>
      <c r="ER7" s="129">
        <f>'[11]Income Statement'!$I$77</f>
        <v>3365.9339524019742</v>
      </c>
      <c r="ES7" s="129">
        <f>'[11]Income Statement'!$K$77</f>
        <v>4405.9716490027495</v>
      </c>
      <c r="ET7" s="129">
        <f>'[11]Income Statement'!$M$77</f>
        <v>5037.881504214718</v>
      </c>
      <c r="EU7" s="97">
        <v>9175</v>
      </c>
      <c r="EV7" s="97">
        <v>4483</v>
      </c>
      <c r="EW7" s="97">
        <v>11413</v>
      </c>
    </row>
    <row r="8" spans="1:153" s="97" customFormat="1" ht="13" x14ac:dyDescent="0.3">
      <c r="B8" s="107" t="s">
        <v>36</v>
      </c>
      <c r="C8" s="108"/>
      <c r="D8" s="96">
        <f>+SUM(AZ8:BK8)</f>
        <v>141318.24557327462</v>
      </c>
      <c r="E8" s="96">
        <f>+SUM(BM8:BX8)</f>
        <v>169280.87854346732</v>
      </c>
      <c r="F8" s="96">
        <f>+SUM(V8:Y8)</f>
        <v>191021.35005622444</v>
      </c>
      <c r="G8" s="96">
        <f>SUM(AA8:AD8)</f>
        <v>224452.69599429343</v>
      </c>
      <c r="H8" s="96">
        <f>SUM(AF8:AI8)</f>
        <v>191679.54397675433</v>
      </c>
      <c r="I8" s="96">
        <f t="shared" si="0"/>
        <v>213014.36389580814</v>
      </c>
      <c r="J8" s="96">
        <f>SUM(AP8:AR8)</f>
        <v>153264.86567970464</v>
      </c>
      <c r="K8" s="96">
        <f t="shared" si="1"/>
        <v>100026.76770141086</v>
      </c>
      <c r="L8" s="125">
        <f>+SUM(AZ8:BB8)</f>
        <v>18410.820025326902</v>
      </c>
      <c r="M8" s="125">
        <f>+SUM(BC8:BE8)</f>
        <v>24515.412261586902</v>
      </c>
      <c r="N8" s="125">
        <f>+SUM(BF8:BH8)</f>
        <v>20216.881641586904</v>
      </c>
      <c r="O8" s="125">
        <f>+SUM(BI8:BK8)</f>
        <v>78175.131644773894</v>
      </c>
      <c r="Q8" s="125">
        <f>+SUM(BM8:BO8)</f>
        <v>24927.502148251395</v>
      </c>
      <c r="R8" s="125">
        <f>+SUM(BP8:BR8)</f>
        <v>31752.588394915998</v>
      </c>
      <c r="S8" s="125">
        <f>+SUM(BS8:BU8)</f>
        <v>49299.195210851518</v>
      </c>
      <c r="T8" s="125">
        <f>+SUM(BV8:BX8)</f>
        <v>63301.592789448419</v>
      </c>
      <c r="V8" s="125">
        <f>+SUM(BZ8:CB8)</f>
        <v>43295.169495727881</v>
      </c>
      <c r="W8" s="125">
        <f t="shared" si="8"/>
        <v>49233.807045350964</v>
      </c>
      <c r="X8" s="125">
        <f t="shared" si="2"/>
        <v>52106.48048999063</v>
      </c>
      <c r="Y8" s="125">
        <f t="shared" si="9"/>
        <v>46385.893025154946</v>
      </c>
      <c r="AA8" s="125">
        <f t="shared" si="3"/>
        <v>53086.324162373698</v>
      </c>
      <c r="AB8" s="125">
        <f t="shared" si="4"/>
        <v>52539.558692537619</v>
      </c>
      <c r="AC8" s="125">
        <f t="shared" si="5"/>
        <v>60966.573440631895</v>
      </c>
      <c r="AD8" s="125">
        <f t="shared" si="6"/>
        <v>57860.239698750214</v>
      </c>
      <c r="AE8" s="125"/>
      <c r="AF8" s="125">
        <f>SUM(CZ8:DB8)</f>
        <v>51532.79038228398</v>
      </c>
      <c r="AG8" s="125">
        <f>SUM(DC8:DE8)</f>
        <v>41192.277000000002</v>
      </c>
      <c r="AH8" s="125">
        <f>SUM(DF8:DH8)</f>
        <v>56412</v>
      </c>
      <c r="AI8" s="125">
        <f>SUM(DI8:DK8)</f>
        <v>42542.476594470361</v>
      </c>
      <c r="AJ8" s="125"/>
      <c r="AK8" s="125">
        <f t="shared" si="10"/>
        <v>42904.446538001401</v>
      </c>
      <c r="AL8" s="125">
        <f t="shared" si="11"/>
        <v>50004.195535659353</v>
      </c>
      <c r="AM8" s="125">
        <f>SUM(DS8:DU8)</f>
        <v>59551.167053926518</v>
      </c>
      <c r="AN8" s="125">
        <f>SUM(DV8:DX8)</f>
        <v>60554.554768220871</v>
      </c>
      <c r="AO8" s="125"/>
      <c r="AP8" s="125">
        <f t="shared" si="7"/>
        <v>54355.591</v>
      </c>
      <c r="AQ8" s="96">
        <f t="shared" si="12"/>
        <v>49357.33813160898</v>
      </c>
      <c r="AR8" s="96">
        <f>SUM(EJ8:EL8)</f>
        <v>49551.936548095677</v>
      </c>
      <c r="AS8" s="96">
        <f>SUM(EM8:EO8)</f>
        <v>50587.009867359011</v>
      </c>
      <c r="AT8" s="96"/>
      <c r="AU8" s="96">
        <f>SUM(ER8:ET8)</f>
        <v>52483.901704614676</v>
      </c>
      <c r="AV8" s="96">
        <f t="shared" si="13"/>
        <v>47542.865996796194</v>
      </c>
      <c r="AW8" s="96"/>
      <c r="AX8" s="125"/>
      <c r="AY8" s="125"/>
      <c r="AZ8" s="125">
        <v>5930.786657602298</v>
      </c>
      <c r="BA8" s="125">
        <v>6572.767143862302</v>
      </c>
      <c r="BB8" s="125">
        <v>5907.2662238623006</v>
      </c>
      <c r="BC8" s="125">
        <v>8055.3497538623024</v>
      </c>
      <c r="BD8" s="125">
        <v>6111.2928138622992</v>
      </c>
      <c r="BE8" s="125">
        <v>10348.769693862301</v>
      </c>
      <c r="BF8" s="125">
        <v>6493.3805438622967</v>
      </c>
      <c r="BG8" s="125">
        <v>6520.0949438623029</v>
      </c>
      <c r="BH8" s="125">
        <v>7203.4061538623055</v>
      </c>
      <c r="BI8" s="125">
        <v>78608.335710062296</v>
      </c>
      <c r="BJ8" s="125">
        <v>7441.2024748622953</v>
      </c>
      <c r="BK8" s="125">
        <v>-7874.4065401506978</v>
      </c>
      <c r="BM8" s="125">
        <v>6429.8972520863899</v>
      </c>
      <c r="BN8" s="125">
        <v>9801.6739562355106</v>
      </c>
      <c r="BO8" s="125">
        <v>8695.9309399294943</v>
      </c>
      <c r="BP8" s="125">
        <v>9196.6638371504941</v>
      </c>
      <c r="BQ8" s="125">
        <v>11169.8342452861</v>
      </c>
      <c r="BR8" s="125">
        <v>11386.090312479404</v>
      </c>
      <c r="BS8" s="125">
        <v>9807.3872062281589</v>
      </c>
      <c r="BT8" s="125">
        <v>25891.931291294262</v>
      </c>
      <c r="BU8" s="125">
        <v>13599.876713329098</v>
      </c>
      <c r="BV8" s="125">
        <v>36428.678525237898</v>
      </c>
      <c r="BW8" s="125">
        <v>16922.710564980182</v>
      </c>
      <c r="BX8" s="125">
        <v>9950.2036992303401</v>
      </c>
      <c r="BZ8" s="125">
        <v>15058.83719570265</v>
      </c>
      <c r="CA8" s="125">
        <v>12351.402018079538</v>
      </c>
      <c r="CB8" s="125">
        <v>15884.930281945697</v>
      </c>
      <c r="CC8" s="125">
        <v>13545.177128924634</v>
      </c>
      <c r="CD8" s="125">
        <v>22985.017545525327</v>
      </c>
      <c r="CE8" s="125">
        <v>12703.612370901006</v>
      </c>
      <c r="CF8" s="125">
        <v>17530.036269593402</v>
      </c>
      <c r="CG8" s="125">
        <v>15406.669450025798</v>
      </c>
      <c r="CH8" s="125">
        <v>19169.774770371423</v>
      </c>
      <c r="CI8" s="125">
        <v>12722.420090532856</v>
      </c>
      <c r="CJ8" s="125">
        <v>18210.958820022526</v>
      </c>
      <c r="CK8" s="125">
        <v>15452.514114599569</v>
      </c>
      <c r="CM8" s="125">
        <v>17131.693567823499</v>
      </c>
      <c r="CN8" s="125">
        <v>19084.955503237899</v>
      </c>
      <c r="CO8" s="125">
        <v>16869.675091312296</v>
      </c>
      <c r="CP8" s="125">
        <v>17164.3576042104</v>
      </c>
      <c r="CQ8" s="125">
        <v>17462.878430393997</v>
      </c>
      <c r="CR8" s="125">
        <v>17912.322657933219</v>
      </c>
      <c r="CS8" s="125">
        <v>18935.097324309001</v>
      </c>
      <c r="CT8" s="125">
        <v>21289.7721100786</v>
      </c>
      <c r="CU8" s="125">
        <v>20741.704006244301</v>
      </c>
      <c r="CV8" s="125">
        <v>19471.829106251174</v>
      </c>
      <c r="CW8" s="125">
        <v>18932.289116248619</v>
      </c>
      <c r="CX8" s="125">
        <v>19456.121476250421</v>
      </c>
      <c r="CZ8" s="125">
        <v>14496.620506206242</v>
      </c>
      <c r="DA8" s="125">
        <v>15490.538303246756</v>
      </c>
      <c r="DB8" s="125">
        <v>21545.631572830982</v>
      </c>
      <c r="DC8" s="125">
        <v>14181.444</v>
      </c>
      <c r="DD8" s="125">
        <v>12891.174000000001</v>
      </c>
      <c r="DE8" s="125">
        <v>14119.659</v>
      </c>
      <c r="DF8" s="125">
        <v>17341</v>
      </c>
      <c r="DG8" s="125">
        <v>22251</v>
      </c>
      <c r="DH8" s="125">
        <v>16820</v>
      </c>
      <c r="DI8" s="125">
        <v>14707.367876066452</v>
      </c>
      <c r="DJ8" s="125">
        <v>13911.689265718964</v>
      </c>
      <c r="DK8" s="125">
        <v>13923.419452684948</v>
      </c>
      <c r="DM8" s="125">
        <f>13542565.6662154/1000</f>
        <v>13542.5656662154</v>
      </c>
      <c r="DN8" s="125">
        <f>14620880.871786/1000</f>
        <v>14620.880871786001</v>
      </c>
      <c r="DO8" s="125">
        <f>14741000/1000</f>
        <v>14741</v>
      </c>
      <c r="DP8" s="114">
        <f>[4]Ebitda!$AC$5/1000</f>
        <v>17467.20074880153</v>
      </c>
      <c r="DQ8" s="114">
        <f>[4]Ebitda!$AD$5/1000</f>
        <v>16538.223726389471</v>
      </c>
      <c r="DR8" s="114">
        <f>[4]Ebitda!$AE$5/1000</f>
        <v>15998.771060468353</v>
      </c>
      <c r="DS8" s="114">
        <f>[4]Ebitda!$AH$5/1000</f>
        <v>18411.546388869177</v>
      </c>
      <c r="DT8" s="114">
        <f>[4]Ebitda!$AI$5/1000</f>
        <v>21472.514890533657</v>
      </c>
      <c r="DU8" s="114">
        <f>[4]Ebitda!$AJ$5/1000</f>
        <v>19667.105774523679</v>
      </c>
      <c r="DV8" s="114">
        <f>[5]Ebitda!$AM$5/1000</f>
        <v>19348.066647501848</v>
      </c>
      <c r="DW8" s="121">
        <f>[5]Ebitda!$AN$5/1000</f>
        <v>21858.421473217171</v>
      </c>
      <c r="DX8" s="121">
        <f>[5]Ebitda!$AO$5/1000</f>
        <v>19348.066647501848</v>
      </c>
      <c r="DY8" s="121"/>
      <c r="DZ8" s="121"/>
      <c r="EA8" s="121"/>
      <c r="EB8" s="121"/>
      <c r="ED8" s="119">
        <f>[6]Ebitda!AU5/1000</f>
        <v>16127.929</v>
      </c>
      <c r="EE8" s="119">
        <f>[6]Ebitda!AV5/1000</f>
        <v>18700.643</v>
      </c>
      <c r="EF8" s="119">
        <f>[6]Ebitda!AW5/1000</f>
        <v>19527.019</v>
      </c>
      <c r="EG8" s="119">
        <f>[7]Ebitda!AZ5/1000</f>
        <v>16336.669773786214</v>
      </c>
      <c r="EH8" s="119">
        <f>[7]Ebitda!BA5/1000</f>
        <v>16579.645133774076</v>
      </c>
      <c r="EI8" s="119">
        <f>[7]Ebitda!BB5/1000</f>
        <v>16441.023224048684</v>
      </c>
      <c r="EJ8" s="119">
        <f>[8]Ebitda!$BE$5/1000</f>
        <v>16474.599680168954</v>
      </c>
      <c r="EK8" s="119">
        <f>[8]Ebitda!$BF$5/1000</f>
        <v>16507.895399791454</v>
      </c>
      <c r="EL8" s="119">
        <f>[8]Ebitda!$BG$5/1000</f>
        <v>16569.441468135261</v>
      </c>
      <c r="EM8" s="119">
        <f>[9]Ebitda!$BJ$5/1000</f>
        <v>16774.852136814789</v>
      </c>
      <c r="EN8" s="119">
        <f>[9]Ebitda!$BK$5/1000</f>
        <v>16877.659535242728</v>
      </c>
      <c r="EO8" s="119">
        <f>[9]Ebitda!$BL$5/1000</f>
        <v>16934.498195301498</v>
      </c>
      <c r="ER8" s="129">
        <f>[10]Ebitda!$BO$5/1000</f>
        <v>14648.176829548884</v>
      </c>
      <c r="ES8" s="129">
        <f>[10]Ebitda!$BP$5/1000</f>
        <v>16237.988808650996</v>
      </c>
      <c r="ET8" s="129">
        <f>[10]Ebitda!$BQ$5/1000</f>
        <v>21597.736066414796</v>
      </c>
      <c r="EU8" s="129">
        <f>[18]Ebitda!BT5/1000</f>
        <v>15926.622638179309</v>
      </c>
      <c r="EV8" s="129">
        <f>[18]Ebitda!BU5/1000</f>
        <v>15888.08903585191</v>
      </c>
      <c r="EW8" s="129">
        <f>[18]Ebitda!BV5/1000</f>
        <v>15728.154322764974</v>
      </c>
    </row>
    <row r="9" spans="1:153" s="97" customFormat="1" ht="13" x14ac:dyDescent="0.3">
      <c r="AP9" s="125"/>
      <c r="DW9" s="117"/>
      <c r="DX9" s="117"/>
      <c r="DY9" s="117"/>
      <c r="DZ9" s="117"/>
      <c r="EA9" s="117"/>
      <c r="EB9" s="117"/>
    </row>
    <row r="10" spans="1:153" s="97" customFormat="1" ht="13" x14ac:dyDescent="0.3">
      <c r="B10" s="102" t="s">
        <v>4</v>
      </c>
      <c r="C10" s="102"/>
      <c r="D10" s="92">
        <v>2018</v>
      </c>
      <c r="E10" s="92">
        <v>2019</v>
      </c>
      <c r="F10" s="92">
        <v>2020</v>
      </c>
      <c r="G10" s="92">
        <v>2021</v>
      </c>
      <c r="H10" s="92">
        <v>2022</v>
      </c>
      <c r="I10" s="92">
        <v>2023</v>
      </c>
      <c r="J10" s="92">
        <f>J3</f>
        <v>2024</v>
      </c>
      <c r="K10" s="92">
        <f>K3</f>
        <v>2025</v>
      </c>
      <c r="L10" s="104" t="s">
        <v>46</v>
      </c>
      <c r="M10" s="104" t="s">
        <v>47</v>
      </c>
      <c r="N10" s="104" t="s">
        <v>13</v>
      </c>
      <c r="O10" s="104" t="s">
        <v>6</v>
      </c>
      <c r="P10" s="104"/>
      <c r="Q10" s="104" t="s">
        <v>1</v>
      </c>
      <c r="R10" s="104" t="s">
        <v>31</v>
      </c>
      <c r="S10" s="104" t="s">
        <v>34</v>
      </c>
      <c r="T10" s="104" t="s">
        <v>48</v>
      </c>
      <c r="U10" s="104"/>
      <c r="V10" s="104" t="s">
        <v>73</v>
      </c>
      <c r="W10" s="104" t="s">
        <v>74</v>
      </c>
      <c r="X10" s="104" t="s">
        <v>75</v>
      </c>
      <c r="Y10" s="104" t="s">
        <v>76</v>
      </c>
      <c r="Z10" s="104"/>
      <c r="AA10" s="104"/>
      <c r="AB10" s="104"/>
      <c r="AC10" s="104"/>
      <c r="AD10" s="104"/>
      <c r="AE10" s="104"/>
      <c r="AF10" s="104"/>
      <c r="AG10" s="104"/>
      <c r="AH10" s="104"/>
      <c r="AI10" s="104"/>
      <c r="AJ10" s="104"/>
      <c r="AK10" s="104"/>
      <c r="AL10" s="104"/>
      <c r="AM10" s="104"/>
      <c r="AN10" s="104"/>
      <c r="AO10" s="104"/>
      <c r="AP10" s="126" t="str">
        <f>AP3</f>
        <v>Q1 2024</v>
      </c>
      <c r="AQ10" s="126" t="str">
        <f>AQ3</f>
        <v>Q2 2024</v>
      </c>
      <c r="AR10" s="126" t="str">
        <f>AR3</f>
        <v>Q3 2024</v>
      </c>
      <c r="AS10" s="126" t="str">
        <f>AS3</f>
        <v>Q4 2024</v>
      </c>
      <c r="AT10" s="126"/>
      <c r="AU10" s="126"/>
      <c r="AV10" s="126"/>
      <c r="AW10" s="126"/>
      <c r="AX10" s="104"/>
      <c r="AY10" s="104"/>
      <c r="AZ10" s="98">
        <v>43101</v>
      </c>
      <c r="BA10" s="98">
        <v>43132</v>
      </c>
      <c r="BB10" s="98">
        <v>43160</v>
      </c>
      <c r="BC10" s="98">
        <v>43191</v>
      </c>
      <c r="BD10" s="98">
        <v>43221</v>
      </c>
      <c r="BE10" s="98">
        <v>43252</v>
      </c>
      <c r="BF10" s="98">
        <v>43282</v>
      </c>
      <c r="BG10" s="98">
        <v>43313</v>
      </c>
      <c r="BH10" s="98">
        <v>43344</v>
      </c>
      <c r="BI10" s="98">
        <v>43374</v>
      </c>
      <c r="BJ10" s="98">
        <v>43405</v>
      </c>
      <c r="BK10" s="98">
        <v>43435</v>
      </c>
      <c r="BL10" s="98"/>
      <c r="BM10" s="98">
        <v>43466</v>
      </c>
      <c r="BN10" s="98">
        <v>43497</v>
      </c>
      <c r="BO10" s="98">
        <v>43525</v>
      </c>
      <c r="BP10" s="98">
        <v>43556</v>
      </c>
      <c r="BQ10" s="98">
        <v>43586</v>
      </c>
      <c r="BR10" s="98">
        <v>43617</v>
      </c>
      <c r="BS10" s="98">
        <v>43647</v>
      </c>
      <c r="BT10" s="98">
        <v>43678</v>
      </c>
      <c r="BU10" s="98">
        <v>43709</v>
      </c>
      <c r="BV10" s="98">
        <v>43739</v>
      </c>
      <c r="BW10" s="98">
        <v>43770</v>
      </c>
      <c r="BX10" s="98">
        <v>43800</v>
      </c>
      <c r="BY10" s="98"/>
      <c r="BZ10" s="98">
        <v>43831</v>
      </c>
      <c r="CA10" s="98">
        <v>43863</v>
      </c>
      <c r="CB10" s="98">
        <v>43895</v>
      </c>
      <c r="CC10" s="98">
        <v>43927</v>
      </c>
      <c r="CD10" s="98">
        <v>43959</v>
      </c>
      <c r="CE10" s="98">
        <v>43991</v>
      </c>
      <c r="CF10" s="98">
        <v>44023</v>
      </c>
      <c r="CG10" s="98">
        <v>44055</v>
      </c>
      <c r="CH10" s="98">
        <v>44087</v>
      </c>
      <c r="CI10" s="98">
        <v>44119</v>
      </c>
      <c r="CJ10" s="98">
        <v>44151</v>
      </c>
      <c r="CK10" s="98">
        <v>44183</v>
      </c>
      <c r="CL10" s="127"/>
      <c r="CM10" s="98">
        <v>44197</v>
      </c>
      <c r="CN10" s="98">
        <v>44228</v>
      </c>
      <c r="CO10" s="98">
        <v>44256</v>
      </c>
      <c r="CP10" s="98">
        <v>44287</v>
      </c>
      <c r="CQ10" s="98">
        <v>44317</v>
      </c>
      <c r="CR10" s="98">
        <v>44348</v>
      </c>
      <c r="CS10" s="98">
        <v>44378</v>
      </c>
      <c r="CT10" s="98">
        <v>44409</v>
      </c>
      <c r="CU10" s="98">
        <v>44440</v>
      </c>
      <c r="CV10" s="98">
        <v>44470</v>
      </c>
      <c r="CW10" s="98">
        <v>44501</v>
      </c>
      <c r="CX10" s="98">
        <v>44531</v>
      </c>
      <c r="CY10" s="127"/>
      <c r="CZ10" s="98">
        <v>44562</v>
      </c>
      <c r="DA10" s="98">
        <v>44593</v>
      </c>
      <c r="DB10" s="98">
        <v>44621</v>
      </c>
      <c r="DC10" s="98">
        <v>44652</v>
      </c>
      <c r="DD10" s="98">
        <v>44682</v>
      </c>
      <c r="DE10" s="98">
        <v>44713</v>
      </c>
      <c r="DF10" s="98">
        <v>44743</v>
      </c>
      <c r="DG10" s="98">
        <v>44774</v>
      </c>
      <c r="DH10" s="98">
        <v>44805</v>
      </c>
      <c r="DI10" s="98">
        <v>44835</v>
      </c>
      <c r="DJ10" s="98">
        <v>44866</v>
      </c>
      <c r="DK10" s="98">
        <v>44896</v>
      </c>
      <c r="DL10" s="127"/>
      <c r="DM10" s="98">
        <v>44927</v>
      </c>
      <c r="DN10" s="98">
        <v>44958</v>
      </c>
      <c r="DO10" s="98">
        <v>44986</v>
      </c>
      <c r="DP10" s="98">
        <v>45017</v>
      </c>
      <c r="DQ10" s="98">
        <v>45047</v>
      </c>
      <c r="DR10" s="98">
        <v>45078</v>
      </c>
      <c r="DS10" s="98">
        <v>45108</v>
      </c>
      <c r="DT10" s="98">
        <v>45139</v>
      </c>
      <c r="DU10" s="98">
        <v>45170</v>
      </c>
      <c r="DV10" s="98">
        <v>45200</v>
      </c>
      <c r="DW10" s="123">
        <v>45231</v>
      </c>
      <c r="DX10" s="123">
        <v>45261</v>
      </c>
      <c r="DY10" s="123"/>
      <c r="DZ10" s="98"/>
      <c r="EA10" s="123"/>
      <c r="EB10" s="123"/>
      <c r="EC10" s="127"/>
      <c r="ED10" s="98">
        <f>ED3</f>
        <v>45292</v>
      </c>
      <c r="EE10" s="98">
        <f t="shared" ref="EE10:EO10" si="14">EE3</f>
        <v>45323</v>
      </c>
      <c r="EF10" s="98">
        <f t="shared" si="14"/>
        <v>45352</v>
      </c>
      <c r="EG10" s="98">
        <f t="shared" si="14"/>
        <v>45383</v>
      </c>
      <c r="EH10" s="98">
        <f t="shared" si="14"/>
        <v>45413</v>
      </c>
      <c r="EI10" s="98">
        <f t="shared" si="14"/>
        <v>45444</v>
      </c>
      <c r="EJ10" s="98">
        <f t="shared" si="14"/>
        <v>45474</v>
      </c>
      <c r="EK10" s="98">
        <f t="shared" si="14"/>
        <v>45505</v>
      </c>
      <c r="EL10" s="98">
        <f t="shared" si="14"/>
        <v>45536</v>
      </c>
      <c r="EM10" s="98">
        <f t="shared" si="14"/>
        <v>45566</v>
      </c>
      <c r="EN10" s="98">
        <f t="shared" si="14"/>
        <v>45597</v>
      </c>
      <c r="EO10" s="98">
        <f t="shared" si="14"/>
        <v>45627</v>
      </c>
      <c r="ER10" s="98">
        <f t="shared" ref="ER10:EW10" si="15">ER3</f>
        <v>45658</v>
      </c>
      <c r="ES10" s="98">
        <f t="shared" si="15"/>
        <v>45689</v>
      </c>
      <c r="ET10" s="98">
        <f t="shared" si="15"/>
        <v>45717</v>
      </c>
      <c r="EU10" s="98">
        <f t="shared" si="15"/>
        <v>45748</v>
      </c>
      <c r="EV10" s="98">
        <f t="shared" si="15"/>
        <v>45778</v>
      </c>
      <c r="EW10" s="98">
        <f t="shared" si="15"/>
        <v>45809</v>
      </c>
    </row>
    <row r="11" spans="1:153" s="97" customFormat="1" ht="13" x14ac:dyDescent="0.3">
      <c r="B11" s="107" t="s">
        <v>41</v>
      </c>
      <c r="C11" s="108"/>
      <c r="D11" s="96">
        <f>+SUM(AZ11:BK11)</f>
        <v>2395.4299999999998</v>
      </c>
      <c r="E11" s="96">
        <f>+SUM(BM11:BX11)</f>
        <v>3197.0009999999997</v>
      </c>
      <c r="F11" s="96">
        <f>+SUM(V11:Y11)</f>
        <v>2841273.54</v>
      </c>
      <c r="G11" s="96">
        <f>SUM(AA11:AD11)</f>
        <v>3749956</v>
      </c>
      <c r="H11" s="96">
        <f>SUM(AF11:AI11)</f>
        <v>2196416</v>
      </c>
      <c r="I11" s="96">
        <f>SUM(AK11:AN11)</f>
        <v>2136256.0991806961</v>
      </c>
      <c r="J11" s="96">
        <f>SUM(AP11:AR11)</f>
        <v>1257981.625207887</v>
      </c>
      <c r="K11" s="96">
        <f t="shared" ref="K11" si="16">SUM(AU11:AX11)</f>
        <v>912711</v>
      </c>
      <c r="L11" s="96">
        <f>+SUM(AZ11:BB11)</f>
        <v>515.2940000000001</v>
      </c>
      <c r="M11" s="96">
        <f>+SUM(BC11:BE11)</f>
        <v>641.19900000000007</v>
      </c>
      <c r="N11" s="96">
        <f>+SUM(BF11:BH11)</f>
        <v>627.31400000000008</v>
      </c>
      <c r="O11" s="96">
        <f>+SUM(BI11:BK11)</f>
        <v>611.62300000000005</v>
      </c>
      <c r="Q11" s="96">
        <f>+SUM(BM11:BO11)</f>
        <v>686.72399999999993</v>
      </c>
      <c r="R11" s="96">
        <f>+SUM(BP11:BR11)</f>
        <v>751.36</v>
      </c>
      <c r="S11" s="96">
        <f>+SUM(BS11:BU11)</f>
        <v>966.35799999999995</v>
      </c>
      <c r="T11" s="96">
        <f>+SUM(BV11:BX11)</f>
        <v>792.55900000000008</v>
      </c>
      <c r="V11" s="96">
        <f>+SUM(BZ11:CB11)</f>
        <v>557565</v>
      </c>
      <c r="W11" s="96">
        <f>SUM(CC11:CE11)</f>
        <v>694085.04</v>
      </c>
      <c r="X11" s="96">
        <f t="shared" ref="X11:X23" si="17">SUM(CF11:CH11)</f>
        <v>899731</v>
      </c>
      <c r="Y11" s="96">
        <f t="shared" ref="Y11" si="18">SUM(CI11:CK11)</f>
        <v>689892.5</v>
      </c>
      <c r="AA11" s="96">
        <f t="shared" ref="AA11" si="19">SUM(CM11:CO11)</f>
        <v>1002461</v>
      </c>
      <c r="AB11" s="96">
        <f t="shared" ref="AB11" si="20">SUM(CP11:CR11)</f>
        <v>970260</v>
      </c>
      <c r="AC11" s="96">
        <f t="shared" ref="AC11" si="21">SUM(CS11:CU11)</f>
        <v>989011</v>
      </c>
      <c r="AD11" s="96">
        <f t="shared" ref="AD11" si="22">SUM(CV11:CX11)</f>
        <v>788224</v>
      </c>
      <c r="AE11" s="96"/>
      <c r="AF11" s="96">
        <f>SUM(CZ11:DB11)</f>
        <v>649016</v>
      </c>
      <c r="AG11" s="96">
        <f>SUM(DC11:DE11)</f>
        <v>517439</v>
      </c>
      <c r="AH11" s="96">
        <f>SUM(DF11:DH11)</f>
        <v>595308</v>
      </c>
      <c r="AI11" s="96">
        <f>SUM(DI11:DK11)</f>
        <v>434653</v>
      </c>
      <c r="AJ11" s="96"/>
      <c r="AK11" s="96">
        <f t="shared" ref="AK11" si="23">SUM(DM11:DO11)</f>
        <v>439009</v>
      </c>
      <c r="AL11" s="96">
        <f t="shared" ref="AL11" si="24">SUM(DP11:DR11)</f>
        <v>461141</v>
      </c>
      <c r="AM11" s="96">
        <f>SUM(DS11:DU11)</f>
        <v>609363.82456961495</v>
      </c>
      <c r="AN11" s="96">
        <f>SUM(DV11:DX11)</f>
        <v>626742.274611081</v>
      </c>
      <c r="AO11" s="96"/>
      <c r="AP11" s="96">
        <f t="shared" si="7"/>
        <v>376625.03517852648</v>
      </c>
      <c r="AQ11" s="96">
        <f t="shared" ref="AQ11" si="25">SUM(EG11:EI11)</f>
        <v>401740.59002936055</v>
      </c>
      <c r="AR11" s="96">
        <f>SUM(EJ11:EL11)</f>
        <v>479616</v>
      </c>
      <c r="AS11" s="96">
        <f>SUM(EM11:EO11)</f>
        <v>554832.61776072427</v>
      </c>
      <c r="AT11" s="96"/>
      <c r="AU11" s="96">
        <f>SUM(ER11:ET11)</f>
        <v>476614</v>
      </c>
      <c r="AV11" s="96">
        <f t="shared" ref="AV11:AV23" si="26">SUM(EU11:EW11)</f>
        <v>436097</v>
      </c>
      <c r="AW11" s="96"/>
      <c r="AX11" s="96"/>
      <c r="AY11" s="96"/>
      <c r="AZ11" s="96">
        <f>134460/1000</f>
        <v>134.46</v>
      </c>
      <c r="BA11" s="96">
        <f>152399/1000</f>
        <v>152.399</v>
      </c>
      <c r="BB11" s="96">
        <f>228435/1000</f>
        <v>228.435</v>
      </c>
      <c r="BC11" s="96">
        <f>229032/1000</f>
        <v>229.03200000000001</v>
      </c>
      <c r="BD11" s="96">
        <f>200886/1000</f>
        <v>200.886</v>
      </c>
      <c r="BE11" s="96">
        <f>211281/1000</f>
        <v>211.28100000000001</v>
      </c>
      <c r="BF11" s="96">
        <f>210656/1000</f>
        <v>210.65600000000001</v>
      </c>
      <c r="BG11" s="96">
        <f>200174/1000</f>
        <v>200.17400000000001</v>
      </c>
      <c r="BH11" s="96">
        <f>216484/1000</f>
        <v>216.48400000000001</v>
      </c>
      <c r="BI11" s="96">
        <f>226882/1000</f>
        <v>226.88200000000001</v>
      </c>
      <c r="BJ11" s="96">
        <f>253025/1000</f>
        <v>253.02500000000001</v>
      </c>
      <c r="BK11" s="96">
        <f>131716/1000</f>
        <v>131.71600000000001</v>
      </c>
      <c r="BM11" s="96">
        <f>162790/1000</f>
        <v>162.79</v>
      </c>
      <c r="BN11" s="96">
        <f>252893/1000</f>
        <v>252.893</v>
      </c>
      <c r="BO11" s="96">
        <f>271041/1000</f>
        <v>271.041</v>
      </c>
      <c r="BP11" s="96">
        <f>260123/1000</f>
        <v>260.12299999999999</v>
      </c>
      <c r="BQ11" s="96">
        <f>228342/1000</f>
        <v>228.34200000000001</v>
      </c>
      <c r="BR11" s="96">
        <f>262895/1000</f>
        <v>262.89499999999998</v>
      </c>
      <c r="BS11" s="96">
        <f>276889/1000</f>
        <v>276.88900000000001</v>
      </c>
      <c r="BT11" s="96">
        <f>365251/1000</f>
        <v>365.25099999999998</v>
      </c>
      <c r="BU11" s="96">
        <f>324218/1000</f>
        <v>324.21800000000002</v>
      </c>
      <c r="BV11" s="96">
        <f>335571/1000</f>
        <v>335.57100000000003</v>
      </c>
      <c r="BW11" s="96">
        <f>261348/1000</f>
        <v>261.34800000000001</v>
      </c>
      <c r="BX11" s="96">
        <f>195640/1000</f>
        <v>195.64</v>
      </c>
      <c r="BZ11" s="96">
        <v>141030</v>
      </c>
      <c r="CA11" s="96">
        <v>182177</v>
      </c>
      <c r="CB11" s="96">
        <v>234358</v>
      </c>
      <c r="CC11" s="96">
        <v>203863.7</v>
      </c>
      <c r="CD11" s="96">
        <v>281613</v>
      </c>
      <c r="CE11" s="96">
        <v>208608.34</v>
      </c>
      <c r="CF11" s="96">
        <v>276459</v>
      </c>
      <c r="CG11" s="96">
        <v>309091</v>
      </c>
      <c r="CH11" s="96">
        <v>314181</v>
      </c>
      <c r="CI11" s="96">
        <v>307722.25</v>
      </c>
      <c r="CJ11" s="96">
        <v>267949.00000000006</v>
      </c>
      <c r="CK11" s="96">
        <v>114221.25</v>
      </c>
      <c r="CM11" s="96">
        <v>323918</v>
      </c>
      <c r="CN11" s="96">
        <v>377398</v>
      </c>
      <c r="CO11" s="96">
        <v>301145</v>
      </c>
      <c r="CP11" s="96">
        <v>312546</v>
      </c>
      <c r="CQ11" s="96">
        <v>353619</v>
      </c>
      <c r="CR11" s="96">
        <v>304095</v>
      </c>
      <c r="CS11" s="96">
        <v>338444</v>
      </c>
      <c r="CT11" s="96">
        <v>336493</v>
      </c>
      <c r="CU11" s="96">
        <v>314074</v>
      </c>
      <c r="CV11" s="96">
        <v>260756</v>
      </c>
      <c r="CW11" s="96">
        <v>294016</v>
      </c>
      <c r="CX11" s="96">
        <v>233452</v>
      </c>
      <c r="CZ11" s="96">
        <v>184833</v>
      </c>
      <c r="DA11" s="96">
        <v>241996</v>
      </c>
      <c r="DB11" s="96">
        <v>222187</v>
      </c>
      <c r="DC11" s="96">
        <v>179701</v>
      </c>
      <c r="DD11" s="96">
        <v>158326</v>
      </c>
      <c r="DE11" s="96">
        <v>179412</v>
      </c>
      <c r="DF11" s="96">
        <v>183946</v>
      </c>
      <c r="DG11" s="96">
        <v>190892</v>
      </c>
      <c r="DH11" s="96">
        <v>220470</v>
      </c>
      <c r="DI11" s="96">
        <v>150983</v>
      </c>
      <c r="DJ11" s="96">
        <v>160400</v>
      </c>
      <c r="DK11" s="96">
        <v>123270</v>
      </c>
      <c r="DM11" s="97">
        <v>123790</v>
      </c>
      <c r="DN11" s="97">
        <v>170470</v>
      </c>
      <c r="DO11" s="97">
        <v>144749</v>
      </c>
      <c r="DP11" s="115">
        <f>'[12]Activity indicators'!$H$69</f>
        <v>172045</v>
      </c>
      <c r="DQ11" s="115">
        <f>'[12]Activity indicators'!$I$69</f>
        <v>163356</v>
      </c>
      <c r="DR11" s="97">
        <f>'[13]VIF @ POS May month'!$F$49+'[13]VIF @ POS May month'!$F$50</f>
        <v>125740</v>
      </c>
      <c r="DS11" s="115">
        <f>'[14]Activity indicators'!$K$69</f>
        <v>209409.82456961498</v>
      </c>
      <c r="DT11" s="117">
        <v>205237</v>
      </c>
      <c r="DU11" s="117">
        <v>194717</v>
      </c>
      <c r="DV11" s="97">
        <v>193636</v>
      </c>
      <c r="DW11" s="119">
        <v>224192.27461108105</v>
      </c>
      <c r="DX11" s="117">
        <v>208914</v>
      </c>
      <c r="DY11" s="117"/>
      <c r="DZ11" s="117"/>
      <c r="EA11" s="117"/>
      <c r="EB11" s="117"/>
      <c r="ED11" s="97">
        <v>103722</v>
      </c>
      <c r="EE11" s="97">
        <v>131607</v>
      </c>
      <c r="EF11" s="97">
        <v>141296.03517852648</v>
      </c>
      <c r="EG11" s="129">
        <v>127319.97789125175</v>
      </c>
      <c r="EH11" s="129">
        <v>137210.30606905441</v>
      </c>
      <c r="EI11" s="112">
        <f>EH11</f>
        <v>137210.30606905441</v>
      </c>
      <c r="EJ11" s="97">
        <v>157011</v>
      </c>
      <c r="EK11" s="97">
        <v>154238</v>
      </c>
      <c r="EL11" s="97">
        <v>168367</v>
      </c>
      <c r="EM11" s="115">
        <v>178394.49609988829</v>
      </c>
      <c r="EN11" s="115">
        <v>198043.62556094769</v>
      </c>
      <c r="EO11" s="115">
        <f>EM11</f>
        <v>178394.49609988829</v>
      </c>
      <c r="ER11" s="97">
        <v>121710</v>
      </c>
      <c r="ES11" s="97">
        <v>178083</v>
      </c>
      <c r="ET11" s="97">
        <v>176821</v>
      </c>
      <c r="EU11" s="97">
        <v>132047</v>
      </c>
      <c r="EV11" s="97">
        <v>135764</v>
      </c>
      <c r="EW11" s="97">
        <v>168286</v>
      </c>
    </row>
    <row r="12" spans="1:153" s="97" customFormat="1" ht="13" x14ac:dyDescent="0.3">
      <c r="B12" s="109"/>
      <c r="C12" s="109"/>
      <c r="Q12" s="96"/>
      <c r="R12" s="96"/>
      <c r="S12" s="96"/>
      <c r="T12" s="96"/>
      <c r="V12" s="96"/>
      <c r="W12" s="96"/>
      <c r="X12" s="96"/>
      <c r="Y12" s="96"/>
      <c r="AP12" s="96"/>
      <c r="AZ12" s="96"/>
      <c r="BA12" s="96"/>
      <c r="BB12" s="96"/>
      <c r="BC12" s="96"/>
      <c r="BD12" s="96"/>
      <c r="BE12" s="96"/>
      <c r="BF12" s="96"/>
      <c r="BG12" s="96"/>
      <c r="BH12" s="96"/>
      <c r="BI12" s="96"/>
      <c r="BJ12" s="96"/>
      <c r="BK12" s="96"/>
      <c r="DW12" s="117"/>
      <c r="DX12" s="117"/>
      <c r="DY12" s="117"/>
      <c r="DZ12" s="117"/>
      <c r="EA12" s="117"/>
      <c r="EB12" s="117"/>
      <c r="EG12" s="115"/>
      <c r="EH12" s="115"/>
      <c r="EI12" s="115"/>
    </row>
    <row r="13" spans="1:153" s="97" customFormat="1" ht="13" x14ac:dyDescent="0.3">
      <c r="B13" s="107" t="s">
        <v>40</v>
      </c>
      <c r="C13" s="108"/>
      <c r="D13" s="96">
        <f>+SUM(AZ13:BK13)</f>
        <v>481.57400000000001</v>
      </c>
      <c r="E13" s="96">
        <f>+SUM(BM13:BX13)</f>
        <v>660.61</v>
      </c>
      <c r="F13" s="96">
        <f>+SUM(V13:Y13)</f>
        <v>682410.5</v>
      </c>
      <c r="G13" s="96">
        <f>SUM(AA13:AD13)</f>
        <v>1016375.1754000001</v>
      </c>
      <c r="H13" s="96">
        <f>SUM(AF13:AI13)</f>
        <v>927350</v>
      </c>
      <c r="I13" s="96">
        <f>SUM(AK13:AN13)</f>
        <v>1241115.1992857279</v>
      </c>
      <c r="J13" s="96">
        <f>SUM(AP13:AR13)</f>
        <v>900374.75804692542</v>
      </c>
      <c r="K13" s="96">
        <f t="shared" ref="K13" si="27">SUM(AU13:AX13)</f>
        <v>570535</v>
      </c>
      <c r="L13" s="96">
        <f>+SUM(AZ13:BB13)</f>
        <v>62.980000000000004</v>
      </c>
      <c r="M13" s="96">
        <f>+SUM(BC13:BE13)</f>
        <v>107.959</v>
      </c>
      <c r="N13" s="96">
        <f>+SUM(BF13:BH13)</f>
        <v>149.495</v>
      </c>
      <c r="O13" s="96">
        <f>+SUM(BI13:BK13)</f>
        <v>161.13999999999999</v>
      </c>
      <c r="Q13" s="96">
        <f>+SUM(BM13:BO13)</f>
        <v>171.22</v>
      </c>
      <c r="R13" s="96">
        <f>+SUM(BP13:BR13)</f>
        <v>200.23</v>
      </c>
      <c r="S13" s="96">
        <f>+SUM(BS13:BU13)</f>
        <v>162.39499999999998</v>
      </c>
      <c r="T13" s="96">
        <f>+SUM(BV13:BX13)</f>
        <v>126.765</v>
      </c>
      <c r="V13" s="96">
        <f>+SUM(BZ13:CB13)</f>
        <v>196431</v>
      </c>
      <c r="W13" s="96">
        <f>SUM(CC13:CE13)</f>
        <v>132082.5</v>
      </c>
      <c r="X13" s="96">
        <f t="shared" si="17"/>
        <v>173561</v>
      </c>
      <c r="Y13" s="96">
        <f t="shared" ref="Y13" si="28">SUM(CI13:CK13)</f>
        <v>180336</v>
      </c>
      <c r="AA13" s="96">
        <f t="shared" ref="AA13" si="29">SUM(CM13:CO13)</f>
        <v>205505.17540000001</v>
      </c>
      <c r="AB13" s="96">
        <f t="shared" ref="AB13" si="30">SUM(CP13:CR13)</f>
        <v>252510</v>
      </c>
      <c r="AC13" s="96">
        <f t="shared" ref="AC13" si="31">SUM(CS13:CU13)</f>
        <v>264931</v>
      </c>
      <c r="AD13" s="96">
        <f t="shared" ref="AD13" si="32">SUM(CV13:CX13)</f>
        <v>293429</v>
      </c>
      <c r="AE13" s="96"/>
      <c r="AF13" s="96">
        <f>SUM(CZ13:DB13)</f>
        <v>179385</v>
      </c>
      <c r="AG13" s="96">
        <f>SUM(DC13:DE13)</f>
        <v>215236</v>
      </c>
      <c r="AH13" s="96">
        <f>SUM(DF13:DH13)</f>
        <v>296474</v>
      </c>
      <c r="AI13" s="96">
        <f>SUM(DI13:DK13)</f>
        <v>236255</v>
      </c>
      <c r="AJ13" s="96"/>
      <c r="AK13" s="96">
        <f t="shared" ref="AK13" si="33">SUM(DM13:DO13)</f>
        <v>195575</v>
      </c>
      <c r="AL13" s="96">
        <f t="shared" ref="AL13" si="34">SUM(DP13:DR13)</f>
        <v>320065</v>
      </c>
      <c r="AM13" s="96">
        <f>SUM(DS13:DU13)</f>
        <v>360053.86846315337</v>
      </c>
      <c r="AN13" s="96">
        <f>SUM(DV13:DX13)</f>
        <v>365421.33082257444</v>
      </c>
      <c r="AO13" s="96"/>
      <c r="AP13" s="96">
        <f t="shared" si="7"/>
        <v>302571.76408464101</v>
      </c>
      <c r="AQ13" s="96">
        <f t="shared" ref="AQ13:AQ23" si="35">SUM(EG13:EI13)</f>
        <v>281060.35701121279</v>
      </c>
      <c r="AR13" s="96">
        <f>SUM(EJ13:EL13)</f>
        <v>316742.63695107156</v>
      </c>
      <c r="AS13" s="96">
        <f>SUM(EM13:EO13)</f>
        <v>331896.4857124344</v>
      </c>
      <c r="AT13" s="96"/>
      <c r="AU13" s="96">
        <f>SUM(ER13:ET13)</f>
        <v>308205</v>
      </c>
      <c r="AV13" s="96">
        <f t="shared" si="26"/>
        <v>262330</v>
      </c>
      <c r="AW13" s="96"/>
      <c r="AX13" s="96"/>
      <c r="AY13" s="96"/>
      <c r="AZ13" s="96">
        <v>13.755000000000001</v>
      </c>
      <c r="BA13" s="96">
        <v>21.015000000000001</v>
      </c>
      <c r="BB13" s="96">
        <v>28.21</v>
      </c>
      <c r="BC13" s="96">
        <f>41885/1000</f>
        <v>41.884999999999998</v>
      </c>
      <c r="BD13" s="96">
        <v>30.614999999999998</v>
      </c>
      <c r="BE13" s="96">
        <f>35459/1000</f>
        <v>35.459000000000003</v>
      </c>
      <c r="BF13" s="96">
        <f>58215/1000</f>
        <v>58.215000000000003</v>
      </c>
      <c r="BG13" s="96">
        <f>53355/1000</f>
        <v>53.354999999999997</v>
      </c>
      <c r="BH13" s="96">
        <f>37925/1000</f>
        <v>37.924999999999997</v>
      </c>
      <c r="BI13" s="96">
        <f>54135/1000</f>
        <v>54.134999999999998</v>
      </c>
      <c r="BJ13" s="96">
        <f>59805/1000</f>
        <v>59.805</v>
      </c>
      <c r="BK13" s="96">
        <f>47200/1000</f>
        <v>47.2</v>
      </c>
      <c r="BM13" s="96">
        <f>50525/1000</f>
        <v>50.524999999999999</v>
      </c>
      <c r="BN13" s="96">
        <f>68165/1000</f>
        <v>68.165000000000006</v>
      </c>
      <c r="BO13" s="96">
        <f>52530/1000</f>
        <v>52.53</v>
      </c>
      <c r="BP13" s="96">
        <f>73765/1000</f>
        <v>73.765000000000001</v>
      </c>
      <c r="BQ13" s="96">
        <f>66495/1000</f>
        <v>66.495000000000005</v>
      </c>
      <c r="BR13" s="96">
        <f>59970/1000</f>
        <v>59.97</v>
      </c>
      <c r="BS13" s="96">
        <f>65235/1000</f>
        <v>65.234999999999999</v>
      </c>
      <c r="BT13" s="96">
        <f>42610/1000</f>
        <v>42.61</v>
      </c>
      <c r="BU13" s="96">
        <f>54550/1000</f>
        <v>54.55</v>
      </c>
      <c r="BV13" s="96">
        <f>55795/1000</f>
        <v>55.795000000000002</v>
      </c>
      <c r="BW13" s="96">
        <f>46020/1000</f>
        <v>46.02</v>
      </c>
      <c r="BX13" s="96">
        <v>24.95</v>
      </c>
      <c r="BZ13" s="96">
        <v>56710</v>
      </c>
      <c r="CA13" s="96">
        <v>60002</v>
      </c>
      <c r="CB13" s="96">
        <v>79719</v>
      </c>
      <c r="CC13" s="96">
        <v>39955</v>
      </c>
      <c r="CD13" s="96">
        <v>48100</v>
      </c>
      <c r="CE13" s="96">
        <v>44027.5</v>
      </c>
      <c r="CF13" s="96">
        <v>61686</v>
      </c>
      <c r="CG13" s="96">
        <v>60335</v>
      </c>
      <c r="CH13" s="96">
        <v>51540</v>
      </c>
      <c r="CI13" s="96">
        <v>80375.999999999985</v>
      </c>
      <c r="CJ13" s="96">
        <v>68136</v>
      </c>
      <c r="CK13" s="96">
        <v>31823.999999999996</v>
      </c>
      <c r="CM13" s="96">
        <v>52195.1754</v>
      </c>
      <c r="CN13" s="96">
        <v>91660</v>
      </c>
      <c r="CO13" s="96">
        <v>61650</v>
      </c>
      <c r="CP13" s="96">
        <v>84895</v>
      </c>
      <c r="CQ13" s="96">
        <v>90655</v>
      </c>
      <c r="CR13" s="96">
        <v>76960</v>
      </c>
      <c r="CS13" s="96">
        <v>100565</v>
      </c>
      <c r="CT13" s="96">
        <v>72030</v>
      </c>
      <c r="CU13" s="96">
        <v>92336</v>
      </c>
      <c r="CV13" s="96">
        <v>99654</v>
      </c>
      <c r="CW13" s="96">
        <v>107745</v>
      </c>
      <c r="CX13" s="96">
        <v>86030</v>
      </c>
      <c r="CZ13" s="96">
        <v>56335</v>
      </c>
      <c r="DA13" s="96">
        <v>64720</v>
      </c>
      <c r="DB13" s="96">
        <v>58330</v>
      </c>
      <c r="DC13" s="96">
        <v>58240</v>
      </c>
      <c r="DD13" s="96">
        <v>71975</v>
      </c>
      <c r="DE13" s="96">
        <v>85021</v>
      </c>
      <c r="DF13" s="96">
        <v>100799</v>
      </c>
      <c r="DG13" s="96">
        <v>119645</v>
      </c>
      <c r="DH13" s="96">
        <v>76030</v>
      </c>
      <c r="DI13" s="96">
        <v>84870</v>
      </c>
      <c r="DJ13" s="96">
        <v>73560</v>
      </c>
      <c r="DK13" s="96">
        <v>77825</v>
      </c>
      <c r="DM13" s="97">
        <v>66550</v>
      </c>
      <c r="DN13" s="97">
        <v>64690</v>
      </c>
      <c r="DO13" s="97">
        <v>64335</v>
      </c>
      <c r="DP13" s="97">
        <f>'[12]Activity indicators'!$H$74</f>
        <v>99970</v>
      </c>
      <c r="DQ13" s="97">
        <f>'[12]Activity indicators'!$I$74</f>
        <v>114550</v>
      </c>
      <c r="DR13" s="97">
        <f>'[13]VIF @ POS May month'!$F$51</f>
        <v>105545</v>
      </c>
      <c r="DS13" s="115">
        <f>'[14]Activity indicators'!$K$74</f>
        <v>120489.5748817678</v>
      </c>
      <c r="DT13" s="115">
        <v>120933.42741322725</v>
      </c>
      <c r="DU13" s="115">
        <v>118630.86616815829</v>
      </c>
      <c r="DV13" s="97">
        <v>109505</v>
      </c>
      <c r="DW13" s="119">
        <v>134109.33082257447</v>
      </c>
      <c r="DX13" s="117">
        <v>121807</v>
      </c>
      <c r="DY13" s="117"/>
      <c r="DZ13" s="117"/>
      <c r="EA13" s="117"/>
      <c r="EB13" s="117"/>
      <c r="ED13" s="97">
        <v>70070</v>
      </c>
      <c r="EE13" s="97">
        <v>120730.47877827294</v>
      </c>
      <c r="EF13" s="115">
        <v>111771.28530636805</v>
      </c>
      <c r="EG13" s="115">
        <v>94453.030915833195</v>
      </c>
      <c r="EH13" s="115">
        <v>90084.326095379583</v>
      </c>
      <c r="EI13" s="115">
        <v>96523</v>
      </c>
      <c r="EJ13" s="115">
        <v>104438.72840777437</v>
      </c>
      <c r="EK13" s="115">
        <v>109184.34951527638</v>
      </c>
      <c r="EL13" s="115">
        <v>103119.55902802084</v>
      </c>
      <c r="EM13" s="115">
        <v>107593.80937444337</v>
      </c>
      <c r="EN13" s="115">
        <v>116708.86696354763</v>
      </c>
      <c r="EO13" s="115">
        <f>EM13</f>
        <v>107593.80937444337</v>
      </c>
      <c r="ER13" s="97">
        <v>77695</v>
      </c>
      <c r="ES13" s="97">
        <v>103815</v>
      </c>
      <c r="ET13" s="97">
        <v>126695</v>
      </c>
      <c r="EU13" s="97">
        <v>80325</v>
      </c>
      <c r="EV13" s="97">
        <v>80290</v>
      </c>
      <c r="EW13" s="97">
        <v>101715</v>
      </c>
    </row>
    <row r="14" spans="1:153" s="97" customFormat="1" ht="13" x14ac:dyDescent="0.3">
      <c r="B14" s="109"/>
      <c r="C14" s="109"/>
      <c r="Q14" s="96"/>
      <c r="R14" s="96"/>
      <c r="S14" s="96"/>
      <c r="T14" s="96"/>
      <c r="V14" s="96"/>
      <c r="W14" s="96"/>
      <c r="X14" s="96"/>
      <c r="Y14" s="96"/>
      <c r="AP14" s="96"/>
      <c r="AZ14" s="96"/>
      <c r="BA14" s="96"/>
      <c r="BB14" s="96"/>
      <c r="BC14" s="96"/>
      <c r="BD14" s="96"/>
      <c r="BE14" s="96"/>
      <c r="BF14" s="96"/>
      <c r="BG14" s="96"/>
      <c r="BH14" s="96"/>
      <c r="BI14" s="96"/>
      <c r="BJ14" s="96"/>
      <c r="BK14" s="96"/>
      <c r="DW14" s="117"/>
      <c r="DX14" s="117"/>
      <c r="DY14" s="117"/>
      <c r="DZ14" s="117"/>
      <c r="EA14" s="117"/>
      <c r="EB14" s="117"/>
    </row>
    <row r="15" spans="1:153" s="97" customFormat="1" ht="13" x14ac:dyDescent="0.3">
      <c r="B15" s="107" t="s">
        <v>24</v>
      </c>
      <c r="C15" s="108"/>
      <c r="D15" s="96">
        <v>5344</v>
      </c>
      <c r="E15" s="96">
        <f>+SUM(BM15:BX15)</f>
        <v>7977</v>
      </c>
      <c r="F15" s="96">
        <f>+SUM(V15:Y15)</f>
        <v>6955.7000000000007</v>
      </c>
      <c r="G15" s="96">
        <f>SUM(AA15:AD15)</f>
        <v>7376</v>
      </c>
      <c r="H15" s="96">
        <f>SUM(AF15:AI15)</f>
        <v>4085</v>
      </c>
      <c r="I15" s="96">
        <f>SUM(AK15:AN15)</f>
        <v>3504</v>
      </c>
      <c r="J15" s="96">
        <f>SUM(AP15:AR15)</f>
        <v>2665</v>
      </c>
      <c r="K15" s="96">
        <f t="shared" ref="K15" si="36">SUM(AU15:AX15)</f>
        <v>1619</v>
      </c>
      <c r="L15" s="96">
        <f>+SUM(AZ15:BB15)</f>
        <v>1195</v>
      </c>
      <c r="M15" s="96">
        <f>+SUM(BC15:BE15)</f>
        <v>1450</v>
      </c>
      <c r="N15" s="96">
        <f>+SUM(BF15:BH15)</f>
        <v>1382</v>
      </c>
      <c r="O15" s="96">
        <f>+SUM(BI15:BK15)</f>
        <v>1317</v>
      </c>
      <c r="Q15" s="96">
        <f>+SUM(BM15:BO15)</f>
        <v>1509</v>
      </c>
      <c r="R15" s="96">
        <f>+SUM(BP15:BR15)</f>
        <v>1902</v>
      </c>
      <c r="S15" s="96">
        <f>+SUM(BS15:BU15)</f>
        <v>2479</v>
      </c>
      <c r="T15" s="96">
        <f>+SUM(BV15:BX15)</f>
        <v>2087</v>
      </c>
      <c r="V15" s="96">
        <f>+SUM(BZ15:CB15)</f>
        <v>1387</v>
      </c>
      <c r="W15" s="96">
        <f>SUM(CC15:CE15)</f>
        <v>1850.6</v>
      </c>
      <c r="X15" s="96">
        <f t="shared" si="17"/>
        <v>2078</v>
      </c>
      <c r="Y15" s="96">
        <f t="shared" ref="Y15" si="37">SUM(CI15:CK15)</f>
        <v>1640.1000000000001</v>
      </c>
      <c r="AA15" s="96">
        <f t="shared" ref="AA15" si="38">SUM(CM15:CO15)</f>
        <v>2039</v>
      </c>
      <c r="AB15" s="96">
        <f t="shared" ref="AB15" si="39">SUM(CP15:CR15)</f>
        <v>1840</v>
      </c>
      <c r="AC15" s="96">
        <f t="shared" ref="AC15" si="40">SUM(CS15:CU15)</f>
        <v>1979</v>
      </c>
      <c r="AD15" s="96">
        <f t="shared" ref="AD15" si="41">SUM(CV15:CX15)</f>
        <v>1518</v>
      </c>
      <c r="AE15" s="96"/>
      <c r="AF15" s="96">
        <f>SUM(CZ15:DB15)</f>
        <v>1259</v>
      </c>
      <c r="AG15" s="96">
        <f>SUM(DC15:DE15)</f>
        <v>967</v>
      </c>
      <c r="AH15" s="96">
        <f>SUM(DF15:DH15)</f>
        <v>1028</v>
      </c>
      <c r="AI15" s="96">
        <f>SUM(DI15:DK15)</f>
        <v>831</v>
      </c>
      <c r="AJ15" s="96"/>
      <c r="AK15" s="96">
        <f t="shared" ref="AK15" si="42">SUM(DM15:DO15)</f>
        <v>647</v>
      </c>
      <c r="AL15" s="96">
        <f t="shared" ref="AL15" si="43">SUM(DP15:DR15)</f>
        <v>772</v>
      </c>
      <c r="AM15" s="96">
        <f>SUM(DS15:DU15)</f>
        <v>1116</v>
      </c>
      <c r="AN15" s="96">
        <f>SUM(DV15:DX15)</f>
        <v>969</v>
      </c>
      <c r="AO15" s="96"/>
      <c r="AP15" s="96">
        <f t="shared" si="7"/>
        <v>803</v>
      </c>
      <c r="AQ15" s="96">
        <f t="shared" si="35"/>
        <v>859</v>
      </c>
      <c r="AR15" s="96">
        <f>SUM(EJ15:EL15)</f>
        <v>1003</v>
      </c>
      <c r="AS15" s="96">
        <f>SUM(EM15:EO15)</f>
        <v>1080</v>
      </c>
      <c r="AT15" s="96"/>
      <c r="AU15" s="96">
        <f>SUM(ER15:ET15)</f>
        <v>761</v>
      </c>
      <c r="AV15" s="96">
        <f t="shared" si="26"/>
        <v>858</v>
      </c>
      <c r="AW15" s="96"/>
      <c r="AX15" s="96"/>
      <c r="AY15" s="96"/>
      <c r="AZ15" s="96">
        <v>320</v>
      </c>
      <c r="BA15" s="96">
        <v>377</v>
      </c>
      <c r="BB15" s="96">
        <v>498</v>
      </c>
      <c r="BC15" s="96">
        <v>524</v>
      </c>
      <c r="BD15" s="96">
        <v>482</v>
      </c>
      <c r="BE15" s="96">
        <v>444</v>
      </c>
      <c r="BF15" s="96">
        <v>403</v>
      </c>
      <c r="BG15" s="96">
        <v>478</v>
      </c>
      <c r="BH15" s="96">
        <v>501</v>
      </c>
      <c r="BI15" s="96">
        <v>513</v>
      </c>
      <c r="BJ15" s="96">
        <v>519</v>
      </c>
      <c r="BK15" s="96">
        <v>285</v>
      </c>
      <c r="BM15" s="96">
        <v>385</v>
      </c>
      <c r="BN15" s="96">
        <v>537</v>
      </c>
      <c r="BO15" s="96">
        <v>587</v>
      </c>
      <c r="BP15" s="96">
        <v>608</v>
      </c>
      <c r="BQ15" s="96">
        <v>607</v>
      </c>
      <c r="BR15" s="96">
        <v>687</v>
      </c>
      <c r="BS15" s="96">
        <v>726</v>
      </c>
      <c r="BT15" s="96">
        <v>909</v>
      </c>
      <c r="BU15" s="96">
        <v>844</v>
      </c>
      <c r="BV15" s="96">
        <v>888</v>
      </c>
      <c r="BW15" s="96">
        <v>755</v>
      </c>
      <c r="BX15" s="96">
        <v>444</v>
      </c>
      <c r="BZ15" s="96">
        <v>377</v>
      </c>
      <c r="CA15" s="96">
        <v>446</v>
      </c>
      <c r="CB15" s="96">
        <v>564</v>
      </c>
      <c r="CC15" s="96">
        <v>591</v>
      </c>
      <c r="CD15" s="96">
        <v>720</v>
      </c>
      <c r="CE15" s="96">
        <v>539.6</v>
      </c>
      <c r="CF15" s="96">
        <v>657</v>
      </c>
      <c r="CG15" s="96">
        <v>674</v>
      </c>
      <c r="CH15" s="96">
        <v>747</v>
      </c>
      <c r="CI15" s="96">
        <v>730.95</v>
      </c>
      <c r="CJ15" s="96">
        <v>637.45000000000005</v>
      </c>
      <c r="CK15" s="96">
        <v>271.70000000000005</v>
      </c>
      <c r="CM15" s="96">
        <v>655</v>
      </c>
      <c r="CN15" s="96">
        <v>741</v>
      </c>
      <c r="CO15" s="96">
        <v>643</v>
      </c>
      <c r="CP15" s="96">
        <v>651</v>
      </c>
      <c r="CQ15" s="96">
        <v>670</v>
      </c>
      <c r="CR15" s="96">
        <v>519</v>
      </c>
      <c r="CS15" s="96">
        <v>671</v>
      </c>
      <c r="CT15" s="96">
        <v>671</v>
      </c>
      <c r="CU15" s="96">
        <v>637</v>
      </c>
      <c r="CV15" s="96">
        <v>506</v>
      </c>
      <c r="CW15" s="96">
        <v>531</v>
      </c>
      <c r="CX15" s="96">
        <v>481</v>
      </c>
      <c r="CZ15" s="96">
        <v>371</v>
      </c>
      <c r="DA15" s="96">
        <v>431</v>
      </c>
      <c r="DB15" s="96">
        <v>457</v>
      </c>
      <c r="DC15" s="96">
        <v>351</v>
      </c>
      <c r="DD15" s="96">
        <v>293</v>
      </c>
      <c r="DE15" s="96">
        <v>323</v>
      </c>
      <c r="DF15" s="96">
        <v>346</v>
      </c>
      <c r="DG15" s="96">
        <v>339</v>
      </c>
      <c r="DH15" s="96">
        <v>343</v>
      </c>
      <c r="DI15" s="96">
        <v>268</v>
      </c>
      <c r="DJ15" s="96">
        <v>308</v>
      </c>
      <c r="DK15" s="96">
        <v>255</v>
      </c>
      <c r="DM15" s="97">
        <v>175</v>
      </c>
      <c r="DN15" s="97">
        <v>224</v>
      </c>
      <c r="DO15" s="97">
        <v>248</v>
      </c>
      <c r="DP15" s="97">
        <f>'[12]Activity indicators'!$H$68</f>
        <v>315</v>
      </c>
      <c r="DQ15" s="97">
        <f>'[12]Activity indicators'!$I$68</f>
        <v>232</v>
      </c>
      <c r="DR15" s="97">
        <f>'[13]VIF @ POS May month'!$U$19+'[13]VIF @ POS May month'!$U$20</f>
        <v>225</v>
      </c>
      <c r="DS15" s="97">
        <f>'[14]Activity indicators'!$K$68</f>
        <v>351</v>
      </c>
      <c r="DT15" s="97">
        <v>395</v>
      </c>
      <c r="DU15" s="97">
        <v>370</v>
      </c>
      <c r="DV15" s="97">
        <v>293</v>
      </c>
      <c r="DW15" s="117">
        <v>353</v>
      </c>
      <c r="DX15" s="117">
        <v>323</v>
      </c>
      <c r="DY15" s="117"/>
      <c r="DZ15" s="117"/>
      <c r="EA15" s="117"/>
      <c r="EB15" s="117"/>
      <c r="ED15" s="97">
        <v>225</v>
      </c>
      <c r="EE15" s="97">
        <v>246</v>
      </c>
      <c r="EF15" s="97">
        <v>332</v>
      </c>
      <c r="EG15" s="97">
        <v>208</v>
      </c>
      <c r="EH15" s="97">
        <v>308</v>
      </c>
      <c r="EI15" s="97">
        <v>343</v>
      </c>
      <c r="EJ15" s="97">
        <v>344</v>
      </c>
      <c r="EK15" s="97">
        <v>323</v>
      </c>
      <c r="EL15" s="97">
        <v>336</v>
      </c>
      <c r="EM15" s="97">
        <v>336</v>
      </c>
      <c r="EN15" s="97">
        <v>372</v>
      </c>
      <c r="EO15" s="97">
        <f t="shared" ref="EO15:EO17" si="44">EN15</f>
        <v>372</v>
      </c>
      <c r="ER15" s="97">
        <v>265</v>
      </c>
      <c r="ES15" s="97">
        <v>373</v>
      </c>
      <c r="ET15" s="97">
        <v>123</v>
      </c>
      <c r="EU15" s="97">
        <v>255</v>
      </c>
      <c r="EV15" s="97">
        <v>277</v>
      </c>
      <c r="EW15" s="97">
        <v>326</v>
      </c>
    </row>
    <row r="16" spans="1:153" s="97" customFormat="1" ht="13" x14ac:dyDescent="0.3">
      <c r="B16" s="109"/>
      <c r="C16" s="109"/>
      <c r="L16" s="96"/>
      <c r="M16" s="96"/>
      <c r="N16" s="96"/>
      <c r="O16" s="96"/>
      <c r="Q16" s="96"/>
      <c r="R16" s="96"/>
      <c r="S16" s="96"/>
      <c r="T16" s="96"/>
      <c r="V16" s="96"/>
      <c r="W16" s="96"/>
      <c r="X16" s="96"/>
      <c r="Y16" s="96"/>
      <c r="AP16" s="96"/>
      <c r="AZ16" s="96"/>
      <c r="BA16" s="96"/>
      <c r="BB16" s="96"/>
      <c r="BC16" s="96"/>
      <c r="BD16" s="96"/>
      <c r="BE16" s="96"/>
      <c r="BF16" s="96"/>
      <c r="BG16" s="96"/>
      <c r="BH16" s="96"/>
      <c r="BI16" s="96"/>
      <c r="BJ16" s="96"/>
      <c r="BK16" s="96"/>
      <c r="DW16" s="117"/>
      <c r="DX16" s="117"/>
      <c r="DY16" s="117"/>
      <c r="DZ16" s="117"/>
      <c r="EA16" s="117"/>
      <c r="EB16" s="117"/>
    </row>
    <row r="17" spans="2:153" s="97" customFormat="1" ht="13" x14ac:dyDescent="0.3">
      <c r="B17" s="107" t="s">
        <v>25</v>
      </c>
      <c r="C17" s="108"/>
      <c r="D17" s="96">
        <v>889</v>
      </c>
      <c r="E17" s="96">
        <f>+SUM(BM17:BX17)</f>
        <v>1320</v>
      </c>
      <c r="F17" s="96">
        <f>+SUM(V17:Y17)</f>
        <v>1388.56</v>
      </c>
      <c r="G17" s="96">
        <f>SUM(AA17:AD17)</f>
        <v>1509</v>
      </c>
      <c r="H17" s="96">
        <f>SUM(AF17:AI17)</f>
        <v>1423</v>
      </c>
      <c r="I17" s="96">
        <f>SUM(AK17:AN17)</f>
        <v>1502</v>
      </c>
      <c r="J17" s="96">
        <f>SUM(AP17:AR17)</f>
        <v>1108</v>
      </c>
      <c r="K17" s="96">
        <f t="shared" ref="K17" si="45">SUM(AU17:AX17)</f>
        <v>738</v>
      </c>
      <c r="L17" s="96">
        <f>+SUM(AZ17:BB17)</f>
        <v>117</v>
      </c>
      <c r="M17" s="96">
        <f>+SUM(BC17:BE17)</f>
        <v>202</v>
      </c>
      <c r="N17" s="96">
        <f>+SUM(BF17:BH17)</f>
        <v>276</v>
      </c>
      <c r="O17" s="96">
        <f>+SUM(BI17:BK17)</f>
        <v>294</v>
      </c>
      <c r="Q17" s="96">
        <f>+SUM(BM17:BO17)</f>
        <v>353</v>
      </c>
      <c r="R17" s="96">
        <f>+SUM(BP17:BR17)</f>
        <v>373</v>
      </c>
      <c r="S17" s="96">
        <f>+SUM(BS17:BU17)</f>
        <v>319</v>
      </c>
      <c r="T17" s="96">
        <f>+SUM(BV17:BX17)</f>
        <v>275</v>
      </c>
      <c r="V17" s="96">
        <f>+SUM(BZ17:CB17)</f>
        <v>501</v>
      </c>
      <c r="W17" s="96">
        <f>SUM(CC17:CE17)</f>
        <v>240</v>
      </c>
      <c r="X17" s="96">
        <f t="shared" si="17"/>
        <v>347</v>
      </c>
      <c r="Y17" s="96">
        <f t="shared" ref="Y17" si="46">SUM(CI17:CK17)</f>
        <v>300.55999999999995</v>
      </c>
      <c r="AA17" s="96">
        <f t="shared" ref="AA17" si="47">SUM(CM17:CO17)</f>
        <v>300</v>
      </c>
      <c r="AB17" s="96">
        <f t="shared" ref="AB17" si="48">SUM(CP17:CR17)</f>
        <v>349</v>
      </c>
      <c r="AC17" s="96">
        <f t="shared" ref="AC17" si="49">SUM(CS17:CU17)</f>
        <v>417</v>
      </c>
      <c r="AD17" s="96">
        <f t="shared" ref="AD17" si="50">SUM(CV17:CX17)</f>
        <v>443</v>
      </c>
      <c r="AE17" s="96"/>
      <c r="AF17" s="96">
        <f>SUM(CZ17:DB17)</f>
        <v>309</v>
      </c>
      <c r="AG17" s="96">
        <f>SUM(DC17:DE17)</f>
        <v>331</v>
      </c>
      <c r="AH17" s="96">
        <f>SUM(DF17:DH17)</f>
        <v>443</v>
      </c>
      <c r="AI17" s="96">
        <f>SUM(DI17:DK17)</f>
        <v>340</v>
      </c>
      <c r="AJ17" s="96"/>
      <c r="AK17" s="96">
        <f t="shared" ref="AK17" si="51">SUM(DM17:DO17)</f>
        <v>311</v>
      </c>
      <c r="AL17" s="96">
        <f t="shared" ref="AL17" si="52">SUM(DP17:DR17)</f>
        <v>397</v>
      </c>
      <c r="AM17" s="96">
        <f>SUM(DS17:DU17)</f>
        <v>415</v>
      </c>
      <c r="AN17" s="96">
        <f>SUM(DV17:DX17)</f>
        <v>379</v>
      </c>
      <c r="AO17" s="96"/>
      <c r="AP17" s="96">
        <f t="shared" si="7"/>
        <v>378</v>
      </c>
      <c r="AQ17" s="96">
        <f t="shared" si="35"/>
        <v>346</v>
      </c>
      <c r="AR17" s="96">
        <f>SUM(EJ17:EL17)</f>
        <v>384</v>
      </c>
      <c r="AS17" s="96">
        <f>SUM(EM17:EO17)</f>
        <v>372</v>
      </c>
      <c r="AT17" s="96"/>
      <c r="AU17" s="96">
        <f>SUM(ER17:ET17)</f>
        <v>373</v>
      </c>
      <c r="AV17" s="96">
        <f t="shared" si="26"/>
        <v>365</v>
      </c>
      <c r="AW17" s="96"/>
      <c r="AX17" s="96"/>
      <c r="AY17" s="96"/>
      <c r="AZ17" s="96">
        <v>34</v>
      </c>
      <c r="BA17" s="96">
        <v>26</v>
      </c>
      <c r="BB17" s="96">
        <v>57</v>
      </c>
      <c r="BC17" s="96">
        <v>79</v>
      </c>
      <c r="BD17" s="96">
        <v>59</v>
      </c>
      <c r="BE17" s="96">
        <v>64</v>
      </c>
      <c r="BF17" s="96">
        <v>95</v>
      </c>
      <c r="BG17" s="96">
        <v>90</v>
      </c>
      <c r="BH17" s="96">
        <v>91</v>
      </c>
      <c r="BI17" s="96">
        <v>83</v>
      </c>
      <c r="BJ17" s="96">
        <v>108</v>
      </c>
      <c r="BK17" s="96">
        <v>103</v>
      </c>
      <c r="BM17" s="96">
        <v>106</v>
      </c>
      <c r="BN17" s="96">
        <v>130</v>
      </c>
      <c r="BO17" s="96">
        <v>117</v>
      </c>
      <c r="BP17" s="96">
        <v>124</v>
      </c>
      <c r="BQ17" s="96">
        <v>121</v>
      </c>
      <c r="BR17" s="96">
        <v>128</v>
      </c>
      <c r="BS17" s="96">
        <v>115</v>
      </c>
      <c r="BT17" s="96">
        <v>89</v>
      </c>
      <c r="BU17" s="96">
        <v>115</v>
      </c>
      <c r="BV17" s="96">
        <v>112</v>
      </c>
      <c r="BW17" s="96">
        <v>99</v>
      </c>
      <c r="BX17" s="96">
        <v>64</v>
      </c>
      <c r="BZ17" s="96">
        <v>163</v>
      </c>
      <c r="CA17" s="96">
        <v>156</v>
      </c>
      <c r="CB17" s="96">
        <v>182</v>
      </c>
      <c r="CC17" s="96">
        <v>73</v>
      </c>
      <c r="CD17" s="96">
        <v>87</v>
      </c>
      <c r="CE17" s="96">
        <v>80</v>
      </c>
      <c r="CF17" s="96">
        <v>100</v>
      </c>
      <c r="CG17" s="96">
        <v>138</v>
      </c>
      <c r="CH17" s="96">
        <v>109</v>
      </c>
      <c r="CI17" s="96">
        <v>133.95999999999998</v>
      </c>
      <c r="CJ17" s="96">
        <v>113.55999999999999</v>
      </c>
      <c r="CK17" s="96">
        <v>53.039999999999992</v>
      </c>
      <c r="CM17" s="96">
        <v>86</v>
      </c>
      <c r="CN17" s="96">
        <v>108</v>
      </c>
      <c r="CO17" s="96">
        <v>106</v>
      </c>
      <c r="CP17" s="96">
        <v>120</v>
      </c>
      <c r="CQ17" s="96">
        <v>115</v>
      </c>
      <c r="CR17" s="96">
        <v>114</v>
      </c>
      <c r="CS17" s="96">
        <v>140</v>
      </c>
      <c r="CT17" s="96">
        <v>125</v>
      </c>
      <c r="CU17" s="96">
        <v>152</v>
      </c>
      <c r="CV17" s="96">
        <v>144</v>
      </c>
      <c r="CW17" s="96">
        <v>170</v>
      </c>
      <c r="CX17" s="96">
        <v>129</v>
      </c>
      <c r="CZ17" s="96">
        <v>100</v>
      </c>
      <c r="DA17" s="96">
        <v>102</v>
      </c>
      <c r="DB17" s="96">
        <v>107</v>
      </c>
      <c r="DC17" s="96">
        <v>92</v>
      </c>
      <c r="DD17" s="96">
        <v>118</v>
      </c>
      <c r="DE17" s="96">
        <v>121</v>
      </c>
      <c r="DF17" s="96">
        <v>170</v>
      </c>
      <c r="DG17" s="96">
        <v>173</v>
      </c>
      <c r="DH17" s="96">
        <v>100</v>
      </c>
      <c r="DI17" s="96">
        <v>125</v>
      </c>
      <c r="DJ17" s="96">
        <v>103</v>
      </c>
      <c r="DK17" s="96">
        <v>112</v>
      </c>
      <c r="DM17" s="97">
        <v>111</v>
      </c>
      <c r="DN17" s="97">
        <v>92</v>
      </c>
      <c r="DO17" s="97">
        <v>108</v>
      </c>
      <c r="DP17" s="97">
        <f>'[12]Activity indicators'!$H$73</f>
        <v>150</v>
      </c>
      <c r="DQ17" s="97">
        <f>'[12]Activity indicators'!$I$73</f>
        <v>136</v>
      </c>
      <c r="DR17" s="97">
        <f>'[13]VIF @ POS May month'!$U$21</f>
        <v>111</v>
      </c>
      <c r="DS17" s="97">
        <f>'[14]Activity indicators'!$K$73</f>
        <v>151</v>
      </c>
      <c r="DT17" s="97">
        <v>130</v>
      </c>
      <c r="DU17" s="97">
        <v>134</v>
      </c>
      <c r="DV17" s="97">
        <v>108</v>
      </c>
      <c r="DW17" s="117">
        <v>145</v>
      </c>
      <c r="DX17" s="117">
        <v>126</v>
      </c>
      <c r="DY17" s="117"/>
      <c r="DZ17" s="117"/>
      <c r="EA17" s="117"/>
      <c r="EB17" s="117"/>
      <c r="ED17" s="97">
        <v>88</v>
      </c>
      <c r="EE17" s="97">
        <v>151</v>
      </c>
      <c r="EF17" s="97">
        <v>139</v>
      </c>
      <c r="EG17" s="97">
        <v>110</v>
      </c>
      <c r="EH17" s="97">
        <v>113</v>
      </c>
      <c r="EI17" s="97">
        <v>123</v>
      </c>
      <c r="EJ17" s="97">
        <v>130</v>
      </c>
      <c r="EK17" s="97">
        <v>139</v>
      </c>
      <c r="EL17" s="97">
        <v>115</v>
      </c>
      <c r="EM17" s="97">
        <v>128</v>
      </c>
      <c r="EN17" s="97">
        <v>122</v>
      </c>
      <c r="EO17" s="97">
        <f t="shared" si="44"/>
        <v>122</v>
      </c>
      <c r="ER17" s="97">
        <v>92</v>
      </c>
      <c r="ES17" s="97">
        <v>119</v>
      </c>
      <c r="ET17" s="97">
        <v>162</v>
      </c>
      <c r="EU17" s="97">
        <v>125</v>
      </c>
      <c r="EV17" s="97">
        <v>107</v>
      </c>
      <c r="EW17" s="97">
        <v>133</v>
      </c>
    </row>
    <row r="18" spans="2:153" s="97" customFormat="1" ht="13" x14ac:dyDescent="0.3">
      <c r="B18" s="107"/>
      <c r="C18" s="108"/>
      <c r="Q18" s="96"/>
      <c r="R18" s="96"/>
      <c r="S18" s="96"/>
      <c r="T18" s="96"/>
      <c r="V18" s="96"/>
      <c r="W18" s="96"/>
      <c r="X18" s="96"/>
      <c r="Y18" s="96"/>
      <c r="AP18" s="96"/>
      <c r="AQ18" s="96"/>
      <c r="AR18" s="96"/>
      <c r="AS18" s="96"/>
      <c r="AT18" s="96"/>
      <c r="AU18" s="96"/>
      <c r="AV18" s="96"/>
      <c r="AW18" s="96"/>
      <c r="AZ18" s="96"/>
      <c r="BA18" s="96"/>
      <c r="BB18" s="96"/>
      <c r="BC18" s="96"/>
      <c r="BD18" s="96"/>
      <c r="BE18" s="96"/>
      <c r="BF18" s="96"/>
      <c r="BG18" s="96"/>
      <c r="BH18" s="96"/>
      <c r="BI18" s="96"/>
      <c r="BJ18" s="96"/>
      <c r="BK18" s="96"/>
      <c r="CC18" s="96"/>
      <c r="CD18" s="96"/>
    </row>
    <row r="19" spans="2:153" s="97" customFormat="1" ht="13" x14ac:dyDescent="0.3">
      <c r="B19" s="110" t="s">
        <v>39</v>
      </c>
      <c r="C19" s="111"/>
      <c r="D19" s="96">
        <f>+AVERAGE(AZ19:BK19)</f>
        <v>399</v>
      </c>
      <c r="E19" s="96">
        <f>+AVERAGE(BM19:BX19)</f>
        <v>367.96692612037555</v>
      </c>
      <c r="F19" s="96">
        <f>F23/F26*1000</f>
        <v>4112.3653140725537</v>
      </c>
      <c r="G19" s="96">
        <f>G23/G26*1000</f>
        <v>4290.4568055529808</v>
      </c>
      <c r="H19" s="96">
        <f>H23*4/H26*1000</f>
        <v>17780.385597674584</v>
      </c>
      <c r="I19" s="96">
        <f>I23*4/I26*1000</f>
        <v>18244.682428841235</v>
      </c>
      <c r="J19" s="96">
        <f>J23*4/J26*1000</f>
        <v>10607.89832188412</v>
      </c>
      <c r="K19" s="96">
        <f>+AVERAGE(ER19:EW19)</f>
        <v>304.11643959482632</v>
      </c>
      <c r="L19" s="96">
        <f>+AVERAGE(AZ19:BB19)</f>
        <v>399</v>
      </c>
      <c r="M19" s="96">
        <f>+AVERAGE(BC19:BE19)</f>
        <v>399</v>
      </c>
      <c r="N19" s="96">
        <f>+AVERAGE(BF19:BH19)</f>
        <v>399</v>
      </c>
      <c r="O19" s="96">
        <f>+AVERAGE(BI19:BK19)</f>
        <v>399</v>
      </c>
      <c r="Q19" s="96">
        <f>+AVERAGE(BM19:BO19)</f>
        <v>402.79629838011357</v>
      </c>
      <c r="R19" s="96">
        <f>+AVERAGE(BP19:BR19)</f>
        <v>351.84685358486314</v>
      </c>
      <c r="S19" s="96">
        <f>+AVERAGE(BS19:BU19)</f>
        <v>345.78221150335912</v>
      </c>
      <c r="T19" s="96">
        <f>+AVERAGE(BV19:BX19)</f>
        <v>371.44234101316664</v>
      </c>
      <c r="V19" s="96">
        <f>AVERAGE(BZ19:CB19)</f>
        <v>384.06148920940706</v>
      </c>
      <c r="W19" s="96">
        <f>AVERAGE(CC19:CE19)</f>
        <v>368.08251893294255</v>
      </c>
      <c r="X19" s="96">
        <f>AVERAGE(CF19:CH19)</f>
        <v>371.3474400105975</v>
      </c>
      <c r="Y19" s="96">
        <f>AVERAGE(CI19:CK19)</f>
        <v>358.27331588950454</v>
      </c>
      <c r="AA19" s="96">
        <f t="shared" ref="AA19:AD19" si="53">AA23/AA26*1000</f>
        <v>1100.0607861495021</v>
      </c>
      <c r="AB19" s="96">
        <f>AB23/AB26*1000</f>
        <v>1100.4801385958181</v>
      </c>
      <c r="AC19" s="96">
        <f t="shared" si="53"/>
        <v>1145.7567402844286</v>
      </c>
      <c r="AD19" s="96">
        <f t="shared" si="53"/>
        <v>1093.9589206915732</v>
      </c>
      <c r="AE19" s="96"/>
      <c r="AF19" s="96">
        <f>SUM(CZ19:DB19)</f>
        <v>1044.1825332492754</v>
      </c>
      <c r="AG19" s="96">
        <f>SUM(DC19:DE19)</f>
        <v>1116.7747716856184</v>
      </c>
      <c r="AH19" s="96">
        <f>SUM(DF19:DH19)</f>
        <v>1163.0120280996975</v>
      </c>
      <c r="AI19" s="96">
        <f>SUM(DI19:DK19)</f>
        <v>1158.9489387024626</v>
      </c>
      <c r="AJ19" s="96"/>
      <c r="AK19" s="113">
        <f>SUM(DM19:DO19)/3</f>
        <v>395.52839772151066</v>
      </c>
      <c r="AL19" s="113">
        <f>SUM(DP19:DR19)/3</f>
        <v>405.58098242235025</v>
      </c>
      <c r="AM19" s="96">
        <f>SUM(DS19:DU19)/3</f>
        <v>382.28977729855234</v>
      </c>
      <c r="AN19" s="96">
        <f>SUM(DV19:DX19)</f>
        <v>1203.5387986239414</v>
      </c>
      <c r="AO19" s="96"/>
      <c r="AP19" s="96">
        <f t="shared" si="7"/>
        <v>851.14339183146967</v>
      </c>
      <c r="AQ19" s="96">
        <f t="shared" si="35"/>
        <v>982.92775823539932</v>
      </c>
      <c r="AR19" s="96">
        <f>SUM(EJ19:EL19)</f>
        <v>944.68304237209463</v>
      </c>
      <c r="AS19" s="96">
        <f>SUM(EM19:EO19)</f>
        <v>932.61069913207302</v>
      </c>
      <c r="AT19" s="96"/>
      <c r="AU19" s="96">
        <f>SUM(ER19:ET19)</f>
        <v>922.94530703891292</v>
      </c>
      <c r="AV19" s="96">
        <f t="shared" si="26"/>
        <v>901.75333053004499</v>
      </c>
      <c r="AW19" s="96"/>
      <c r="AX19" s="96"/>
      <c r="AY19" s="96"/>
      <c r="AZ19" s="96">
        <v>399</v>
      </c>
      <c r="BA19" s="96">
        <v>399</v>
      </c>
      <c r="BB19" s="96">
        <v>399</v>
      </c>
      <c r="BC19" s="96">
        <v>399</v>
      </c>
      <c r="BD19" s="96">
        <v>399</v>
      </c>
      <c r="BE19" s="96">
        <v>399</v>
      </c>
      <c r="BF19" s="96">
        <v>399</v>
      </c>
      <c r="BG19" s="96">
        <v>399</v>
      </c>
      <c r="BH19" s="96">
        <v>399</v>
      </c>
      <c r="BI19" s="96">
        <v>399</v>
      </c>
      <c r="BJ19" s="96">
        <v>399</v>
      </c>
      <c r="BK19" s="96">
        <v>399</v>
      </c>
      <c r="BM19" s="96">
        <v>384.83996218354429</v>
      </c>
      <c r="BN19" s="96">
        <v>423.96866389850061</v>
      </c>
      <c r="BO19" s="96">
        <v>399.58026905829593</v>
      </c>
      <c r="BP19" s="96">
        <v>370.93942505133469</v>
      </c>
      <c r="BQ19" s="96">
        <v>343.78927563499531</v>
      </c>
      <c r="BR19" s="96">
        <v>340.81186006825936</v>
      </c>
      <c r="BS19" s="96">
        <v>340.50781265060243</v>
      </c>
      <c r="BT19" s="96">
        <v>355.7388218594748</v>
      </c>
      <c r="BU19" s="96">
        <v>341.1</v>
      </c>
      <c r="BV19" s="96">
        <v>359.72230113636363</v>
      </c>
      <c r="BW19" s="96">
        <v>340.82596084118927</v>
      </c>
      <c r="BX19" s="96">
        <v>413.77876106194691</v>
      </c>
      <c r="BZ19" s="96">
        <f>BZ23/BZ26*1000</f>
        <v>385.86857388021286</v>
      </c>
      <c r="CA19" s="96">
        <f t="shared" ref="CA19:CD19" si="54">CA23/CA26*1000</f>
        <v>386.52855590636295</v>
      </c>
      <c r="CB19" s="96">
        <f t="shared" si="54"/>
        <v>379.78733784164547</v>
      </c>
      <c r="CC19" s="96">
        <f t="shared" si="54"/>
        <v>390.58352068370357</v>
      </c>
      <c r="CD19" s="96">
        <f t="shared" si="54"/>
        <v>382.32820225648948</v>
      </c>
      <c r="CE19" s="96">
        <f>CE23/CE26*1000</f>
        <v>331.33583385863466</v>
      </c>
      <c r="CF19" s="96">
        <f t="shared" ref="CF19:CG19" si="55">CF23/CF26*1000</f>
        <v>380.12698027190578</v>
      </c>
      <c r="CG19" s="96">
        <f t="shared" si="55"/>
        <v>364.42153209723489</v>
      </c>
      <c r="CH19" s="96">
        <f>CH23/CH26*1000</f>
        <v>369.49380766265193</v>
      </c>
      <c r="CI19" s="96">
        <f>CI23/CI26*1000</f>
        <v>356.7469567469567</v>
      </c>
      <c r="CJ19" s="96">
        <f t="shared" ref="CJ19:CX19" si="56">CJ23/CJ26*1000</f>
        <v>364.43263291139237</v>
      </c>
      <c r="CK19" s="96">
        <f t="shared" si="56"/>
        <v>353.64035801016445</v>
      </c>
      <c r="CM19" s="96">
        <f>CM23/CM26*1000</f>
        <v>371.60813483377541</v>
      </c>
      <c r="CN19" s="96">
        <f t="shared" si="56"/>
        <v>387.12797108385178</v>
      </c>
      <c r="CO19" s="96">
        <f t="shared" si="56"/>
        <v>361.96135879526429</v>
      </c>
      <c r="CP19" s="96">
        <f>CP23/CP26*1000</f>
        <v>372.64311549890715</v>
      </c>
      <c r="CQ19" s="96">
        <f t="shared" si="56"/>
        <v>367.47158010455854</v>
      </c>
      <c r="CR19" s="96">
        <f t="shared" si="56"/>
        <v>375.95163581431035</v>
      </c>
      <c r="CS19" s="96">
        <f>CS23/CS26*1000</f>
        <v>384.20449931419495</v>
      </c>
      <c r="CT19" s="96">
        <f t="shared" si="56"/>
        <v>393.47141052128165</v>
      </c>
      <c r="CU19" s="96">
        <f t="shared" si="56"/>
        <v>356.20491629935293</v>
      </c>
      <c r="CV19" s="96">
        <f>CV23/CV26*1000</f>
        <v>380.09310358659746</v>
      </c>
      <c r="CW19" s="96">
        <f t="shared" si="56"/>
        <v>369.92646847143493</v>
      </c>
      <c r="CX19" s="96">
        <f t="shared" si="56"/>
        <v>356.11453879669972</v>
      </c>
      <c r="CZ19" s="96">
        <f>CZ23/CZ26*1000</f>
        <v>339.17148224685326</v>
      </c>
      <c r="DA19" s="96">
        <f t="shared" ref="DA19:DB19" si="57">DA23/DA26*1000</f>
        <v>355.39074531516184</v>
      </c>
      <c r="DB19" s="96">
        <f t="shared" si="57"/>
        <v>349.62030568726016</v>
      </c>
      <c r="DC19" s="96">
        <f>DC23/DC26*1000</f>
        <v>379.28363079866091</v>
      </c>
      <c r="DD19" s="96">
        <f t="shared" ref="DD19:DE19" si="58">DD23/DD26*1000</f>
        <v>358.76261921199858</v>
      </c>
      <c r="DE19" s="96">
        <f t="shared" si="58"/>
        <v>378.72852167495898</v>
      </c>
      <c r="DF19" s="96">
        <f>DF23/DF26*1000</f>
        <v>385.4016700259142</v>
      </c>
      <c r="DG19" s="96">
        <f t="shared" ref="DG19:DH19" si="59">DG23/DG26*1000</f>
        <v>388.93379381291794</v>
      </c>
      <c r="DH19" s="96">
        <f t="shared" si="59"/>
        <v>388.67656426086535</v>
      </c>
      <c r="DI19" s="96">
        <f>DI23/DI26*1000</f>
        <v>385.76310343167927</v>
      </c>
      <c r="DJ19" s="96">
        <f t="shared" ref="DJ19:DX19" si="60">DJ23/DJ26*1000</f>
        <v>392.74071911643074</v>
      </c>
      <c r="DK19" s="96">
        <f t="shared" si="60"/>
        <v>380.44511615435243</v>
      </c>
      <c r="DM19" s="96">
        <f t="shared" si="60"/>
        <v>401.66178377599539</v>
      </c>
      <c r="DN19" s="96">
        <f t="shared" si="60"/>
        <v>394.49895137767277</v>
      </c>
      <c r="DO19" s="96">
        <f t="shared" si="60"/>
        <v>390.42445801086382</v>
      </c>
      <c r="DP19" s="96">
        <f t="shared" si="60"/>
        <v>401.53067720167746</v>
      </c>
      <c r="DQ19" s="96">
        <f t="shared" si="60"/>
        <v>398.48772001519893</v>
      </c>
      <c r="DR19" s="96">
        <f t="shared" si="60"/>
        <v>416.72455005017446</v>
      </c>
      <c r="DS19" s="96">
        <f t="shared" si="60"/>
        <v>385.33232318269347</v>
      </c>
      <c r="DT19" s="122">
        <f t="shared" si="60"/>
        <v>375.68152047702273</v>
      </c>
      <c r="DU19" s="122">
        <f t="shared" si="60"/>
        <v>385.85548823594081</v>
      </c>
      <c r="DV19" s="122">
        <f t="shared" si="60"/>
        <v>383.64599078995428</v>
      </c>
      <c r="DW19" s="122">
        <f t="shared" si="60"/>
        <v>405.87296138094325</v>
      </c>
      <c r="DX19" s="122">
        <f t="shared" si="60"/>
        <v>414.01984645304378</v>
      </c>
      <c r="DY19" s="122"/>
      <c r="DZ19" s="122"/>
      <c r="EA19" s="122"/>
      <c r="EB19" s="122"/>
      <c r="ED19" s="96">
        <f t="shared" ref="ED19:EO19" si="61">ED23/ED26*1000</f>
        <v>285.49036274710926</v>
      </c>
      <c r="EE19" s="96">
        <f t="shared" si="61"/>
        <v>281.24051807273048</v>
      </c>
      <c r="EF19" s="96">
        <f t="shared" si="61"/>
        <v>284.41251101162999</v>
      </c>
      <c r="EG19" s="96">
        <f t="shared" si="61"/>
        <v>326.76644296667058</v>
      </c>
      <c r="EH19" s="96">
        <f t="shared" si="61"/>
        <v>327.91856221358586</v>
      </c>
      <c r="EI19" s="96">
        <f t="shared" si="61"/>
        <v>328.24275305514288</v>
      </c>
      <c r="EJ19" s="96">
        <f t="shared" si="61"/>
        <v>319.64349377163023</v>
      </c>
      <c r="EK19" s="96">
        <f t="shared" si="61"/>
        <v>313.12510568829578</v>
      </c>
      <c r="EL19" s="96">
        <f t="shared" si="61"/>
        <v>311.91444291216862</v>
      </c>
      <c r="EM19" s="96">
        <f t="shared" si="61"/>
        <v>311.74184304010663</v>
      </c>
      <c r="EN19" s="96">
        <f t="shared" si="61"/>
        <v>309.84201797350886</v>
      </c>
      <c r="EO19" s="96">
        <f t="shared" si="61"/>
        <v>311.02683811845753</v>
      </c>
      <c r="ER19" s="96">
        <f t="shared" ref="ER19:EW19" si="62">ER23/ER26*1000</f>
        <v>298.10291054401159</v>
      </c>
      <c r="ES19" s="96">
        <f t="shared" si="62"/>
        <v>312.95844020335176</v>
      </c>
      <c r="ET19" s="96">
        <f t="shared" si="62"/>
        <v>311.88395629154957</v>
      </c>
      <c r="EU19" s="96">
        <f t="shared" si="62"/>
        <v>304.80967331875064</v>
      </c>
      <c r="EV19" s="96">
        <f t="shared" si="62"/>
        <v>300.56480941409268</v>
      </c>
      <c r="EW19" s="96">
        <f t="shared" si="62"/>
        <v>296.37884779720173</v>
      </c>
    </row>
    <row r="20" spans="2:153" s="97" customFormat="1" ht="13" x14ac:dyDescent="0.3">
      <c r="B20" s="109"/>
      <c r="C20" s="109"/>
      <c r="Q20" s="96"/>
      <c r="R20" s="96"/>
      <c r="S20" s="96"/>
      <c r="T20" s="96"/>
      <c r="V20" s="96"/>
      <c r="W20" s="96"/>
      <c r="X20" s="96"/>
      <c r="Y20" s="96"/>
      <c r="AP20" s="96"/>
      <c r="AZ20" s="96"/>
      <c r="BA20" s="96"/>
      <c r="BB20" s="96"/>
      <c r="BC20" s="96"/>
      <c r="BD20" s="96"/>
      <c r="BE20" s="96"/>
      <c r="BF20" s="96"/>
      <c r="BG20" s="96"/>
      <c r="BH20" s="96"/>
      <c r="BI20" s="96"/>
      <c r="BJ20" s="96"/>
      <c r="BK20" s="96"/>
    </row>
    <row r="21" spans="2:153" s="97" customFormat="1" ht="13" x14ac:dyDescent="0.3">
      <c r="B21" s="110" t="s">
        <v>38</v>
      </c>
      <c r="C21" s="111"/>
      <c r="D21" s="96">
        <f>+SUM(AZ21:BK21)</f>
        <v>-42499.174550817203</v>
      </c>
      <c r="E21" s="96">
        <f>+SUM(BM21:BX21)</f>
        <v>-46676.360638810787</v>
      </c>
      <c r="F21" s="96">
        <f>+SUM(V21:Y21)</f>
        <v>-47090.228600051676</v>
      </c>
      <c r="G21" s="96">
        <f>SUM(AA21:AD21)</f>
        <v>-52779.980042836803</v>
      </c>
      <c r="H21" s="96">
        <f>SUM(AF21:AI21)</f>
        <v>-48496.488743038208</v>
      </c>
      <c r="I21" s="96">
        <f>SUM(AK21:AN21)</f>
        <v>-49332.692708985451</v>
      </c>
      <c r="J21" s="96">
        <f>SUM(AP21:AR21)</f>
        <v>-46835.942290015053</v>
      </c>
      <c r="K21" s="96">
        <f t="shared" ref="K21" si="63">SUM(AU21:AX21)</f>
        <v>-33338.44126</v>
      </c>
      <c r="L21" s="96">
        <f>+SUM(AZ21:BB21)</f>
        <v>-11479.4951572588</v>
      </c>
      <c r="M21" s="96">
        <f>+SUM(BC21:BE21)</f>
        <v>-12240.988717258801</v>
      </c>
      <c r="N21" s="96">
        <f>+SUM(BF21:BH21)</f>
        <v>-9586.5555572588</v>
      </c>
      <c r="O21" s="96">
        <f>+SUM(BI21:BK21)</f>
        <v>-9192.1351190407986</v>
      </c>
      <c r="Q21" s="96">
        <f>+SUM(BM21:BO21)</f>
        <v>-10830.3489571888</v>
      </c>
      <c r="R21" s="96">
        <f>+SUM(BP21:BR21)</f>
        <v>-12013.833610124693</v>
      </c>
      <c r="S21" s="96">
        <f>+SUM(BS21:BU21)</f>
        <v>-12804.913634955801</v>
      </c>
      <c r="T21" s="96">
        <f>+SUM(BV21:BX21)</f>
        <v>-11027.2644365415</v>
      </c>
      <c r="V21" s="96">
        <f>+SUM(BZ21:CB21)</f>
        <v>-11766.910462409101</v>
      </c>
      <c r="W21" s="96">
        <f>SUM(CC21:CE21)</f>
        <v>-10772.688899101578</v>
      </c>
      <c r="X21" s="96">
        <f t="shared" si="17"/>
        <v>-12013.401667195001</v>
      </c>
      <c r="Y21" s="96">
        <f t="shared" ref="Y21:Y23" si="64">SUM(CI21:CK21)</f>
        <v>-12537.227571345999</v>
      </c>
      <c r="AA21" s="96">
        <f t="shared" ref="AA21" si="65">SUM(CM21:CO21)</f>
        <v>-13690.3545135108</v>
      </c>
      <c r="AB21" s="96">
        <f t="shared" ref="AB21" si="66">SUM(CP21:CR21)</f>
        <v>-13369.998852082601</v>
      </c>
      <c r="AC21" s="96">
        <f t="shared" ref="AC21" si="67">SUM(CS21:CU21)</f>
        <v>-13359.463701415201</v>
      </c>
      <c r="AD21" s="96">
        <f t="shared" ref="AD21" si="68">SUM(CV21:CX21)</f>
        <v>-12360.162975828202</v>
      </c>
      <c r="AE21" s="96"/>
      <c r="AF21" s="96">
        <f>SUM(CZ21:DB21)</f>
        <v>-12357.842757755203</v>
      </c>
      <c r="AG21" s="96">
        <f>SUM(DC21:DE21)</f>
        <v>-13010</v>
      </c>
      <c r="AH21" s="96">
        <f>SUM(DF21:DH21)</f>
        <v>-12077</v>
      </c>
      <c r="AI21" s="96">
        <f>SUM(DI21:DK21)</f>
        <v>-11051.645985283001</v>
      </c>
      <c r="AJ21" s="96"/>
      <c r="AK21" s="96">
        <f t="shared" ref="AK21" si="69">SUM(DM21:DO21)</f>
        <v>-12018.625883985449</v>
      </c>
      <c r="AL21" s="96">
        <f t="shared" ref="AL21:AL23" si="70">SUM(DP21:DR21)</f>
        <v>-14101.136825</v>
      </c>
      <c r="AM21" s="96">
        <f>SUM(DS21:DU21)</f>
        <v>-10270.93</v>
      </c>
      <c r="AN21" s="96">
        <f>SUM(DV21:DX21)</f>
        <v>-12942</v>
      </c>
      <c r="AO21" s="96"/>
      <c r="AP21" s="96">
        <f t="shared" si="7"/>
        <v>-12333</v>
      </c>
      <c r="AQ21" s="96">
        <f t="shared" si="35"/>
        <v>-17155</v>
      </c>
      <c r="AR21" s="96">
        <f>SUM(EJ21:EL21)</f>
        <v>-17347.942290015053</v>
      </c>
      <c r="AS21" s="96">
        <f>SUM(EM21:EO21)</f>
        <v>-15794</v>
      </c>
      <c r="AT21" s="96"/>
      <c r="AU21" s="96">
        <f>SUM(ER21:ET21)</f>
        <v>-16394.44126</v>
      </c>
      <c r="AV21" s="96">
        <f t="shared" si="26"/>
        <v>-16944</v>
      </c>
      <c r="AW21" s="96"/>
      <c r="AX21" s="96"/>
      <c r="AY21" s="96"/>
      <c r="AZ21" s="96">
        <v>-2967.1761724196003</v>
      </c>
      <c r="BA21" s="96">
        <v>-4357.1998824195989</v>
      </c>
      <c r="BB21" s="96">
        <v>-4155.1191024196005</v>
      </c>
      <c r="BC21" s="96">
        <v>-3813.7756224196</v>
      </c>
      <c r="BD21" s="96">
        <v>-4367.7710324195996</v>
      </c>
      <c r="BE21" s="96">
        <v>-4059.4420624196005</v>
      </c>
      <c r="BF21" s="96">
        <v>-2879.3968124195999</v>
      </c>
      <c r="BG21" s="96">
        <v>-3449.3054524196004</v>
      </c>
      <c r="BH21" s="96">
        <v>-3257.8532924195997</v>
      </c>
      <c r="BI21" s="96">
        <v>-3103.1856624195993</v>
      </c>
      <c r="BJ21" s="96">
        <v>-3429.5787324195999</v>
      </c>
      <c r="BK21" s="96">
        <v>-2659.3707242015989</v>
      </c>
      <c r="BM21" s="96">
        <v>-3344.5177524996002</v>
      </c>
      <c r="BN21" s="96">
        <v>-3489.0443322696001</v>
      </c>
      <c r="BO21" s="96">
        <v>-3996.7868724196001</v>
      </c>
      <c r="BP21" s="96">
        <v>-4193.0734124196006</v>
      </c>
      <c r="BQ21" s="96">
        <v>-4006.5454224196001</v>
      </c>
      <c r="BR21" s="96">
        <v>-3814.2147752854921</v>
      </c>
      <c r="BS21" s="96">
        <v>-4227.8279756965994</v>
      </c>
      <c r="BT21" s="96">
        <v>-4181.029769549601</v>
      </c>
      <c r="BU21" s="96">
        <v>-4396.0558897095998</v>
      </c>
      <c r="BV21" s="96">
        <v>-4229.8587878396002</v>
      </c>
      <c r="BW21" s="96">
        <v>-3927.3815624196</v>
      </c>
      <c r="BX21" s="96">
        <v>-2870.0240862822998</v>
      </c>
      <c r="BZ21" s="96">
        <v>-3724.9205556195998</v>
      </c>
      <c r="CA21" s="96">
        <v>-4077.0995652731003</v>
      </c>
      <c r="CB21" s="96">
        <v>-3964.8903415164004</v>
      </c>
      <c r="CC21" s="96">
        <v>-3631.2695636046001</v>
      </c>
      <c r="CD21" s="96">
        <v>-3359.1487952648799</v>
      </c>
      <c r="CE21" s="96">
        <v>-3782.2705402320994</v>
      </c>
      <c r="CF21" s="96">
        <v>-4031.325695558</v>
      </c>
      <c r="CG21" s="96">
        <v>-3927.3255575120002</v>
      </c>
      <c r="CH21" s="96">
        <v>-4054.7504141250006</v>
      </c>
      <c r="CI21" s="96">
        <v>-4558.4670239959996</v>
      </c>
      <c r="CJ21" s="96">
        <v>-4599.7951452929992</v>
      </c>
      <c r="CK21" s="96">
        <v>-3378.9654020569997</v>
      </c>
      <c r="CM21" s="96">
        <v>-4011.2173753434995</v>
      </c>
      <c r="CN21" s="96">
        <v>-4644.0826322269986</v>
      </c>
      <c r="CO21" s="96">
        <v>-5035.0545059403003</v>
      </c>
      <c r="CP21" s="96">
        <v>-4723.1567645937994</v>
      </c>
      <c r="CQ21" s="96">
        <v>-4482.0940675934016</v>
      </c>
      <c r="CR21" s="96">
        <v>-4164.7480198953999</v>
      </c>
      <c r="CS21" s="96">
        <v>-4180.1362901663997</v>
      </c>
      <c r="CT21" s="96">
        <v>-4808.9423170824002</v>
      </c>
      <c r="CU21" s="96">
        <v>-4370.3850941664004</v>
      </c>
      <c r="CV21" s="96">
        <v>-4452.5731231854006</v>
      </c>
      <c r="CW21" s="96">
        <v>-4496.5891361623999</v>
      </c>
      <c r="CX21" s="96">
        <v>-3411.0007164804006</v>
      </c>
      <c r="CZ21" s="96">
        <v>-3900.2535159764006</v>
      </c>
      <c r="DA21" s="96">
        <v>-4089.3272151904002</v>
      </c>
      <c r="DB21" s="96">
        <v>-4368.2620265884007</v>
      </c>
      <c r="DC21" s="96">
        <v>-4117</v>
      </c>
      <c r="DD21" s="96">
        <v>-4303</v>
      </c>
      <c r="DE21" s="96">
        <v>-4590</v>
      </c>
      <c r="DF21" s="96">
        <v>-4177</v>
      </c>
      <c r="DG21" s="96">
        <v>-4106</v>
      </c>
      <c r="DH21" s="96">
        <v>-3794</v>
      </c>
      <c r="DI21" s="96">
        <v>-3885.778733354</v>
      </c>
      <c r="DJ21" s="96">
        <v>-4162.6364019290004</v>
      </c>
      <c r="DK21" s="96">
        <v>-3003.2308499999999</v>
      </c>
      <c r="DM21" s="96">
        <v>-3590</v>
      </c>
      <c r="DN21" s="96">
        <v>-3944</v>
      </c>
      <c r="DO21" s="96">
        <v>-4484.6258839854499</v>
      </c>
      <c r="DP21" s="96">
        <f>'[15]Income statement'!$H$25</f>
        <v>-4291.5690224999998</v>
      </c>
      <c r="DQ21" s="96">
        <f>'[15]Income statement'!$I$25</f>
        <v>-4633.5678024999997</v>
      </c>
      <c r="DR21" s="96">
        <v>-5176</v>
      </c>
      <c r="DS21" s="96">
        <v>-3103</v>
      </c>
      <c r="DT21" s="96">
        <v>-3413.3</v>
      </c>
      <c r="DU21" s="96">
        <v>-3754.63</v>
      </c>
      <c r="DV21" s="96">
        <v>-4720</v>
      </c>
      <c r="DW21" s="96">
        <v>-4111</v>
      </c>
      <c r="DX21" s="96">
        <v>-4111</v>
      </c>
      <c r="DY21" s="96"/>
      <c r="DZ21" s="96"/>
      <c r="EA21" s="96"/>
      <c r="EB21" s="96"/>
      <c r="ED21" s="96">
        <v>-4111</v>
      </c>
      <c r="EE21" s="96">
        <v>-4111</v>
      </c>
      <c r="EF21" s="96">
        <v>-4111</v>
      </c>
      <c r="EG21" s="96">
        <v>-5686</v>
      </c>
      <c r="EH21" s="96">
        <v>-5699</v>
      </c>
      <c r="EI21" s="96">
        <v>-5770</v>
      </c>
      <c r="EJ21" s="96">
        <v>-5770.2285637843534</v>
      </c>
      <c r="EK21" s="96">
        <v>-5770.4311388989636</v>
      </c>
      <c r="EL21" s="96">
        <v>-5807.2825873317361</v>
      </c>
      <c r="EM21" s="97">
        <v>-5954</v>
      </c>
      <c r="EN21" s="97">
        <v>-5602</v>
      </c>
      <c r="EO21" s="97">
        <v>-4238</v>
      </c>
      <c r="ER21" s="96">
        <f>'[11]Income Statement'!$H$48</f>
        <v>-5159.4265300000006</v>
      </c>
      <c r="ES21" s="96">
        <f>'[11]Income Statement'!$J$48</f>
        <v>-6235.8956999999973</v>
      </c>
      <c r="ET21" s="96">
        <f>'[11]Income Statement'!$L$48</f>
        <v>-4999.1190300000026</v>
      </c>
      <c r="EU21" s="96">
        <v>-5469</v>
      </c>
      <c r="EV21" s="96">
        <v>-5827</v>
      </c>
      <c r="EW21" s="96">
        <v>-5648</v>
      </c>
    </row>
    <row r="22" spans="2:153" s="97" customFormat="1" ht="13" x14ac:dyDescent="0.3">
      <c r="B22" s="109"/>
      <c r="C22" s="109"/>
      <c r="L22" s="96"/>
      <c r="M22" s="96"/>
      <c r="N22" s="96"/>
      <c r="O22" s="96"/>
      <c r="Q22" s="96"/>
      <c r="R22" s="96"/>
      <c r="S22" s="96"/>
      <c r="T22" s="96"/>
      <c r="V22" s="96"/>
      <c r="W22" s="96"/>
      <c r="X22" s="96"/>
      <c r="Y22" s="96"/>
      <c r="AP22" s="96"/>
      <c r="AZ22" s="96"/>
      <c r="BA22" s="96"/>
      <c r="BB22" s="96"/>
      <c r="BC22" s="96"/>
      <c r="BD22" s="96"/>
      <c r="BE22" s="96"/>
      <c r="BF22" s="96"/>
      <c r="BG22" s="96"/>
      <c r="BH22" s="96"/>
      <c r="BI22" s="96"/>
      <c r="BJ22" s="96"/>
      <c r="BK22" s="96"/>
      <c r="EG22" s="96"/>
      <c r="EH22" s="96"/>
      <c r="EI22" s="96"/>
    </row>
    <row r="23" spans="2:153" s="97" customFormat="1" ht="13" x14ac:dyDescent="0.3">
      <c r="B23" s="110" t="s">
        <v>37</v>
      </c>
      <c r="C23" s="111"/>
      <c r="D23" s="96">
        <f>+SUM(AZ23:BK23)</f>
        <v>134869.39964999998</v>
      </c>
      <c r="E23" s="96">
        <f>+SUM(BM23:BX23)</f>
        <v>146663.24105000001</v>
      </c>
      <c r="F23" s="96">
        <f>+SUM(V23:Y23)</f>
        <v>164260.20773999998</v>
      </c>
      <c r="G23" s="96">
        <f>SUM(AA23:AD23)</f>
        <v>185124.63024600002</v>
      </c>
      <c r="H23" s="96">
        <f>SUM(AF23:AI23)</f>
        <v>186565.14098</v>
      </c>
      <c r="I23" s="96">
        <f>SUM(AK23:AN23)</f>
        <v>207679.22008749977</v>
      </c>
      <c r="J23" s="96">
        <f>SUM(AP23:AR23)</f>
        <v>136383.09674988367</v>
      </c>
      <c r="K23" s="96">
        <f t="shared" ref="K23" si="71">SUM(AU23:AX23)</f>
        <v>99566.261416590016</v>
      </c>
      <c r="L23" s="96">
        <f>+SUM(AZ23:BB23)</f>
        <v>33509.467530000002</v>
      </c>
      <c r="M23" s="96">
        <f>+SUM(BC23:BE23)</f>
        <v>33425.234899999996</v>
      </c>
      <c r="N23" s="96">
        <f>+SUM(BF23:BH23)</f>
        <v>34066.432920000007</v>
      </c>
      <c r="O23" s="96">
        <f>+SUM(BI23:BK23)</f>
        <v>33868.264299999988</v>
      </c>
      <c r="Q23" s="96">
        <f>+SUM(BM23:BO23)</f>
        <v>33357.507619999997</v>
      </c>
      <c r="R23" s="96">
        <f>+SUM(BP23:BR23)</f>
        <v>37922.455349999997</v>
      </c>
      <c r="S23" s="96">
        <f>+SUM(BS23:BU23)</f>
        <v>39427.696870000022</v>
      </c>
      <c r="T23" s="96">
        <f>+SUM(BV23:BX23)</f>
        <v>35955.581210000004</v>
      </c>
      <c r="V23" s="96">
        <f>+SUM(BZ23:CB23)</f>
        <v>40558.574140000004</v>
      </c>
      <c r="W23" s="96">
        <f>SUM(CC23:CE23)</f>
        <v>39979.771460000004</v>
      </c>
      <c r="X23" s="96">
        <f t="shared" si="17"/>
        <v>41427.316319999998</v>
      </c>
      <c r="Y23" s="96">
        <f t="shared" si="64"/>
        <v>42294.545819999999</v>
      </c>
      <c r="AA23" s="96">
        <f t="shared" ref="AA23" si="72">SUM(CM23:CO23)</f>
        <v>44413.854179999995</v>
      </c>
      <c r="AB23" s="96">
        <f t="shared" ref="AB23" si="73">SUM(CP23:CR23)</f>
        <v>45894.423699999999</v>
      </c>
      <c r="AC23" s="96">
        <f t="shared" ref="AC23" si="74">SUM(CS23:CU23)</f>
        <v>47614.212855999998</v>
      </c>
      <c r="AD23" s="96">
        <f t="shared" ref="AD23" si="75">SUM(CV23:CX23)</f>
        <v>47202.139510000001</v>
      </c>
      <c r="AE23" s="96"/>
      <c r="AF23" s="96">
        <f>SUM(CZ23:DB23)</f>
        <v>44137.42671</v>
      </c>
      <c r="AG23" s="96">
        <f>SUM(DC23:DE23)</f>
        <v>46840.714269999997</v>
      </c>
      <c r="AH23" s="96">
        <f>SUM(DF23:DH23)</f>
        <v>47806</v>
      </c>
      <c r="AI23" s="96">
        <f>SUM(DI23:DK23)</f>
        <v>47781</v>
      </c>
      <c r="AJ23" s="96"/>
      <c r="AK23" s="96">
        <f t="shared" ref="AK23" si="76">SUM(DM23:DO23)</f>
        <v>49335</v>
      </c>
      <c r="AL23" s="96">
        <f t="shared" si="70"/>
        <v>51066.572377199773</v>
      </c>
      <c r="AM23" s="96">
        <f>SUM(DS23:DU23)</f>
        <v>51541.195825799994</v>
      </c>
      <c r="AN23" s="96">
        <f>SUM(DV23:DX23)</f>
        <v>55736.451884499991</v>
      </c>
      <c r="AO23" s="96"/>
      <c r="AP23" s="96">
        <f t="shared" si="7"/>
        <v>41147.952721383816</v>
      </c>
      <c r="AQ23" s="96">
        <f t="shared" si="35"/>
        <v>47326.009331179208</v>
      </c>
      <c r="AR23" s="96">
        <f>SUM(EJ23:EL23)</f>
        <v>47909.134697320631</v>
      </c>
      <c r="AS23" s="96">
        <f>SUM(EM23:EO23)</f>
        <v>48048.680805661395</v>
      </c>
      <c r="AT23" s="96"/>
      <c r="AU23" s="96">
        <f>SUM(ER23:ET23)</f>
        <v>49322.044486073792</v>
      </c>
      <c r="AV23" s="96">
        <f t="shared" si="26"/>
        <v>50244.216930516217</v>
      </c>
      <c r="AW23" s="96"/>
      <c r="AX23" s="96"/>
      <c r="AY23" s="96"/>
      <c r="AZ23" s="96">
        <f>+AZ4</f>
        <v>10410.98639</v>
      </c>
      <c r="BA23" s="96">
        <f t="shared" ref="BA23:BK23" si="77">+BA4</f>
        <v>11854.896990000003</v>
      </c>
      <c r="BB23" s="96">
        <f t="shared" si="77"/>
        <v>11243.584150000001</v>
      </c>
      <c r="BC23" s="96">
        <f t="shared" si="77"/>
        <v>11497.60627</v>
      </c>
      <c r="BD23" s="96">
        <f t="shared" si="77"/>
        <v>10633.450139999999</v>
      </c>
      <c r="BE23" s="96">
        <f t="shared" si="77"/>
        <v>11294.178490000002</v>
      </c>
      <c r="BF23" s="96">
        <f t="shared" si="77"/>
        <v>11076.425489999996</v>
      </c>
      <c r="BG23" s="96">
        <f t="shared" si="77"/>
        <v>11222.903420000002</v>
      </c>
      <c r="BH23" s="96">
        <f t="shared" si="77"/>
        <v>11767.104010000006</v>
      </c>
      <c r="BI23" s="96">
        <f t="shared" si="77"/>
        <v>11390.247399999993</v>
      </c>
      <c r="BJ23" s="96">
        <f t="shared" si="77"/>
        <v>11381.752459999994</v>
      </c>
      <c r="BK23" s="96">
        <f t="shared" si="77"/>
        <v>11096.264439999999</v>
      </c>
      <c r="BM23" s="96">
        <f>+BM4</f>
        <v>10265.101790000001</v>
      </c>
      <c r="BN23" s="96">
        <f t="shared" ref="BN23:CX23" si="78">+BN4</f>
        <v>11590.802920000002</v>
      </c>
      <c r="BO23" s="96">
        <f t="shared" si="78"/>
        <v>11501.602909999996</v>
      </c>
      <c r="BP23" s="96">
        <f t="shared" si="78"/>
        <v>12315.045319999992</v>
      </c>
      <c r="BQ23" s="96">
        <f t="shared" si="78"/>
        <v>12975.808799999999</v>
      </c>
      <c r="BR23" s="96">
        <f t="shared" si="78"/>
        <v>12631.601230000006</v>
      </c>
      <c r="BS23" s="96">
        <f t="shared" si="78"/>
        <v>12979.747120000016</v>
      </c>
      <c r="BT23" s="96">
        <f t="shared" si="78"/>
        <v>13118.100679999989</v>
      </c>
      <c r="BU23" s="96">
        <f t="shared" si="78"/>
        <v>13329.849070000018</v>
      </c>
      <c r="BV23" s="96">
        <f t="shared" si="78"/>
        <v>11994.410299999985</v>
      </c>
      <c r="BW23" s="96">
        <f t="shared" si="78"/>
        <v>12245.071769999991</v>
      </c>
      <c r="BX23" s="96">
        <f t="shared" si="78"/>
        <v>11716.099140000031</v>
      </c>
      <c r="BZ23" s="96">
        <f t="shared" si="78"/>
        <v>13490.737080000001</v>
      </c>
      <c r="CA23" s="96">
        <f t="shared" si="78"/>
        <v>13589.184440000001</v>
      </c>
      <c r="CB23" s="96">
        <f t="shared" si="78"/>
        <v>13478.652619999999</v>
      </c>
      <c r="CC23" s="96">
        <f>+CC4</f>
        <v>14030.541229999999</v>
      </c>
      <c r="CD23" s="96">
        <f t="shared" si="78"/>
        <v>13859.77966</v>
      </c>
      <c r="CE23" s="96">
        <f t="shared" si="78"/>
        <v>12089.450570000001</v>
      </c>
      <c r="CF23" s="96">
        <f t="shared" si="78"/>
        <v>14008.05935</v>
      </c>
      <c r="CG23" s="96">
        <f t="shared" si="78"/>
        <v>13522.225369999998</v>
      </c>
      <c r="CH23" s="96">
        <f t="shared" si="78"/>
        <v>13897.031600000002</v>
      </c>
      <c r="CI23" s="96">
        <v>13774</v>
      </c>
      <c r="CJ23" s="96">
        <f t="shared" si="78"/>
        <v>14395.089</v>
      </c>
      <c r="CK23" s="96">
        <f t="shared" si="78"/>
        <v>14125.456819999999</v>
      </c>
      <c r="CM23" s="96">
        <f>+CM4</f>
        <v>14430.6587</v>
      </c>
      <c r="CN23" s="96">
        <f t="shared" si="78"/>
        <v>15369.367579999998</v>
      </c>
      <c r="CO23" s="96">
        <f t="shared" si="78"/>
        <v>14613.8279</v>
      </c>
      <c r="CP23" s="96">
        <f t="shared" si="78"/>
        <v>15173.65502</v>
      </c>
      <c r="CQ23" s="96">
        <f t="shared" si="78"/>
        <v>15042.08166</v>
      </c>
      <c r="CR23" s="96">
        <f t="shared" si="78"/>
        <v>15678.687019999999</v>
      </c>
      <c r="CS23" s="96">
        <f t="shared" si="78"/>
        <v>15966.386377999999</v>
      </c>
      <c r="CT23" s="96">
        <f t="shared" si="78"/>
        <v>16454.974387999999</v>
      </c>
      <c r="CU23" s="96">
        <f t="shared" si="78"/>
        <v>15192.85209</v>
      </c>
      <c r="CV23" s="96">
        <f t="shared" si="78"/>
        <v>16108.345730000001</v>
      </c>
      <c r="CW23" s="96">
        <f t="shared" si="78"/>
        <v>15728.16366</v>
      </c>
      <c r="CX23" s="96">
        <f t="shared" si="78"/>
        <v>15365.63012</v>
      </c>
      <c r="CZ23" s="96">
        <f>+CZ4</f>
        <v>14443.278399999999</v>
      </c>
      <c r="DA23" s="96">
        <f t="shared" ref="DA23:DX23" si="79">+DA4</f>
        <v>15020.234460000001</v>
      </c>
      <c r="DB23" s="96">
        <f t="shared" si="79"/>
        <v>14673.913849999997</v>
      </c>
      <c r="DC23" s="96">
        <f t="shared" si="79"/>
        <v>15861.641439999999</v>
      </c>
      <c r="DD23" s="96">
        <f t="shared" si="79"/>
        <v>15069.82382</v>
      </c>
      <c r="DE23" s="96">
        <f t="shared" si="79"/>
        <v>15909.249010000001</v>
      </c>
      <c r="DF23" s="96">
        <f t="shared" si="79"/>
        <v>16062</v>
      </c>
      <c r="DG23" s="96">
        <f t="shared" si="79"/>
        <v>15879</v>
      </c>
      <c r="DH23" s="96">
        <f t="shared" si="79"/>
        <v>15865</v>
      </c>
      <c r="DI23" s="96">
        <f t="shared" si="79"/>
        <v>16030</v>
      </c>
      <c r="DJ23" s="96">
        <f t="shared" si="79"/>
        <v>16144</v>
      </c>
      <c r="DK23" s="96">
        <f t="shared" si="79"/>
        <v>15607</v>
      </c>
      <c r="DM23" s="96">
        <f t="shared" si="79"/>
        <v>16726</v>
      </c>
      <c r="DN23" s="96">
        <f t="shared" si="79"/>
        <v>16365</v>
      </c>
      <c r="DO23" s="96">
        <f t="shared" si="79"/>
        <v>16244</v>
      </c>
      <c r="DP23" s="96">
        <f t="shared" si="79"/>
        <v>16851.4394608</v>
      </c>
      <c r="DQ23" s="96">
        <f t="shared" si="79"/>
        <v>16773.543598599768</v>
      </c>
      <c r="DR23" s="96">
        <f t="shared" si="79"/>
        <v>17441.589317800001</v>
      </c>
      <c r="DS23" s="96">
        <f t="shared" si="79"/>
        <v>17010.495406900001</v>
      </c>
      <c r="DT23" s="122">
        <f t="shared" si="79"/>
        <v>16979.677680999997</v>
      </c>
      <c r="DU23" s="122">
        <f t="shared" si="79"/>
        <v>17551.022737900003</v>
      </c>
      <c r="DV23" s="122">
        <f t="shared" si="79"/>
        <v>17857.569933300001</v>
      </c>
      <c r="DW23" s="96">
        <f t="shared" si="79"/>
        <v>19027.7303025</v>
      </c>
      <c r="DX23" s="96">
        <f t="shared" si="79"/>
        <v>18851.15164869999</v>
      </c>
      <c r="DY23" s="96"/>
      <c r="DZ23" s="96"/>
      <c r="EA23" s="96"/>
      <c r="EB23" s="96"/>
      <c r="ED23" s="96">
        <f t="shared" ref="ED23:EO23" si="80">+ED4</f>
        <v>14030.138386843939</v>
      </c>
      <c r="EE23" s="96">
        <f t="shared" si="80"/>
        <v>13471.702056201862</v>
      </c>
      <c r="EF23" s="96">
        <f t="shared" si="80"/>
        <v>13646.112278338009</v>
      </c>
      <c r="EG23" s="96">
        <f t="shared" si="80"/>
        <v>15653.092917432421</v>
      </c>
      <c r="EH23" s="96">
        <f t="shared" si="80"/>
        <v>15818.791441183381</v>
      </c>
      <c r="EI23" s="96">
        <f t="shared" si="80"/>
        <v>15854.124972563402</v>
      </c>
      <c r="EJ23" s="96">
        <f t="shared" si="80"/>
        <v>15907.697754532725</v>
      </c>
      <c r="EK23" s="96">
        <f t="shared" si="80"/>
        <v>15960.612887143812</v>
      </c>
      <c r="EL23" s="96">
        <f t="shared" si="80"/>
        <v>16040.824055644096</v>
      </c>
      <c r="EM23" s="96">
        <f t="shared" si="80"/>
        <v>16181.272104839773</v>
      </c>
      <c r="EN23" s="96">
        <f t="shared" si="80"/>
        <v>16290.873621011149</v>
      </c>
      <c r="EO23" s="96">
        <f t="shared" si="80"/>
        <v>15576.535079810474</v>
      </c>
      <c r="ER23" s="96">
        <f t="shared" ref="ER23:EW23" si="81">+ER4</f>
        <v>16058.207585184819</v>
      </c>
      <c r="ES23" s="96">
        <f t="shared" si="81"/>
        <v>16581.164078853984</v>
      </c>
      <c r="ET23" s="96">
        <f t="shared" si="81"/>
        <v>16682.672822034987</v>
      </c>
      <c r="EU23" s="96">
        <f t="shared" si="81"/>
        <v>16748.072310172072</v>
      </c>
      <c r="EV23" s="96">
        <f t="shared" si="81"/>
        <v>16748.072310172072</v>
      </c>
      <c r="EW23" s="96">
        <f t="shared" si="81"/>
        <v>16748.072310172072</v>
      </c>
    </row>
    <row r="24" spans="2:153" s="97" customFormat="1" ht="13" x14ac:dyDescent="0.3">
      <c r="AP24" s="125"/>
    </row>
    <row r="25" spans="2:153" s="97" customFormat="1" ht="13" x14ac:dyDescent="0.3">
      <c r="B25" s="102" t="s">
        <v>5</v>
      </c>
      <c r="C25" s="102"/>
      <c r="D25" s="92">
        <v>2018</v>
      </c>
      <c r="E25" s="92">
        <v>2019</v>
      </c>
      <c r="F25" s="92">
        <v>2020</v>
      </c>
      <c r="G25" s="92">
        <v>2021</v>
      </c>
      <c r="H25" s="92">
        <v>2022</v>
      </c>
      <c r="I25" s="92">
        <v>2023</v>
      </c>
      <c r="J25" s="92">
        <f>J10</f>
        <v>2024</v>
      </c>
      <c r="K25" s="92">
        <f>K10</f>
        <v>2025</v>
      </c>
      <c r="L25" s="104" t="s">
        <v>46</v>
      </c>
      <c r="M25" s="104" t="s">
        <v>47</v>
      </c>
      <c r="N25" s="104" t="s">
        <v>13</v>
      </c>
      <c r="O25" s="104" t="s">
        <v>6</v>
      </c>
      <c r="P25" s="104"/>
      <c r="Q25" s="104" t="s">
        <v>1</v>
      </c>
      <c r="R25" s="104" t="s">
        <v>31</v>
      </c>
      <c r="S25" s="104" t="s">
        <v>34</v>
      </c>
      <c r="T25" s="104" t="s">
        <v>48</v>
      </c>
      <c r="U25" s="104"/>
      <c r="V25" s="104" t="s">
        <v>73</v>
      </c>
      <c r="W25" s="104" t="s">
        <v>74</v>
      </c>
      <c r="X25" s="104" t="s">
        <v>75</v>
      </c>
      <c r="Y25" s="104" t="s">
        <v>76</v>
      </c>
      <c r="Z25" s="104"/>
      <c r="AA25" s="104"/>
      <c r="AB25" s="104"/>
      <c r="AC25" s="104"/>
      <c r="AD25" s="104"/>
      <c r="AE25" s="104"/>
      <c r="AF25" s="104"/>
      <c r="AG25" s="104"/>
      <c r="AH25" s="104"/>
      <c r="AI25" s="104"/>
      <c r="AJ25" s="104"/>
      <c r="AK25" s="104"/>
      <c r="AL25" s="104"/>
      <c r="AM25" s="104"/>
      <c r="AN25" s="104"/>
      <c r="AO25" s="104"/>
      <c r="AP25" s="126" t="str">
        <f>AP3</f>
        <v>Q1 2024</v>
      </c>
      <c r="AQ25" s="126" t="str">
        <f>AQ3</f>
        <v>Q2 2024</v>
      </c>
      <c r="AR25" s="126" t="str">
        <f>AR3</f>
        <v>Q3 2024</v>
      </c>
      <c r="AS25" s="126" t="str">
        <f>AS3</f>
        <v>Q4 2024</v>
      </c>
      <c r="AT25" s="126"/>
      <c r="AU25" s="126"/>
      <c r="AV25" s="126"/>
      <c r="AW25" s="126"/>
      <c r="AX25" s="104"/>
      <c r="AY25" s="104"/>
      <c r="AZ25" s="98">
        <v>43101</v>
      </c>
      <c r="BA25" s="98">
        <v>43132</v>
      </c>
      <c r="BB25" s="98">
        <v>43160</v>
      </c>
      <c r="BC25" s="98">
        <v>43191</v>
      </c>
      <c r="BD25" s="98">
        <v>43221</v>
      </c>
      <c r="BE25" s="98">
        <v>43252</v>
      </c>
      <c r="BF25" s="98">
        <v>43282</v>
      </c>
      <c r="BG25" s="98">
        <v>43313</v>
      </c>
      <c r="BH25" s="98">
        <v>43344</v>
      </c>
      <c r="BI25" s="98">
        <v>43374</v>
      </c>
      <c r="BJ25" s="98">
        <v>43405</v>
      </c>
      <c r="BK25" s="98">
        <v>43435</v>
      </c>
      <c r="BL25" s="98"/>
      <c r="BM25" s="98">
        <v>43466</v>
      </c>
      <c r="BN25" s="98">
        <v>43497</v>
      </c>
      <c r="BO25" s="98">
        <v>43525</v>
      </c>
      <c r="BP25" s="98">
        <v>43556</v>
      </c>
      <c r="BQ25" s="98">
        <v>43586</v>
      </c>
      <c r="BR25" s="98">
        <v>43617</v>
      </c>
      <c r="BS25" s="98">
        <v>43647</v>
      </c>
      <c r="BT25" s="98">
        <v>43678</v>
      </c>
      <c r="BU25" s="98">
        <v>43709</v>
      </c>
      <c r="BV25" s="98">
        <v>43739</v>
      </c>
      <c r="BW25" s="98">
        <v>43770</v>
      </c>
      <c r="BX25" s="98">
        <v>43800</v>
      </c>
      <c r="BY25" s="98"/>
      <c r="BZ25" s="98">
        <v>43831</v>
      </c>
      <c r="CA25" s="98">
        <v>43863</v>
      </c>
      <c r="CB25" s="98">
        <v>43895</v>
      </c>
      <c r="CC25" s="98">
        <v>43927</v>
      </c>
      <c r="CD25" s="98">
        <v>43959</v>
      </c>
      <c r="CE25" s="98">
        <v>43991</v>
      </c>
      <c r="CF25" s="98">
        <v>44023</v>
      </c>
      <c r="CG25" s="98">
        <v>44055</v>
      </c>
      <c r="CH25" s="98">
        <v>44087</v>
      </c>
      <c r="CI25" s="98">
        <v>44119</v>
      </c>
      <c r="CJ25" s="98">
        <v>44151</v>
      </c>
      <c r="CK25" s="98">
        <v>44183</v>
      </c>
      <c r="CL25" s="127"/>
      <c r="CM25" s="98">
        <v>44197</v>
      </c>
      <c r="CN25" s="98">
        <v>44228</v>
      </c>
      <c r="CO25" s="98">
        <v>44256</v>
      </c>
      <c r="CP25" s="98">
        <v>44287</v>
      </c>
      <c r="CQ25" s="98">
        <v>44317</v>
      </c>
      <c r="CR25" s="98">
        <v>44348</v>
      </c>
      <c r="CS25" s="98">
        <v>44378</v>
      </c>
      <c r="CT25" s="98">
        <v>44409</v>
      </c>
      <c r="CU25" s="98">
        <v>44440</v>
      </c>
      <c r="CV25" s="98">
        <v>44470</v>
      </c>
      <c r="CW25" s="98">
        <v>44501</v>
      </c>
      <c r="CX25" s="98">
        <v>44531</v>
      </c>
      <c r="CY25" s="127"/>
      <c r="CZ25" s="98">
        <v>44562</v>
      </c>
      <c r="DA25" s="98">
        <v>44593</v>
      </c>
      <c r="DB25" s="98">
        <v>44621</v>
      </c>
      <c r="DC25" s="98">
        <v>44652</v>
      </c>
      <c r="DD25" s="98">
        <v>44682</v>
      </c>
      <c r="DE25" s="98">
        <v>44713</v>
      </c>
      <c r="DF25" s="98">
        <v>44743</v>
      </c>
      <c r="DG25" s="98">
        <v>44774</v>
      </c>
      <c r="DH25" s="98">
        <v>44805</v>
      </c>
      <c r="DI25" s="98">
        <v>44835</v>
      </c>
      <c r="DJ25" s="98">
        <v>44866</v>
      </c>
      <c r="DK25" s="98">
        <v>44896</v>
      </c>
      <c r="DL25" s="127"/>
      <c r="DM25" s="98">
        <v>44927</v>
      </c>
      <c r="DN25" s="98">
        <v>44958</v>
      </c>
      <c r="DO25" s="98">
        <v>44986</v>
      </c>
      <c r="DP25" s="98">
        <v>45017</v>
      </c>
      <c r="DQ25" s="98">
        <v>45047</v>
      </c>
      <c r="DR25" s="98">
        <v>45078</v>
      </c>
      <c r="DS25" s="98">
        <v>45108</v>
      </c>
      <c r="DT25" s="98">
        <v>45139</v>
      </c>
      <c r="DU25" s="98">
        <v>45170</v>
      </c>
      <c r="DV25" s="98">
        <v>45200</v>
      </c>
      <c r="DW25" s="98">
        <v>45231</v>
      </c>
      <c r="DX25" s="98">
        <v>45261</v>
      </c>
      <c r="DY25" s="98"/>
      <c r="DZ25" s="98"/>
      <c r="EA25" s="98"/>
      <c r="EB25" s="98"/>
      <c r="EC25" s="127"/>
      <c r="ED25" s="98">
        <f>ED10</f>
        <v>45292</v>
      </c>
      <c r="EE25" s="98">
        <f t="shared" ref="EE25:EO25" si="82">EE10</f>
        <v>45323</v>
      </c>
      <c r="EF25" s="98">
        <f t="shared" si="82"/>
        <v>45352</v>
      </c>
      <c r="EG25" s="98">
        <f t="shared" si="82"/>
        <v>45383</v>
      </c>
      <c r="EH25" s="98">
        <f t="shared" si="82"/>
        <v>45413</v>
      </c>
      <c r="EI25" s="98">
        <f t="shared" si="82"/>
        <v>45444</v>
      </c>
      <c r="EJ25" s="98">
        <f t="shared" si="82"/>
        <v>45474</v>
      </c>
      <c r="EK25" s="98">
        <f t="shared" si="82"/>
        <v>45505</v>
      </c>
      <c r="EL25" s="98">
        <f t="shared" si="82"/>
        <v>45536</v>
      </c>
      <c r="EM25" s="98">
        <f t="shared" si="82"/>
        <v>45566</v>
      </c>
      <c r="EN25" s="98">
        <f t="shared" si="82"/>
        <v>45597</v>
      </c>
      <c r="EO25" s="98">
        <f t="shared" si="82"/>
        <v>45627</v>
      </c>
      <c r="ER25" s="98">
        <f t="shared" ref="ER25:EW25" si="83">ER10</f>
        <v>45658</v>
      </c>
      <c r="ES25" s="98">
        <f t="shared" si="83"/>
        <v>45689</v>
      </c>
      <c r="ET25" s="98">
        <f t="shared" si="83"/>
        <v>45717</v>
      </c>
      <c r="EU25" s="98">
        <f t="shared" si="83"/>
        <v>45748</v>
      </c>
      <c r="EV25" s="98">
        <f t="shared" si="83"/>
        <v>45778</v>
      </c>
      <c r="EW25" s="98">
        <f t="shared" si="83"/>
        <v>45809</v>
      </c>
    </row>
    <row r="26" spans="2:153" s="97" customFormat="1" ht="13" x14ac:dyDescent="0.3">
      <c r="B26" s="110" t="s">
        <v>45</v>
      </c>
      <c r="C26" s="111"/>
      <c r="D26" s="96">
        <v>30916</v>
      </c>
      <c r="E26" s="96">
        <f>+T26</f>
        <v>34845</v>
      </c>
      <c r="F26" s="96">
        <f>+Y26</f>
        <v>39943</v>
      </c>
      <c r="G26" s="96">
        <f>AD26</f>
        <v>43148</v>
      </c>
      <c r="H26" s="96">
        <f>AF26</f>
        <v>41971</v>
      </c>
      <c r="I26" s="96">
        <f>AN26</f>
        <v>45532</v>
      </c>
      <c r="J26" s="96">
        <f>AR26</f>
        <v>51427</v>
      </c>
      <c r="K26" s="96">
        <f>AV26</f>
        <v>56509</v>
      </c>
      <c r="L26" s="96">
        <f>+BB26</f>
        <v>32255</v>
      </c>
      <c r="M26" s="96">
        <f>+BE26</f>
        <v>30850</v>
      </c>
      <c r="N26" s="96">
        <f>+BH26</f>
        <v>31309</v>
      </c>
      <c r="O26" s="96">
        <f>+BK26</f>
        <v>30916</v>
      </c>
      <c r="Q26" s="96">
        <f>+BO26</f>
        <v>31537</v>
      </c>
      <c r="R26" s="96">
        <f>+BR26</f>
        <v>32006</v>
      </c>
      <c r="S26" s="96">
        <f>+BU26</f>
        <v>33538</v>
      </c>
      <c r="T26" s="96">
        <f>+BX26</f>
        <v>34845</v>
      </c>
      <c r="V26" s="96">
        <f>+CB26</f>
        <v>35490</v>
      </c>
      <c r="W26" s="96">
        <f>CE26</f>
        <v>36487</v>
      </c>
      <c r="X26" s="96">
        <f>CH26</f>
        <v>37611</v>
      </c>
      <c r="Y26" s="96">
        <f>CK26</f>
        <v>39943</v>
      </c>
      <c r="AA26" s="112">
        <f>CO26</f>
        <v>40374</v>
      </c>
      <c r="AB26" s="112">
        <f>CR26</f>
        <v>41704</v>
      </c>
      <c r="AC26" s="112">
        <f>CS26</f>
        <v>41557</v>
      </c>
      <c r="AD26" s="112">
        <f>CX26</f>
        <v>43148</v>
      </c>
      <c r="AE26" s="112"/>
      <c r="AF26" s="112">
        <f>DB26</f>
        <v>41971</v>
      </c>
      <c r="AG26" s="112">
        <f>DE26</f>
        <v>42007</v>
      </c>
      <c r="AH26" s="112">
        <f>DH26</f>
        <v>40818</v>
      </c>
      <c r="AI26" s="112">
        <f>DK26</f>
        <v>41023</v>
      </c>
      <c r="AJ26" s="112"/>
      <c r="AK26" s="112">
        <f>DO26</f>
        <v>41606</v>
      </c>
      <c r="AL26" s="112">
        <f>DR26</f>
        <v>41854</v>
      </c>
      <c r="AM26" s="112">
        <f>DU26</f>
        <v>45486</v>
      </c>
      <c r="AN26" s="96">
        <f>DX26</f>
        <v>45532</v>
      </c>
      <c r="AO26" s="96"/>
      <c r="AP26" s="96">
        <f>EF26</f>
        <v>47980</v>
      </c>
      <c r="AQ26" s="96">
        <f>EI26</f>
        <v>48300</v>
      </c>
      <c r="AR26" s="96">
        <f>EL26</f>
        <v>51427</v>
      </c>
      <c r="AS26" s="96">
        <f>EO26</f>
        <v>50081</v>
      </c>
      <c r="AT26" s="96"/>
      <c r="AU26" s="96">
        <f>ET26</f>
        <v>53490</v>
      </c>
      <c r="AV26" s="96">
        <f>EW26</f>
        <v>56509</v>
      </c>
      <c r="AW26" s="96"/>
      <c r="AX26" s="112"/>
      <c r="AY26" s="112"/>
      <c r="BB26" s="96">
        <v>32255</v>
      </c>
      <c r="BE26" s="96">
        <v>30850</v>
      </c>
      <c r="BH26" s="96">
        <v>31309</v>
      </c>
      <c r="BI26" s="96">
        <v>31111</v>
      </c>
      <c r="BJ26" s="96">
        <v>31069</v>
      </c>
      <c r="BK26" s="96">
        <v>30916</v>
      </c>
      <c r="BM26" s="96">
        <v>30817</v>
      </c>
      <c r="BN26" s="96">
        <v>31153</v>
      </c>
      <c r="BO26" s="96">
        <v>31537</v>
      </c>
      <c r="BP26" s="96">
        <v>31807</v>
      </c>
      <c r="BQ26" s="96">
        <v>31796</v>
      </c>
      <c r="BR26" s="96">
        <v>32006</v>
      </c>
      <c r="BS26" s="96">
        <v>32485</v>
      </c>
      <c r="BT26" s="96">
        <v>32783</v>
      </c>
      <c r="BU26" s="96">
        <v>33538</v>
      </c>
      <c r="BV26" s="96">
        <v>34162</v>
      </c>
      <c r="BW26" s="96">
        <v>34816</v>
      </c>
      <c r="BX26" s="96">
        <v>34845</v>
      </c>
      <c r="BZ26" s="96">
        <v>34962</v>
      </c>
      <c r="CA26" s="96">
        <v>35157</v>
      </c>
      <c r="CB26" s="96">
        <v>35490</v>
      </c>
      <c r="CC26" s="96">
        <v>35922</v>
      </c>
      <c r="CD26" s="96">
        <v>36251</v>
      </c>
      <c r="CE26" s="96">
        <v>36487</v>
      </c>
      <c r="CF26" s="96">
        <v>36851</v>
      </c>
      <c r="CG26" s="96">
        <v>37106</v>
      </c>
      <c r="CH26" s="96">
        <v>37611</v>
      </c>
      <c r="CI26" s="96">
        <v>38610</v>
      </c>
      <c r="CJ26" s="96">
        <v>39500</v>
      </c>
      <c r="CK26" s="96">
        <v>39943</v>
      </c>
      <c r="CM26" s="96">
        <v>38833</v>
      </c>
      <c r="CN26" s="96">
        <v>39701</v>
      </c>
      <c r="CO26" s="96">
        <v>40374</v>
      </c>
      <c r="CP26" s="96">
        <v>40719</v>
      </c>
      <c r="CQ26" s="96">
        <v>40934</v>
      </c>
      <c r="CR26" s="96">
        <v>41704</v>
      </c>
      <c r="CS26" s="96">
        <v>41557</v>
      </c>
      <c r="CT26" s="96">
        <v>41820</v>
      </c>
      <c r="CU26" s="96">
        <v>42652</v>
      </c>
      <c r="CV26" s="96">
        <v>42380</v>
      </c>
      <c r="CW26" s="96">
        <v>42517</v>
      </c>
      <c r="CX26" s="96">
        <v>43148</v>
      </c>
      <c r="CZ26" s="96">
        <v>42584</v>
      </c>
      <c r="DA26" s="96">
        <v>42264</v>
      </c>
      <c r="DB26" s="96">
        <v>41971</v>
      </c>
      <c r="DC26" s="96">
        <v>41820</v>
      </c>
      <c r="DD26" s="96">
        <v>42005</v>
      </c>
      <c r="DE26" s="96">
        <v>42007</v>
      </c>
      <c r="DF26" s="96">
        <v>41676</v>
      </c>
      <c r="DG26" s="96">
        <v>40827</v>
      </c>
      <c r="DH26" s="96">
        <v>40818</v>
      </c>
      <c r="DI26" s="96">
        <v>41554</v>
      </c>
      <c r="DJ26" s="96">
        <v>41106</v>
      </c>
      <c r="DK26" s="96">
        <v>41023</v>
      </c>
      <c r="DM26" s="97">
        <v>41642</v>
      </c>
      <c r="DN26" s="97">
        <v>41483</v>
      </c>
      <c r="DO26" s="97">
        <v>41606</v>
      </c>
      <c r="DP26" s="97">
        <f>'[12]Activity indicators'!$H$39</f>
        <v>41968</v>
      </c>
      <c r="DQ26" s="97">
        <f>'[12]Activity indicators'!$I$39</f>
        <v>42093</v>
      </c>
      <c r="DR26" s="97">
        <v>41854</v>
      </c>
      <c r="DS26" s="97">
        <f>'[14]Activity indicators'!$K$39</f>
        <v>44145</v>
      </c>
      <c r="DT26" s="97">
        <v>45197</v>
      </c>
      <c r="DU26" s="97">
        <v>45486</v>
      </c>
      <c r="DV26" s="97">
        <v>46547</v>
      </c>
      <c r="DW26" s="117">
        <v>46881</v>
      </c>
      <c r="DX26" s="117">
        <v>45532</v>
      </c>
      <c r="DY26" s="117"/>
      <c r="DZ26" s="117"/>
      <c r="EA26" s="117"/>
      <c r="EB26" s="117"/>
      <c r="ED26" s="97">
        <v>49144</v>
      </c>
      <c r="EE26" s="97">
        <v>47901</v>
      </c>
      <c r="EF26" s="97">
        <v>47980</v>
      </c>
      <c r="EG26" s="97">
        <v>47903</v>
      </c>
      <c r="EH26" s="97">
        <v>48240</v>
      </c>
      <c r="EI26" s="97">
        <v>48300</v>
      </c>
      <c r="EJ26" s="97">
        <v>49767</v>
      </c>
      <c r="EK26" s="97">
        <v>50972</v>
      </c>
      <c r="EL26" s="97">
        <v>51427</v>
      </c>
      <c r="EM26" s="97">
        <v>51906</v>
      </c>
      <c r="EN26" s="97">
        <v>52578</v>
      </c>
      <c r="EO26" s="97">
        <v>50081</v>
      </c>
      <c r="ER26" s="97">
        <v>53868</v>
      </c>
      <c r="ES26" s="97">
        <v>52982</v>
      </c>
      <c r="ET26" s="97">
        <v>53490</v>
      </c>
      <c r="EU26" s="97">
        <v>54946</v>
      </c>
      <c r="EV26" s="97">
        <v>55722</v>
      </c>
      <c r="EW26" s="97">
        <v>56509</v>
      </c>
    </row>
    <row r="27" spans="2:153" s="97" customFormat="1" ht="13" x14ac:dyDescent="0.3">
      <c r="B27" s="109"/>
      <c r="C27" s="109"/>
      <c r="AP27" s="96"/>
      <c r="BZ27" s="112"/>
      <c r="CA27" s="112"/>
      <c r="CB27" s="112"/>
      <c r="CC27" s="112"/>
      <c r="CD27" s="112"/>
      <c r="CE27" s="112"/>
      <c r="CF27" s="96"/>
      <c r="EE27" s="117"/>
    </row>
    <row r="28" spans="2:153" s="97" customFormat="1" ht="13" x14ac:dyDescent="0.3">
      <c r="B28" s="110" t="s">
        <v>15</v>
      </c>
      <c r="C28" s="111"/>
      <c r="D28" s="96">
        <f>+BK28</f>
        <v>112</v>
      </c>
      <c r="E28" s="96">
        <f>+T28</f>
        <v>142</v>
      </c>
      <c r="F28" s="96">
        <f>+Y28</f>
        <v>161</v>
      </c>
      <c r="G28" s="96">
        <f>AD28</f>
        <v>157</v>
      </c>
      <c r="H28" s="96">
        <f>AF28</f>
        <v>161</v>
      </c>
      <c r="I28" s="96">
        <f>AN28</f>
        <v>170</v>
      </c>
      <c r="J28" s="96">
        <f>AR28</f>
        <v>205</v>
      </c>
      <c r="K28" s="96">
        <f>AV28</f>
        <v>210</v>
      </c>
      <c r="L28" s="96">
        <f>+BB28</f>
        <v>116</v>
      </c>
      <c r="M28" s="96">
        <f>+BE28</f>
        <v>115</v>
      </c>
      <c r="N28" s="96">
        <f>+BH28</f>
        <v>116</v>
      </c>
      <c r="O28" s="96">
        <f>+BK28</f>
        <v>112</v>
      </c>
      <c r="Q28" s="96">
        <f>+BO28</f>
        <v>136</v>
      </c>
      <c r="R28" s="96">
        <f>+BR28</f>
        <v>137</v>
      </c>
      <c r="S28" s="96">
        <f>+BU28</f>
        <v>135</v>
      </c>
      <c r="T28" s="96">
        <f>+BX28</f>
        <v>142</v>
      </c>
      <c r="V28" s="96">
        <f>+CB28</f>
        <v>148</v>
      </c>
      <c r="W28" s="96">
        <f>CE28</f>
        <v>139</v>
      </c>
      <c r="X28" s="96">
        <f>CH28</f>
        <v>146</v>
      </c>
      <c r="Y28" s="96">
        <f>CK28</f>
        <v>161</v>
      </c>
      <c r="AA28" s="112">
        <f>CO28</f>
        <v>156</v>
      </c>
      <c r="AB28" s="112">
        <f>CR28</f>
        <v>160</v>
      </c>
      <c r="AC28" s="112">
        <f>CU28</f>
        <v>172</v>
      </c>
      <c r="AD28" s="112">
        <f>CX28</f>
        <v>157</v>
      </c>
      <c r="AE28" s="112"/>
      <c r="AF28" s="112">
        <f>DB28</f>
        <v>161</v>
      </c>
      <c r="AG28" s="112">
        <f>DE28</f>
        <v>145</v>
      </c>
      <c r="AH28" s="112">
        <f>DH28</f>
        <v>146</v>
      </c>
      <c r="AI28" s="112">
        <f>DK28</f>
        <v>154</v>
      </c>
      <c r="AJ28" s="112"/>
      <c r="AK28" s="112">
        <f>DO28</f>
        <v>172</v>
      </c>
      <c r="AL28" s="112">
        <f>DR28</f>
        <v>176</v>
      </c>
      <c r="AM28" s="112">
        <f>DU28</f>
        <v>171</v>
      </c>
      <c r="AN28" s="96">
        <f>DX28</f>
        <v>170</v>
      </c>
      <c r="AO28" s="96"/>
      <c r="AP28" s="122">
        <f>EF28</f>
        <v>174</v>
      </c>
      <c r="AQ28" s="122">
        <f>EI28</f>
        <v>217</v>
      </c>
      <c r="AR28" s="96">
        <f>EL28</f>
        <v>205</v>
      </c>
      <c r="AS28" s="96">
        <f>EO28</f>
        <v>215</v>
      </c>
      <c r="AT28" s="96"/>
      <c r="AU28" s="96">
        <f>ET28</f>
        <v>246</v>
      </c>
      <c r="AV28" s="96">
        <f>EW28</f>
        <v>210</v>
      </c>
      <c r="AW28" s="122"/>
      <c r="AX28" s="112"/>
      <c r="AY28" s="112"/>
      <c r="AZ28" s="96">
        <v>120</v>
      </c>
      <c r="BA28" s="96">
        <v>118</v>
      </c>
      <c r="BB28" s="96">
        <v>116</v>
      </c>
      <c r="BC28" s="96">
        <v>114</v>
      </c>
      <c r="BD28" s="96">
        <v>110</v>
      </c>
      <c r="BE28" s="96">
        <v>115</v>
      </c>
      <c r="BF28" s="96">
        <v>120</v>
      </c>
      <c r="BG28" s="96">
        <v>115</v>
      </c>
      <c r="BH28" s="96">
        <v>116</v>
      </c>
      <c r="BI28" s="96">
        <v>115</v>
      </c>
      <c r="BJ28" s="96">
        <v>114</v>
      </c>
      <c r="BK28" s="96">
        <v>112</v>
      </c>
      <c r="BM28" s="96">
        <v>107</v>
      </c>
      <c r="BN28" s="96">
        <v>131</v>
      </c>
      <c r="BO28" s="96">
        <v>136</v>
      </c>
      <c r="BP28" s="96">
        <v>143</v>
      </c>
      <c r="BQ28" s="96">
        <v>136</v>
      </c>
      <c r="BR28" s="96">
        <v>137</v>
      </c>
      <c r="BS28" s="96">
        <v>138</v>
      </c>
      <c r="BT28" s="96">
        <v>141</v>
      </c>
      <c r="BU28" s="96">
        <v>135</v>
      </c>
      <c r="BV28" s="96">
        <v>132</v>
      </c>
      <c r="BW28" s="96">
        <v>132</v>
      </c>
      <c r="BX28" s="96">
        <v>142</v>
      </c>
      <c r="BZ28" s="96">
        <v>149</v>
      </c>
      <c r="CA28" s="96">
        <v>143</v>
      </c>
      <c r="CB28" s="96">
        <v>148</v>
      </c>
      <c r="CC28" s="96">
        <v>147</v>
      </c>
      <c r="CD28" s="96">
        <v>136</v>
      </c>
      <c r="CE28" s="96">
        <v>139</v>
      </c>
      <c r="CF28" s="96">
        <v>142</v>
      </c>
      <c r="CG28" s="96">
        <v>145</v>
      </c>
      <c r="CH28" s="96">
        <v>146</v>
      </c>
      <c r="CI28" s="96">
        <v>155</v>
      </c>
      <c r="CJ28" s="96">
        <v>152</v>
      </c>
      <c r="CK28" s="96">
        <v>161</v>
      </c>
      <c r="CM28" s="96">
        <v>162</v>
      </c>
      <c r="CN28" s="96">
        <v>152</v>
      </c>
      <c r="CO28" s="96">
        <v>156</v>
      </c>
      <c r="CP28" s="96">
        <v>153</v>
      </c>
      <c r="CQ28" s="96">
        <v>152</v>
      </c>
      <c r="CR28" s="96">
        <v>160</v>
      </c>
      <c r="CS28" s="96">
        <v>172</v>
      </c>
      <c r="CT28" s="96">
        <v>172</v>
      </c>
      <c r="CU28" s="96">
        <v>172</v>
      </c>
      <c r="CV28" s="96">
        <v>157</v>
      </c>
      <c r="CW28" s="96">
        <v>157</v>
      </c>
      <c r="CX28" s="96">
        <v>157</v>
      </c>
      <c r="CZ28" s="96">
        <v>161</v>
      </c>
      <c r="DA28" s="96">
        <v>161</v>
      </c>
      <c r="DB28" s="96">
        <v>161</v>
      </c>
      <c r="DC28" s="96">
        <v>145</v>
      </c>
      <c r="DD28" s="96">
        <v>145</v>
      </c>
      <c r="DE28" s="96">
        <v>145</v>
      </c>
      <c r="DF28" s="96">
        <v>146</v>
      </c>
      <c r="DG28" s="96">
        <v>146</v>
      </c>
      <c r="DH28" s="96">
        <v>146</v>
      </c>
      <c r="DI28" s="96">
        <v>154</v>
      </c>
      <c r="DJ28" s="96">
        <v>154</v>
      </c>
      <c r="DK28" s="96">
        <v>154</v>
      </c>
      <c r="DM28" s="97">
        <v>151</v>
      </c>
      <c r="DN28" s="97">
        <v>184</v>
      </c>
      <c r="DO28" s="97">
        <v>172</v>
      </c>
      <c r="DP28" s="117">
        <v>177</v>
      </c>
      <c r="DQ28" s="117">
        <v>167</v>
      </c>
      <c r="DR28" s="117">
        <v>176</v>
      </c>
      <c r="DS28" s="97">
        <v>193</v>
      </c>
      <c r="DT28" s="97">
        <v>184</v>
      </c>
      <c r="DU28" s="97">
        <v>171</v>
      </c>
      <c r="DV28" s="97">
        <v>174</v>
      </c>
      <c r="DW28" s="97">
        <v>178</v>
      </c>
      <c r="DX28" s="97">
        <v>170</v>
      </c>
      <c r="ED28" s="117">
        <v>173</v>
      </c>
      <c r="EE28" s="117">
        <v>176</v>
      </c>
      <c r="EF28" s="117">
        <v>174</v>
      </c>
      <c r="EG28" s="97">
        <v>183</v>
      </c>
      <c r="EH28" s="97">
        <v>186</v>
      </c>
      <c r="EI28" s="97">
        <v>217</v>
      </c>
      <c r="EJ28" s="97">
        <v>210</v>
      </c>
      <c r="EK28" s="97">
        <v>202</v>
      </c>
      <c r="EL28" s="97">
        <v>205</v>
      </c>
      <c r="EM28" s="97">
        <v>214</v>
      </c>
      <c r="EN28" s="97">
        <v>225</v>
      </c>
      <c r="EO28" s="97">
        <v>215</v>
      </c>
      <c r="ER28" s="97">
        <v>222</v>
      </c>
      <c r="ES28" s="97">
        <v>238</v>
      </c>
      <c r="ET28" s="97">
        <v>246</v>
      </c>
      <c r="EU28" s="97">
        <v>228</v>
      </c>
      <c r="EV28" s="97">
        <v>221</v>
      </c>
      <c r="EW28" s="97">
        <v>210</v>
      </c>
    </row>
    <row r="29" spans="2:153" s="97" customFormat="1" ht="13" x14ac:dyDescent="0.3">
      <c r="C29" s="109"/>
      <c r="D29" s="96"/>
      <c r="E29" s="96"/>
      <c r="F29" s="96"/>
      <c r="G29" s="96"/>
      <c r="H29" s="96"/>
      <c r="I29" s="96"/>
      <c r="J29" s="96"/>
      <c r="K29" s="96"/>
      <c r="AP29" s="122"/>
      <c r="AZ29" s="96"/>
      <c r="BA29" s="96"/>
      <c r="BB29" s="96"/>
      <c r="BC29" s="96"/>
      <c r="BD29" s="96"/>
      <c r="BE29" s="96"/>
      <c r="BF29" s="96"/>
      <c r="BG29" s="96"/>
      <c r="BH29" s="96"/>
      <c r="BI29" s="96"/>
      <c r="BJ29" s="96"/>
      <c r="BK29" s="96"/>
      <c r="CC29" s="96"/>
      <c r="CD29" s="96"/>
      <c r="CE29" s="96"/>
      <c r="DP29" s="117"/>
      <c r="DQ29" s="117"/>
      <c r="DR29" s="117"/>
      <c r="ED29" s="117"/>
      <c r="EE29" s="117"/>
      <c r="EF29" s="117"/>
    </row>
    <row r="30" spans="2:153" s="97" customFormat="1" ht="13" x14ac:dyDescent="0.3">
      <c r="B30" s="110" t="s">
        <v>42</v>
      </c>
      <c r="D30" s="96">
        <f>+O30</f>
        <v>83</v>
      </c>
      <c r="E30" s="96">
        <f>+T30</f>
        <v>104</v>
      </c>
      <c r="F30" s="96">
        <f>+Y30</f>
        <v>119</v>
      </c>
      <c r="G30" s="96">
        <f>AD30</f>
        <v>104</v>
      </c>
      <c r="H30" s="96">
        <f>AF30</f>
        <v>114</v>
      </c>
      <c r="I30" s="96">
        <f>AN30</f>
        <v>130</v>
      </c>
      <c r="J30" s="96">
        <f>AR30</f>
        <v>154</v>
      </c>
      <c r="K30" s="96">
        <f>AV30</f>
        <v>162</v>
      </c>
      <c r="L30" s="96">
        <f>+BB30</f>
        <v>72</v>
      </c>
      <c r="M30" s="96">
        <f>+BE30</f>
        <v>71</v>
      </c>
      <c r="N30" s="96">
        <f>+BH30</f>
        <v>76</v>
      </c>
      <c r="O30" s="96">
        <f>+BK30</f>
        <v>83</v>
      </c>
      <c r="Q30" s="96">
        <f>+BO30</f>
        <v>104</v>
      </c>
      <c r="R30" s="96">
        <f>+BR30</f>
        <v>105</v>
      </c>
      <c r="S30" s="96">
        <f>+BU30</f>
        <v>102</v>
      </c>
      <c r="T30" s="96">
        <f>+BX30</f>
        <v>104</v>
      </c>
      <c r="V30" s="96">
        <f>+CB30</f>
        <v>107</v>
      </c>
      <c r="W30" s="96">
        <f>CE30</f>
        <v>100</v>
      </c>
      <c r="X30" s="96">
        <f>CH30</f>
        <v>103</v>
      </c>
      <c r="Y30" s="96">
        <f>CK30</f>
        <v>119</v>
      </c>
      <c r="AA30" s="112">
        <f>CO30</f>
        <v>117</v>
      </c>
      <c r="AB30" s="112">
        <f>CR30</f>
        <v>119</v>
      </c>
      <c r="AC30" s="112">
        <f>CU30</f>
        <v>124</v>
      </c>
      <c r="AD30" s="112">
        <f>CX30</f>
        <v>104</v>
      </c>
      <c r="AE30" s="112"/>
      <c r="AF30" s="112">
        <f>DB30</f>
        <v>114</v>
      </c>
      <c r="AG30" s="112">
        <f>DE30</f>
        <v>107</v>
      </c>
      <c r="AH30" s="112">
        <f>DH30</f>
        <v>110</v>
      </c>
      <c r="AI30" s="112">
        <f>DK30</f>
        <v>106</v>
      </c>
      <c r="AJ30" s="112"/>
      <c r="AK30" s="112">
        <f>DO30</f>
        <v>119</v>
      </c>
      <c r="AL30" s="112">
        <f>DR30</f>
        <v>136</v>
      </c>
      <c r="AM30" s="112">
        <f>DU30</f>
        <v>135</v>
      </c>
      <c r="AN30" s="96">
        <f>DX30</f>
        <v>130</v>
      </c>
      <c r="AO30" s="96"/>
      <c r="AP30" s="122">
        <f>EF30</f>
        <v>127</v>
      </c>
      <c r="AQ30" s="122">
        <f>EI30</f>
        <v>166</v>
      </c>
      <c r="AR30" s="96">
        <f>EL30</f>
        <v>154</v>
      </c>
      <c r="AS30" s="96">
        <f>EO30</f>
        <v>161</v>
      </c>
      <c r="AT30" s="96"/>
      <c r="AU30" s="96">
        <f>ET30</f>
        <v>189</v>
      </c>
      <c r="AV30" s="96">
        <f>EW30</f>
        <v>162</v>
      </c>
      <c r="AW30" s="122"/>
      <c r="AX30" s="112"/>
      <c r="AY30" s="112"/>
      <c r="AZ30" s="96"/>
      <c r="BA30" s="96"/>
      <c r="BB30" s="96">
        <v>72</v>
      </c>
      <c r="BC30" s="96"/>
      <c r="BD30" s="96"/>
      <c r="BE30" s="96">
        <v>71</v>
      </c>
      <c r="BF30" s="96"/>
      <c r="BG30" s="96"/>
      <c r="BH30" s="96">
        <v>76</v>
      </c>
      <c r="BI30" s="96"/>
      <c r="BJ30" s="96"/>
      <c r="BK30" s="96">
        <v>83</v>
      </c>
      <c r="BM30" s="96"/>
      <c r="BN30" s="96"/>
      <c r="BO30" s="96">
        <v>104</v>
      </c>
      <c r="BP30" s="96"/>
      <c r="BQ30" s="96"/>
      <c r="BR30" s="96">
        <v>105</v>
      </c>
      <c r="BS30" s="96"/>
      <c r="BT30" s="96"/>
      <c r="BU30" s="96">
        <v>102</v>
      </c>
      <c r="BV30" s="96"/>
      <c r="BW30" s="96"/>
      <c r="BX30" s="96">
        <v>104</v>
      </c>
      <c r="BZ30" s="96">
        <v>107</v>
      </c>
      <c r="CA30" s="96">
        <v>107</v>
      </c>
      <c r="CB30" s="96">
        <v>107</v>
      </c>
      <c r="CC30" s="96">
        <v>100</v>
      </c>
      <c r="CD30" s="96">
        <v>100</v>
      </c>
      <c r="CE30" s="96">
        <v>100</v>
      </c>
      <c r="CF30" s="96">
        <v>102</v>
      </c>
      <c r="CG30" s="96">
        <v>102</v>
      </c>
      <c r="CH30" s="96">
        <v>103</v>
      </c>
      <c r="CI30" s="96">
        <f>75+44</f>
        <v>119</v>
      </c>
      <c r="CJ30" s="96">
        <f>75+44</f>
        <v>119</v>
      </c>
      <c r="CK30" s="96">
        <f>75+44</f>
        <v>119</v>
      </c>
      <c r="CM30" s="96">
        <v>121</v>
      </c>
      <c r="CN30" s="96">
        <v>114</v>
      </c>
      <c r="CO30" s="96">
        <v>117</v>
      </c>
      <c r="CP30" s="96">
        <v>117</v>
      </c>
      <c r="CQ30" s="96">
        <v>120</v>
      </c>
      <c r="CR30" s="96">
        <v>119</v>
      </c>
      <c r="CS30" s="96">
        <v>124</v>
      </c>
      <c r="CT30" s="96">
        <v>124</v>
      </c>
      <c r="CU30" s="96">
        <v>124</v>
      </c>
      <c r="CV30" s="96">
        <v>104</v>
      </c>
      <c r="CW30" s="96">
        <v>104</v>
      </c>
      <c r="CX30" s="96">
        <v>104</v>
      </c>
      <c r="CZ30" s="96">
        <v>114</v>
      </c>
      <c r="DA30" s="96">
        <v>114</v>
      </c>
      <c r="DB30" s="96">
        <v>114</v>
      </c>
      <c r="DC30" s="96">
        <v>107</v>
      </c>
      <c r="DD30" s="96">
        <v>107</v>
      </c>
      <c r="DE30" s="96">
        <v>107</v>
      </c>
      <c r="DF30" s="96">
        <v>110</v>
      </c>
      <c r="DG30" s="96">
        <v>110</v>
      </c>
      <c r="DH30" s="96">
        <v>110</v>
      </c>
      <c r="DI30" s="96">
        <v>106</v>
      </c>
      <c r="DJ30" s="96">
        <v>106</v>
      </c>
      <c r="DK30" s="96">
        <v>106</v>
      </c>
      <c r="DM30" s="97">
        <v>105</v>
      </c>
      <c r="DN30" s="97">
        <v>129</v>
      </c>
      <c r="DO30" s="97">
        <v>119</v>
      </c>
      <c r="DP30" s="117">
        <v>138</v>
      </c>
      <c r="DQ30" s="117">
        <v>136</v>
      </c>
      <c r="DR30" s="117">
        <v>136</v>
      </c>
      <c r="DS30" s="97">
        <v>153</v>
      </c>
      <c r="DT30" s="97">
        <v>147</v>
      </c>
      <c r="DU30" s="97">
        <v>135</v>
      </c>
      <c r="DV30" s="97">
        <v>134</v>
      </c>
      <c r="DW30" s="97">
        <v>135</v>
      </c>
      <c r="DX30" s="97">
        <v>130</v>
      </c>
      <c r="ED30" s="117">
        <v>132</v>
      </c>
      <c r="EE30" s="117">
        <v>129</v>
      </c>
      <c r="EF30" s="117">
        <v>127</v>
      </c>
      <c r="EG30" s="97">
        <v>137</v>
      </c>
      <c r="EH30" s="97">
        <v>144</v>
      </c>
      <c r="EI30" s="97">
        <v>166</v>
      </c>
      <c r="EJ30" s="97">
        <v>154</v>
      </c>
      <c r="EK30" s="97">
        <v>157</v>
      </c>
      <c r="EL30" s="97">
        <v>154</v>
      </c>
      <c r="EM30" s="97">
        <v>160</v>
      </c>
      <c r="EN30" s="97">
        <v>167</v>
      </c>
      <c r="EO30" s="97">
        <v>161</v>
      </c>
      <c r="ER30" s="97">
        <v>169</v>
      </c>
      <c r="ES30" s="97">
        <v>177</v>
      </c>
      <c r="ET30" s="97">
        <v>189</v>
      </c>
      <c r="EU30" s="97">
        <v>178</v>
      </c>
      <c r="EV30" s="97">
        <v>171</v>
      </c>
      <c r="EW30" s="97">
        <v>162</v>
      </c>
    </row>
    <row r="31" spans="2:153" s="97" customFormat="1" ht="13" x14ac:dyDescent="0.3">
      <c r="D31" s="96"/>
      <c r="E31" s="96"/>
      <c r="F31" s="96"/>
      <c r="G31" s="96"/>
      <c r="H31" s="96"/>
      <c r="I31" s="96"/>
      <c r="J31" s="96"/>
      <c r="K31" s="96"/>
      <c r="L31" s="96"/>
      <c r="M31" s="96"/>
      <c r="N31" s="96"/>
      <c r="O31" s="96"/>
      <c r="AP31" s="96"/>
      <c r="AZ31" s="96"/>
      <c r="BA31" s="96"/>
      <c r="BB31" s="96"/>
      <c r="BC31" s="96"/>
      <c r="BD31" s="96"/>
      <c r="BE31" s="96"/>
      <c r="BF31" s="96"/>
      <c r="BG31" s="96"/>
      <c r="BH31" s="96"/>
      <c r="BI31" s="96"/>
      <c r="BJ31" s="96"/>
      <c r="BK31" s="96"/>
      <c r="DP31" s="117"/>
      <c r="DQ31" s="117"/>
      <c r="DR31" s="117"/>
    </row>
    <row r="32" spans="2:153" s="97" customFormat="1" ht="13" x14ac:dyDescent="0.3">
      <c r="B32" s="110" t="s">
        <v>57</v>
      </c>
      <c r="D32" s="96">
        <f>+O32</f>
        <v>10</v>
      </c>
      <c r="E32" s="96">
        <f>+T32</f>
        <v>10</v>
      </c>
      <c r="F32" s="96">
        <f>+Y32</f>
        <v>10</v>
      </c>
      <c r="G32" s="96">
        <f>AD32</f>
        <v>10</v>
      </c>
      <c r="H32" s="96">
        <f>AF32</f>
        <v>9</v>
      </c>
      <c r="I32" s="96">
        <f>AN32</f>
        <v>4</v>
      </c>
      <c r="J32" s="96">
        <f>AR32</f>
        <v>5</v>
      </c>
      <c r="K32" s="96">
        <f>AV32</f>
        <v>6</v>
      </c>
      <c r="L32" s="96">
        <f>+BB32</f>
        <v>10</v>
      </c>
      <c r="M32" s="96">
        <f>+BE32</f>
        <v>11</v>
      </c>
      <c r="N32" s="96">
        <f>+BH32</f>
        <v>9</v>
      </c>
      <c r="O32" s="96">
        <f>+BK32</f>
        <v>10</v>
      </c>
      <c r="Q32" s="96">
        <f>+BO32</f>
        <v>11</v>
      </c>
      <c r="R32" s="96">
        <f>+BR32</f>
        <v>11</v>
      </c>
      <c r="S32" s="96">
        <f>+BU32</f>
        <v>11</v>
      </c>
      <c r="T32" s="96">
        <f>+BX32</f>
        <v>10</v>
      </c>
      <c r="V32" s="96">
        <f>+CB32</f>
        <v>9</v>
      </c>
      <c r="W32" s="96">
        <f>CE32</f>
        <v>10</v>
      </c>
      <c r="X32" s="96">
        <f>CH32</f>
        <v>10</v>
      </c>
      <c r="Y32" s="96">
        <f>CK32</f>
        <v>10</v>
      </c>
      <c r="AA32" s="112">
        <f>CO32</f>
        <v>10</v>
      </c>
      <c r="AB32" s="112">
        <f>CR32</f>
        <v>11</v>
      </c>
      <c r="AC32" s="112">
        <f>CU32</f>
        <v>10</v>
      </c>
      <c r="AD32" s="112">
        <f>CX32</f>
        <v>10</v>
      </c>
      <c r="AE32" s="112"/>
      <c r="AF32" s="112">
        <f>DB32</f>
        <v>9</v>
      </c>
      <c r="AG32" s="112">
        <f>DE32</f>
        <v>9</v>
      </c>
      <c r="AH32" s="112">
        <f>DH32</f>
        <v>9</v>
      </c>
      <c r="AI32" s="112">
        <f>DK32</f>
        <v>9</v>
      </c>
      <c r="AJ32" s="112"/>
      <c r="AK32" s="112">
        <f>DO32</f>
        <v>9</v>
      </c>
      <c r="AL32" s="112">
        <f>DR32</f>
        <v>5</v>
      </c>
      <c r="AM32" s="112">
        <f>DU32</f>
        <v>4</v>
      </c>
      <c r="AN32" s="96">
        <f>DX32</f>
        <v>4</v>
      </c>
      <c r="AO32" s="96"/>
      <c r="AP32" s="96">
        <f>EF32</f>
        <v>9</v>
      </c>
      <c r="AQ32" s="122">
        <f>EI32</f>
        <v>6</v>
      </c>
      <c r="AR32" s="96">
        <f>EL32</f>
        <v>5</v>
      </c>
      <c r="AS32" s="96">
        <f>EO32</f>
        <v>5</v>
      </c>
      <c r="AT32" s="96"/>
      <c r="AU32" s="96">
        <f>ET32</f>
        <v>5</v>
      </c>
      <c r="AV32" s="96">
        <f>EW32</f>
        <v>6</v>
      </c>
      <c r="AW32" s="122"/>
      <c r="AX32" s="112"/>
      <c r="AY32" s="112"/>
      <c r="AZ32" s="96">
        <v>9</v>
      </c>
      <c r="BA32" s="96">
        <v>10</v>
      </c>
      <c r="BB32" s="96">
        <v>10</v>
      </c>
      <c r="BC32" s="96">
        <v>10</v>
      </c>
      <c r="BD32" s="96">
        <v>10</v>
      </c>
      <c r="BE32" s="96">
        <v>11</v>
      </c>
      <c r="BF32" s="96">
        <v>11</v>
      </c>
      <c r="BG32" s="96">
        <v>11</v>
      </c>
      <c r="BH32" s="96">
        <v>9</v>
      </c>
      <c r="BI32" s="96">
        <v>9</v>
      </c>
      <c r="BJ32" s="96">
        <v>9</v>
      </c>
      <c r="BK32" s="96">
        <v>10</v>
      </c>
      <c r="BM32" s="97">
        <v>10</v>
      </c>
      <c r="BN32" s="97">
        <v>11</v>
      </c>
      <c r="BO32" s="97">
        <v>11</v>
      </c>
      <c r="BP32" s="97">
        <v>11</v>
      </c>
      <c r="BQ32" s="97">
        <v>11</v>
      </c>
      <c r="BR32" s="97">
        <v>11</v>
      </c>
      <c r="BS32" s="97">
        <v>11</v>
      </c>
      <c r="BT32" s="97">
        <v>11</v>
      </c>
      <c r="BU32" s="97">
        <v>11</v>
      </c>
      <c r="BV32" s="97">
        <v>11</v>
      </c>
      <c r="BW32" s="97">
        <v>11</v>
      </c>
      <c r="BX32" s="97">
        <v>10</v>
      </c>
      <c r="BZ32" s="96">
        <v>10</v>
      </c>
      <c r="CA32" s="96">
        <v>9</v>
      </c>
      <c r="CB32" s="96">
        <v>9</v>
      </c>
      <c r="CC32" s="96">
        <v>9</v>
      </c>
      <c r="CD32" s="96">
        <v>9</v>
      </c>
      <c r="CE32" s="96">
        <v>10</v>
      </c>
      <c r="CF32" s="96">
        <v>10</v>
      </c>
      <c r="CG32" s="96">
        <v>10</v>
      </c>
      <c r="CH32" s="96">
        <v>10</v>
      </c>
      <c r="CI32" s="96">
        <v>10</v>
      </c>
      <c r="CJ32" s="96">
        <v>10</v>
      </c>
      <c r="CK32" s="96">
        <v>10</v>
      </c>
      <c r="CM32" s="96">
        <v>10</v>
      </c>
      <c r="CN32" s="96">
        <v>10</v>
      </c>
      <c r="CO32" s="96">
        <v>10</v>
      </c>
      <c r="CP32" s="96">
        <v>10</v>
      </c>
      <c r="CQ32" s="96">
        <v>10</v>
      </c>
      <c r="CR32" s="96">
        <v>11</v>
      </c>
      <c r="CS32" s="96">
        <v>11</v>
      </c>
      <c r="CT32" s="96">
        <v>10</v>
      </c>
      <c r="CU32" s="96">
        <v>10</v>
      </c>
      <c r="CV32" s="96">
        <v>10</v>
      </c>
      <c r="CW32" s="96">
        <v>10</v>
      </c>
      <c r="CX32" s="96">
        <v>10</v>
      </c>
      <c r="CZ32" s="96">
        <v>10</v>
      </c>
      <c r="DA32" s="96">
        <v>10</v>
      </c>
      <c r="DB32" s="96">
        <v>9</v>
      </c>
      <c r="DC32" s="96">
        <v>9</v>
      </c>
      <c r="DD32" s="96">
        <v>9</v>
      </c>
      <c r="DE32" s="96">
        <v>9</v>
      </c>
      <c r="DF32" s="96">
        <v>9</v>
      </c>
      <c r="DG32" s="96">
        <v>9</v>
      </c>
      <c r="DH32" s="96">
        <v>9</v>
      </c>
      <c r="DI32" s="96">
        <v>9</v>
      </c>
      <c r="DJ32" s="96">
        <v>9</v>
      </c>
      <c r="DK32" s="96">
        <v>9</v>
      </c>
      <c r="DM32" s="97">
        <v>9</v>
      </c>
      <c r="DN32" s="97">
        <v>9</v>
      </c>
      <c r="DO32" s="97">
        <v>9</v>
      </c>
      <c r="DP32" s="117">
        <v>5</v>
      </c>
      <c r="DQ32" s="117">
        <v>5</v>
      </c>
      <c r="DR32" s="117">
        <v>5</v>
      </c>
      <c r="DS32" s="97">
        <v>4</v>
      </c>
      <c r="DT32" s="97">
        <v>4</v>
      </c>
      <c r="DU32" s="97">
        <v>4</v>
      </c>
      <c r="DV32" s="97">
        <v>4</v>
      </c>
      <c r="DW32" s="97">
        <v>4</v>
      </c>
      <c r="DX32" s="97">
        <v>4</v>
      </c>
      <c r="ED32" s="97">
        <v>9</v>
      </c>
      <c r="EE32" s="97">
        <v>9</v>
      </c>
      <c r="EF32" s="97">
        <v>9</v>
      </c>
      <c r="EG32" s="97">
        <v>6</v>
      </c>
      <c r="EH32" s="97">
        <v>6</v>
      </c>
      <c r="EI32" s="97">
        <v>6</v>
      </c>
      <c r="EJ32" s="97">
        <v>5</v>
      </c>
      <c r="EK32" s="97">
        <v>5</v>
      </c>
      <c r="EL32" s="97">
        <v>5</v>
      </c>
      <c r="EM32" s="97">
        <v>5</v>
      </c>
      <c r="EN32" s="97">
        <v>5</v>
      </c>
      <c r="EO32" s="97">
        <v>5</v>
      </c>
      <c r="ER32" s="97">
        <v>5</v>
      </c>
      <c r="ES32" s="97">
        <v>5</v>
      </c>
      <c r="ET32" s="97">
        <v>5</v>
      </c>
      <c r="EU32" s="97">
        <v>5</v>
      </c>
      <c r="EV32" s="97">
        <v>5</v>
      </c>
      <c r="EW32" s="97">
        <v>6</v>
      </c>
    </row>
    <row r="33" spans="2:153" s="97" customFormat="1" ht="13" x14ac:dyDescent="0.3">
      <c r="D33" s="96"/>
      <c r="E33" s="96"/>
      <c r="F33" s="96"/>
      <c r="G33" s="96"/>
      <c r="H33" s="96"/>
      <c r="I33" s="96"/>
      <c r="J33" s="96"/>
      <c r="K33" s="96"/>
      <c r="L33" s="96"/>
      <c r="M33" s="96"/>
      <c r="N33" s="96"/>
      <c r="O33" s="96"/>
      <c r="AP33" s="96"/>
      <c r="AZ33" s="96"/>
      <c r="BA33" s="96"/>
      <c r="BB33" s="96"/>
      <c r="BC33" s="96"/>
      <c r="BD33" s="96"/>
      <c r="BE33" s="96"/>
      <c r="BF33" s="96"/>
      <c r="BG33" s="96"/>
      <c r="BH33" s="96"/>
      <c r="BI33" s="96"/>
      <c r="BJ33" s="96"/>
      <c r="BK33" s="96"/>
      <c r="DP33" s="117"/>
      <c r="DQ33" s="117"/>
      <c r="DR33" s="117"/>
    </row>
    <row r="34" spans="2:153" s="97" customFormat="1" ht="13" x14ac:dyDescent="0.3">
      <c r="B34" s="110" t="s">
        <v>58</v>
      </c>
      <c r="D34" s="96">
        <f>+O34</f>
        <v>1</v>
      </c>
      <c r="E34" s="96">
        <f>+T34</f>
        <v>1</v>
      </c>
      <c r="F34" s="96">
        <f>+Y34</f>
        <v>1</v>
      </c>
      <c r="G34" s="96">
        <f>AD34</f>
        <v>1</v>
      </c>
      <c r="H34" s="96">
        <f>AF34</f>
        <v>1</v>
      </c>
      <c r="I34" s="96">
        <f>AN34</f>
        <v>2</v>
      </c>
      <c r="J34" s="96">
        <f>AR34</f>
        <v>0</v>
      </c>
      <c r="K34" s="96">
        <f>AV34</f>
        <v>0</v>
      </c>
      <c r="L34" s="96">
        <f>+BB34</f>
        <v>1</v>
      </c>
      <c r="M34" s="96">
        <f>+BE34</f>
        <v>1</v>
      </c>
      <c r="N34" s="96">
        <f>+BH34</f>
        <v>1</v>
      </c>
      <c r="O34" s="96">
        <f>+BK34</f>
        <v>1</v>
      </c>
      <c r="Q34" s="96">
        <f>+BO34</f>
        <v>1</v>
      </c>
      <c r="R34" s="96">
        <f>+BR34</f>
        <v>1</v>
      </c>
      <c r="S34" s="96">
        <f>+BU34</f>
        <v>1</v>
      </c>
      <c r="T34" s="96">
        <f>+BX34</f>
        <v>1</v>
      </c>
      <c r="V34" s="96">
        <f>+CB34</f>
        <v>1</v>
      </c>
      <c r="W34" s="96">
        <f>CE34</f>
        <v>1</v>
      </c>
      <c r="X34" s="96">
        <f>CH34</f>
        <v>1</v>
      </c>
      <c r="Y34" s="96">
        <f>CK34</f>
        <v>1</v>
      </c>
      <c r="AA34" s="112">
        <f>CO34</f>
        <v>1</v>
      </c>
      <c r="AB34" s="112">
        <f>CR34</f>
        <v>1</v>
      </c>
      <c r="AC34" s="112">
        <f>CU34</f>
        <v>1</v>
      </c>
      <c r="AD34" s="112">
        <f>CX34</f>
        <v>1</v>
      </c>
      <c r="AE34" s="112"/>
      <c r="AF34" s="112">
        <f>DB34</f>
        <v>1</v>
      </c>
      <c r="AG34" s="112">
        <f>DE34</f>
        <v>1</v>
      </c>
      <c r="AH34" s="112">
        <f>DH34</f>
        <v>1</v>
      </c>
      <c r="AI34" s="112">
        <f>DK34</f>
        <v>0</v>
      </c>
      <c r="AJ34" s="112"/>
      <c r="AK34" s="112">
        <f>DO34</f>
        <v>0</v>
      </c>
      <c r="AL34" s="112">
        <f>DR34</f>
        <v>1</v>
      </c>
      <c r="AM34" s="112">
        <f>DU34</f>
        <v>2</v>
      </c>
      <c r="AN34" s="96">
        <f>DX34</f>
        <v>2</v>
      </c>
      <c r="AO34" s="96"/>
      <c r="AP34" s="96">
        <f>EF34</f>
        <v>0</v>
      </c>
      <c r="AQ34" s="122">
        <f>EI34</f>
        <v>0</v>
      </c>
      <c r="AR34" s="96">
        <f>EL34</f>
        <v>0</v>
      </c>
      <c r="AS34" s="96">
        <f>EO34</f>
        <v>0</v>
      </c>
      <c r="AT34" s="96"/>
      <c r="AU34" s="96">
        <f>ET34</f>
        <v>0</v>
      </c>
      <c r="AV34" s="96">
        <f>EW34</f>
        <v>0</v>
      </c>
      <c r="AW34" s="122"/>
      <c r="AX34" s="112"/>
      <c r="AY34" s="112"/>
      <c r="AZ34" s="96">
        <v>1</v>
      </c>
      <c r="BA34" s="96">
        <v>1</v>
      </c>
      <c r="BB34" s="96">
        <v>1</v>
      </c>
      <c r="BC34" s="96">
        <v>1</v>
      </c>
      <c r="BD34" s="96">
        <v>1</v>
      </c>
      <c r="BE34" s="96">
        <v>1</v>
      </c>
      <c r="BF34" s="96">
        <v>1</v>
      </c>
      <c r="BG34" s="96">
        <v>1</v>
      </c>
      <c r="BH34" s="96">
        <v>1</v>
      </c>
      <c r="BI34" s="96">
        <v>1</v>
      </c>
      <c r="BJ34" s="96">
        <v>1</v>
      </c>
      <c r="BK34" s="96">
        <v>1</v>
      </c>
      <c r="BM34" s="96">
        <v>1</v>
      </c>
      <c r="BN34" s="96">
        <v>1</v>
      </c>
      <c r="BO34" s="96">
        <v>1</v>
      </c>
      <c r="BP34" s="96">
        <v>1</v>
      </c>
      <c r="BQ34" s="96">
        <v>1</v>
      </c>
      <c r="BR34" s="96">
        <v>1</v>
      </c>
      <c r="BS34" s="96">
        <v>1</v>
      </c>
      <c r="BT34" s="96">
        <v>1</v>
      </c>
      <c r="BU34" s="96">
        <v>1</v>
      </c>
      <c r="BV34" s="96">
        <v>1</v>
      </c>
      <c r="BW34" s="96">
        <v>1</v>
      </c>
      <c r="BX34" s="96">
        <v>1</v>
      </c>
      <c r="BZ34" s="96">
        <v>1</v>
      </c>
      <c r="CA34" s="96">
        <v>1</v>
      </c>
      <c r="CB34" s="96">
        <v>1</v>
      </c>
      <c r="CC34" s="96">
        <v>1</v>
      </c>
      <c r="CD34" s="96">
        <v>1</v>
      </c>
      <c r="CE34" s="96">
        <v>1</v>
      </c>
      <c r="CF34" s="96">
        <v>1</v>
      </c>
      <c r="CG34" s="96">
        <v>1</v>
      </c>
      <c r="CH34" s="96">
        <v>1</v>
      </c>
      <c r="CI34" s="96">
        <v>1</v>
      </c>
      <c r="CJ34" s="96">
        <v>1</v>
      </c>
      <c r="CK34" s="96">
        <v>1</v>
      </c>
      <c r="CM34" s="96">
        <v>1</v>
      </c>
      <c r="CN34" s="96">
        <v>1</v>
      </c>
      <c r="CO34" s="96">
        <v>1</v>
      </c>
      <c r="CP34" s="96">
        <v>1</v>
      </c>
      <c r="CQ34" s="96">
        <v>1</v>
      </c>
      <c r="CR34" s="96">
        <v>1</v>
      </c>
      <c r="CS34" s="96">
        <v>1</v>
      </c>
      <c r="CT34" s="96">
        <v>1</v>
      </c>
      <c r="CU34" s="96">
        <v>1</v>
      </c>
      <c r="CV34" s="96">
        <v>1</v>
      </c>
      <c r="CW34" s="96">
        <v>1</v>
      </c>
      <c r="CX34" s="96">
        <v>1</v>
      </c>
      <c r="CZ34" s="96">
        <v>1</v>
      </c>
      <c r="DA34" s="96">
        <v>1</v>
      </c>
      <c r="DB34" s="96">
        <v>1</v>
      </c>
      <c r="DC34" s="96">
        <v>1</v>
      </c>
      <c r="DD34" s="96">
        <v>1</v>
      </c>
      <c r="DE34" s="96">
        <v>1</v>
      </c>
      <c r="DF34" s="96">
        <v>1</v>
      </c>
      <c r="DG34" s="96">
        <v>1</v>
      </c>
      <c r="DH34" s="96">
        <v>1</v>
      </c>
      <c r="DI34" s="96">
        <v>1</v>
      </c>
      <c r="DJ34" s="96">
        <v>1</v>
      </c>
      <c r="DK34" s="96">
        <v>0</v>
      </c>
      <c r="DM34" s="97">
        <v>0</v>
      </c>
      <c r="DN34" s="97">
        <v>0</v>
      </c>
      <c r="DO34" s="97">
        <v>0</v>
      </c>
      <c r="DP34" s="117">
        <v>1</v>
      </c>
      <c r="DQ34" s="117">
        <v>1</v>
      </c>
      <c r="DR34" s="117">
        <v>1</v>
      </c>
      <c r="DS34" s="97">
        <v>1</v>
      </c>
      <c r="DT34" s="97">
        <v>2</v>
      </c>
      <c r="DU34" s="97">
        <v>2</v>
      </c>
      <c r="DV34" s="97">
        <v>2</v>
      </c>
      <c r="DW34" s="97">
        <v>2</v>
      </c>
      <c r="DX34" s="97">
        <v>2</v>
      </c>
      <c r="ED34" s="97">
        <v>0</v>
      </c>
      <c r="EE34" s="97">
        <v>0</v>
      </c>
      <c r="EF34" s="97">
        <v>0</v>
      </c>
      <c r="EG34" s="97">
        <v>0</v>
      </c>
      <c r="EH34" s="97">
        <v>0</v>
      </c>
      <c r="EI34" s="97">
        <v>0</v>
      </c>
      <c r="EJ34" s="97">
        <v>0</v>
      </c>
      <c r="EK34" s="97">
        <v>0</v>
      </c>
      <c r="EL34" s="97">
        <v>0</v>
      </c>
      <c r="EM34" s="97">
        <v>0</v>
      </c>
      <c r="EN34" s="97">
        <v>0</v>
      </c>
      <c r="EO34" s="97">
        <v>0</v>
      </c>
      <c r="ER34" s="97">
        <v>0</v>
      </c>
      <c r="ES34" s="97">
        <v>0</v>
      </c>
      <c r="ET34" s="97">
        <v>0</v>
      </c>
      <c r="EU34" s="97">
        <v>0</v>
      </c>
      <c r="EV34" s="97">
        <v>0</v>
      </c>
      <c r="EW34" s="97">
        <v>0</v>
      </c>
    </row>
    <row r="35" spans="2:153" s="97" customFormat="1" ht="13" x14ac:dyDescent="0.3">
      <c r="V35" s="96"/>
      <c r="AP35" s="96"/>
      <c r="DP35" s="117"/>
      <c r="DQ35" s="117"/>
      <c r="DR35" s="117"/>
    </row>
    <row r="36" spans="2:153" s="97" customFormat="1" ht="13" x14ac:dyDescent="0.3">
      <c r="B36" s="110" t="s">
        <v>77</v>
      </c>
      <c r="F36" s="96">
        <f>+Y36</f>
        <v>15</v>
      </c>
      <c r="G36" s="96">
        <f>AD36</f>
        <v>14</v>
      </c>
      <c r="H36" s="96">
        <f>AF36</f>
        <v>13</v>
      </c>
      <c r="I36" s="96">
        <f>AN36</f>
        <v>12</v>
      </c>
      <c r="J36" s="96">
        <f>AR36</f>
        <v>13</v>
      </c>
      <c r="K36" s="96">
        <f>AV36</f>
        <v>12</v>
      </c>
      <c r="V36" s="96">
        <f>+CB36</f>
        <v>14</v>
      </c>
      <c r="W36" s="96">
        <f>CE36</f>
        <v>16</v>
      </c>
      <c r="X36" s="96">
        <f>CH36</f>
        <v>15</v>
      </c>
      <c r="Y36" s="96">
        <f>CK36</f>
        <v>15</v>
      </c>
      <c r="AA36" s="112">
        <f>CO36</f>
        <v>14</v>
      </c>
      <c r="AB36" s="112">
        <f>CR36</f>
        <v>15</v>
      </c>
      <c r="AC36" s="112">
        <f>CU36</f>
        <v>14</v>
      </c>
      <c r="AD36" s="112">
        <f>CX36</f>
        <v>14</v>
      </c>
      <c r="AE36" s="112"/>
      <c r="AF36" s="112">
        <f>DB36</f>
        <v>13</v>
      </c>
      <c r="AG36" s="112">
        <f>DE36</f>
        <v>14</v>
      </c>
      <c r="AH36" s="112">
        <f>DH36</f>
        <v>14</v>
      </c>
      <c r="AI36" s="112">
        <f>DK36</f>
        <v>14</v>
      </c>
      <c r="AJ36" s="112"/>
      <c r="AK36" s="112">
        <f>DO36</f>
        <v>13</v>
      </c>
      <c r="AL36" s="112">
        <f>DR36</f>
        <v>11</v>
      </c>
      <c r="AM36" s="112">
        <f>DU36</f>
        <v>12</v>
      </c>
      <c r="AN36" s="96">
        <f>DX36</f>
        <v>12</v>
      </c>
      <c r="AO36" s="96"/>
      <c r="AP36" s="96">
        <f>EF36</f>
        <v>13</v>
      </c>
      <c r="AQ36" s="122">
        <f>EI36</f>
        <v>13</v>
      </c>
      <c r="AR36" s="96">
        <f>EL36</f>
        <v>13</v>
      </c>
      <c r="AS36" s="96">
        <f>EO36</f>
        <v>13</v>
      </c>
      <c r="AT36" s="96"/>
      <c r="AU36" s="96">
        <f>ET36</f>
        <v>13</v>
      </c>
      <c r="AV36" s="96">
        <f>EW36</f>
        <v>12</v>
      </c>
      <c r="AW36" s="122"/>
      <c r="AX36" s="112"/>
      <c r="AY36" s="112"/>
      <c r="BZ36" s="96">
        <v>15</v>
      </c>
      <c r="CA36" s="96">
        <v>14</v>
      </c>
      <c r="CB36" s="96">
        <v>14</v>
      </c>
      <c r="CC36" s="96">
        <v>14</v>
      </c>
      <c r="CD36" s="96">
        <v>14</v>
      </c>
      <c r="CE36" s="96">
        <v>16</v>
      </c>
      <c r="CF36" s="96">
        <v>16</v>
      </c>
      <c r="CG36" s="96">
        <v>15</v>
      </c>
      <c r="CH36" s="96">
        <v>15</v>
      </c>
      <c r="CI36" s="96">
        <v>15</v>
      </c>
      <c r="CJ36" s="96">
        <v>15</v>
      </c>
      <c r="CK36" s="96">
        <v>15</v>
      </c>
      <c r="CM36" s="96">
        <v>15</v>
      </c>
      <c r="CN36" s="96">
        <v>15</v>
      </c>
      <c r="CO36" s="96">
        <v>14</v>
      </c>
      <c r="CP36" s="96">
        <v>14</v>
      </c>
      <c r="CQ36" s="96">
        <v>14</v>
      </c>
      <c r="CR36" s="96">
        <v>15</v>
      </c>
      <c r="CS36" s="96">
        <v>15</v>
      </c>
      <c r="CT36" s="96">
        <v>14</v>
      </c>
      <c r="CU36" s="96">
        <v>14</v>
      </c>
      <c r="CV36" s="96">
        <v>14</v>
      </c>
      <c r="CW36" s="96">
        <v>14</v>
      </c>
      <c r="CX36" s="96">
        <v>14</v>
      </c>
      <c r="CZ36" s="96">
        <v>14</v>
      </c>
      <c r="DA36" s="96">
        <v>14</v>
      </c>
      <c r="DB36" s="96">
        <v>13</v>
      </c>
      <c r="DC36" s="96">
        <v>13</v>
      </c>
      <c r="DD36" s="96">
        <v>14</v>
      </c>
      <c r="DE36" s="96">
        <v>14</v>
      </c>
      <c r="DF36" s="96">
        <v>14</v>
      </c>
      <c r="DG36" s="96">
        <v>14</v>
      </c>
      <c r="DH36" s="96">
        <v>14</v>
      </c>
      <c r="DI36" s="96">
        <v>14</v>
      </c>
      <c r="DJ36" s="96">
        <v>14</v>
      </c>
      <c r="DK36" s="96">
        <v>14</v>
      </c>
      <c r="DM36" s="97">
        <v>13</v>
      </c>
      <c r="DN36" s="97">
        <v>13</v>
      </c>
      <c r="DO36" s="97">
        <v>13</v>
      </c>
      <c r="DP36" s="117">
        <v>11</v>
      </c>
      <c r="DQ36" s="117">
        <v>11</v>
      </c>
      <c r="DR36" s="117">
        <v>11</v>
      </c>
      <c r="DS36" s="97">
        <v>10</v>
      </c>
      <c r="DT36" s="97">
        <v>12</v>
      </c>
      <c r="DU36" s="97">
        <v>12</v>
      </c>
      <c r="DV36" s="97">
        <v>12</v>
      </c>
      <c r="DW36" s="97">
        <v>12</v>
      </c>
      <c r="DX36" s="97">
        <v>12</v>
      </c>
      <c r="ED36" s="97">
        <v>13</v>
      </c>
      <c r="EE36" s="97">
        <v>13</v>
      </c>
      <c r="EF36" s="97">
        <v>13</v>
      </c>
      <c r="EG36" s="97">
        <v>13</v>
      </c>
      <c r="EH36" s="97">
        <v>13</v>
      </c>
      <c r="EI36" s="97">
        <v>13</v>
      </c>
      <c r="EJ36" s="97">
        <v>13</v>
      </c>
      <c r="EK36" s="97">
        <v>13</v>
      </c>
      <c r="EL36" s="97">
        <v>13</v>
      </c>
      <c r="EM36" s="97">
        <v>13</v>
      </c>
      <c r="EN36" s="97">
        <v>13</v>
      </c>
      <c r="EO36" s="97">
        <v>13</v>
      </c>
      <c r="ER36" s="97">
        <v>13</v>
      </c>
      <c r="ES36" s="97">
        <v>13</v>
      </c>
      <c r="ET36" s="97">
        <v>13</v>
      </c>
      <c r="EU36" s="97">
        <v>13</v>
      </c>
      <c r="EV36" s="97">
        <v>12</v>
      </c>
      <c r="EW36" s="97">
        <v>12</v>
      </c>
    </row>
    <row r="37" spans="2:153" s="97" customFormat="1" ht="13" x14ac:dyDescent="0.3">
      <c r="F37" s="96"/>
      <c r="G37" s="96"/>
      <c r="H37" s="96"/>
      <c r="I37" s="96"/>
      <c r="J37" s="96"/>
      <c r="K37" s="96"/>
      <c r="V37" s="96"/>
      <c r="AP37" s="96"/>
      <c r="DP37" s="117"/>
      <c r="DQ37" s="117"/>
      <c r="DR37" s="117"/>
    </row>
    <row r="38" spans="2:153" s="97" customFormat="1" ht="13" x14ac:dyDescent="0.3">
      <c r="B38" s="110" t="s">
        <v>78</v>
      </c>
      <c r="F38" s="96">
        <f>+Y38</f>
        <v>10</v>
      </c>
      <c r="G38" s="96">
        <f>AD38</f>
        <v>10</v>
      </c>
      <c r="H38" s="96">
        <f>AF38</f>
        <v>8</v>
      </c>
      <c r="I38" s="96">
        <f>AN38</f>
        <v>3</v>
      </c>
      <c r="J38" s="96">
        <f>AR38</f>
        <v>4</v>
      </c>
      <c r="K38" s="96">
        <f>AV38</f>
        <v>4</v>
      </c>
      <c r="V38" s="96">
        <f>+CB38</f>
        <v>10</v>
      </c>
      <c r="W38" s="96">
        <f>CE38</f>
        <v>10</v>
      </c>
      <c r="X38" s="96">
        <f>CH38</f>
        <v>10</v>
      </c>
      <c r="Y38" s="96">
        <f>CK38</f>
        <v>10</v>
      </c>
      <c r="AA38" s="112">
        <f>CO38</f>
        <v>10</v>
      </c>
      <c r="AB38" s="112">
        <f>CR38</f>
        <v>10</v>
      </c>
      <c r="AC38" s="112">
        <f>CU38</f>
        <v>10</v>
      </c>
      <c r="AD38" s="112">
        <f>CX38</f>
        <v>10</v>
      </c>
      <c r="AE38" s="112"/>
      <c r="AF38" s="112">
        <f>DB38</f>
        <v>8</v>
      </c>
      <c r="AG38" s="112">
        <f>DE38</f>
        <v>8</v>
      </c>
      <c r="AH38" s="112">
        <f>DH38</f>
        <v>8</v>
      </c>
      <c r="AI38" s="112">
        <f>DK38</f>
        <v>4</v>
      </c>
      <c r="AJ38" s="112"/>
      <c r="AK38" s="112">
        <f>DO38</f>
        <v>4</v>
      </c>
      <c r="AL38" s="112">
        <f>DR38</f>
        <v>4</v>
      </c>
      <c r="AM38" s="112">
        <f>DU38</f>
        <v>4</v>
      </c>
      <c r="AN38" s="96">
        <f>DX38</f>
        <v>3</v>
      </c>
      <c r="AO38" s="96"/>
      <c r="AP38" s="96">
        <f>EF38</f>
        <v>4</v>
      </c>
      <c r="AQ38" s="122">
        <f>EI38</f>
        <v>4</v>
      </c>
      <c r="AR38" s="96">
        <f>EL38</f>
        <v>4</v>
      </c>
      <c r="AS38" s="96">
        <f>EO38</f>
        <v>4</v>
      </c>
      <c r="AT38" s="96"/>
      <c r="AU38" s="96">
        <f>ET38</f>
        <v>4</v>
      </c>
      <c r="AV38" s="96">
        <f>EW38</f>
        <v>4</v>
      </c>
      <c r="AW38" s="122"/>
      <c r="AX38" s="112"/>
      <c r="AY38" s="112"/>
      <c r="BZ38" s="96">
        <v>10</v>
      </c>
      <c r="CA38" s="96">
        <v>10</v>
      </c>
      <c r="CB38" s="96">
        <v>10</v>
      </c>
      <c r="CC38" s="96">
        <v>10</v>
      </c>
      <c r="CD38" s="96">
        <v>10</v>
      </c>
      <c r="CE38" s="96">
        <v>10</v>
      </c>
      <c r="CF38" s="96">
        <v>10</v>
      </c>
      <c r="CG38" s="96">
        <v>10</v>
      </c>
      <c r="CH38" s="96">
        <v>10</v>
      </c>
      <c r="CI38" s="96">
        <v>10</v>
      </c>
      <c r="CJ38" s="96">
        <v>10</v>
      </c>
      <c r="CK38" s="96">
        <v>10</v>
      </c>
      <c r="CM38" s="96">
        <v>10</v>
      </c>
      <c r="CN38" s="96">
        <v>10</v>
      </c>
      <c r="CO38" s="96">
        <v>10</v>
      </c>
      <c r="CP38" s="96">
        <v>10</v>
      </c>
      <c r="CQ38" s="96">
        <v>10</v>
      </c>
      <c r="CR38" s="96">
        <v>10</v>
      </c>
      <c r="CS38" s="96">
        <v>10</v>
      </c>
      <c r="CT38" s="96">
        <v>10</v>
      </c>
      <c r="CU38" s="96">
        <v>10</v>
      </c>
      <c r="CV38" s="96">
        <v>10</v>
      </c>
      <c r="CW38" s="96">
        <v>10</v>
      </c>
      <c r="CX38" s="96">
        <v>10</v>
      </c>
      <c r="CZ38" s="96">
        <v>9</v>
      </c>
      <c r="DA38" s="96">
        <v>9</v>
      </c>
      <c r="DB38" s="96">
        <v>8</v>
      </c>
      <c r="DC38" s="96">
        <v>8</v>
      </c>
      <c r="DD38" s="96">
        <v>8</v>
      </c>
      <c r="DE38" s="96">
        <v>8</v>
      </c>
      <c r="DF38" s="96">
        <v>8</v>
      </c>
      <c r="DG38" s="96">
        <v>8</v>
      </c>
      <c r="DH38" s="96">
        <v>8</v>
      </c>
      <c r="DI38" s="96">
        <v>8</v>
      </c>
      <c r="DJ38" s="96">
        <v>8</v>
      </c>
      <c r="DK38" s="96">
        <v>4</v>
      </c>
      <c r="DM38" s="97">
        <v>4</v>
      </c>
      <c r="DN38" s="97">
        <v>4</v>
      </c>
      <c r="DO38" s="97">
        <v>4</v>
      </c>
      <c r="DP38" s="117">
        <v>4</v>
      </c>
      <c r="DQ38" s="117">
        <v>4</v>
      </c>
      <c r="DR38" s="117">
        <v>4</v>
      </c>
      <c r="DS38" s="97">
        <v>4</v>
      </c>
      <c r="DT38" s="97">
        <v>4</v>
      </c>
      <c r="DU38" s="97">
        <v>4</v>
      </c>
      <c r="DV38" s="97">
        <v>3</v>
      </c>
      <c r="DW38" s="97">
        <v>3</v>
      </c>
      <c r="DX38" s="97">
        <v>3</v>
      </c>
      <c r="ED38" s="97">
        <v>4</v>
      </c>
      <c r="EE38" s="97">
        <v>4</v>
      </c>
      <c r="EF38" s="97">
        <v>4</v>
      </c>
      <c r="EG38" s="97">
        <v>4</v>
      </c>
      <c r="EH38" s="97">
        <v>4</v>
      </c>
      <c r="EI38" s="97">
        <v>4</v>
      </c>
      <c r="EJ38" s="97">
        <v>4</v>
      </c>
      <c r="EK38" s="97">
        <v>4</v>
      </c>
      <c r="EL38" s="97">
        <v>4</v>
      </c>
      <c r="EM38" s="97">
        <v>4</v>
      </c>
      <c r="EN38" s="97">
        <v>4</v>
      </c>
      <c r="EO38" s="97">
        <v>4</v>
      </c>
      <c r="ER38" s="97">
        <v>4</v>
      </c>
      <c r="ES38" s="97">
        <v>4</v>
      </c>
      <c r="ET38" s="97">
        <v>4</v>
      </c>
      <c r="EU38" s="97">
        <v>4</v>
      </c>
      <c r="EV38" s="97">
        <v>4</v>
      </c>
      <c r="EW38" s="97">
        <v>4</v>
      </c>
    </row>
    <row r="39" spans="2:153" s="97" customFormat="1" ht="13" x14ac:dyDescent="0.3">
      <c r="F39" s="96"/>
      <c r="G39" s="96"/>
      <c r="H39" s="96"/>
      <c r="I39" s="96"/>
      <c r="J39" s="96"/>
      <c r="K39" s="96"/>
    </row>
    <row r="40" spans="2:153" s="97" customFormat="1" ht="13" x14ac:dyDescent="0.3">
      <c r="Y40" s="96"/>
    </row>
    <row r="41" spans="2:153" s="97" customFormat="1" ht="13" x14ac:dyDescent="0.3"/>
    <row r="42" spans="2:153" s="97" customFormat="1" ht="13" x14ac:dyDescent="0.3"/>
    <row r="43" spans="2:153" s="97" customFormat="1" ht="13" x14ac:dyDescent="0.3"/>
    <row r="44" spans="2:153" s="97" customFormat="1" ht="13" x14ac:dyDescent="0.3"/>
    <row r="45" spans="2:153" s="97" customFormat="1" ht="13" x14ac:dyDescent="0.3"/>
    <row r="46" spans="2:153" s="97" customFormat="1" ht="13" x14ac:dyDescent="0.3"/>
  </sheetData>
  <dataConsolidate/>
  <pageMargins left="0.70866141732283472" right="0.70866141732283472" top="0.74803149606299213" bottom="0.74803149606299213" header="0.31496062992125984" footer="0.31496062992125984"/>
  <pageSetup scale="72" orientation="landscape" r:id="rId1"/>
  <ignoredErrors>
    <ignoredError sqref="W6:Y6 W26:Y33 W8:Y18 V7:V25 W7:Y7 W20:Y25 W19:X19 AA4:AD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Z23"/>
  <sheetViews>
    <sheetView showGridLines="0" tabSelected="1" topLeftCell="B9" workbookViewId="0">
      <selection activeCell="AX18" sqref="AX18"/>
    </sheetView>
  </sheetViews>
  <sheetFormatPr defaultColWidth="8.81640625" defaultRowHeight="14" outlineLevelCol="1" x14ac:dyDescent="0.3"/>
  <cols>
    <col min="1" max="4" width="8.81640625" style="80"/>
    <col min="5" max="5" width="9.81640625" style="80" hidden="1" customWidth="1"/>
    <col min="6" max="6" width="10.1796875" style="80" hidden="1" customWidth="1"/>
    <col min="7" max="7" width="13.1796875" style="80" hidden="1" customWidth="1"/>
    <col min="8" max="12" width="10.1796875" style="80" customWidth="1"/>
    <col min="13" max="13" width="8.81640625" style="80" customWidth="1" outlineLevel="1"/>
    <col min="14" max="18" width="8.81640625" style="80" hidden="1" customWidth="1" outlineLevel="1"/>
    <col min="19" max="19" width="10.1796875" style="80" hidden="1" customWidth="1" outlineLevel="1"/>
    <col min="20" max="22" width="8.81640625" style="80" hidden="1" customWidth="1" outlineLevel="1"/>
    <col min="23" max="23" width="8.81640625" style="80" hidden="1" customWidth="1" outlineLevel="1" collapsed="1"/>
    <col min="24" max="24" width="9.453125" style="80" hidden="1" customWidth="1" outlineLevel="1" collapsed="1"/>
    <col min="25" max="27" width="8.81640625" style="80" hidden="1" customWidth="1" outlineLevel="1"/>
    <col min="28" max="29" width="0" style="80" hidden="1" customWidth="1"/>
    <col min="30" max="30" width="9.453125" style="80" hidden="1" customWidth="1"/>
    <col min="31" max="31" width="0" style="80" hidden="1" customWidth="1"/>
    <col min="32" max="32" width="9.1796875" style="80" hidden="1" customWidth="1"/>
    <col min="33" max="48" width="0" style="80" hidden="1" customWidth="1"/>
    <col min="49" max="52" width="10.1796875" style="80" customWidth="1"/>
    <col min="53" max="16384" width="8.81640625" style="80"/>
  </cols>
  <sheetData>
    <row r="1" spans="1:52" ht="15.5" x14ac:dyDescent="0.35">
      <c r="A1" s="79" t="s">
        <v>49</v>
      </c>
    </row>
    <row r="2" spans="1:52" x14ac:dyDescent="0.3">
      <c r="A2" s="86" t="s">
        <v>53</v>
      </c>
    </row>
    <row r="3" spans="1:52" x14ac:dyDescent="0.3">
      <c r="AN3" s="118" t="s">
        <v>91</v>
      </c>
      <c r="AO3" s="118" t="s">
        <v>91</v>
      </c>
      <c r="AP3" s="118" t="s">
        <v>91</v>
      </c>
      <c r="AR3" s="118" t="s">
        <v>91</v>
      </c>
      <c r="AS3" s="118"/>
      <c r="AT3" s="118"/>
      <c r="AU3" s="118"/>
    </row>
    <row r="4" spans="1:52" x14ac:dyDescent="0.3">
      <c r="E4" s="81">
        <v>2018</v>
      </c>
      <c r="F4" s="81">
        <v>2019</v>
      </c>
      <c r="G4" s="92">
        <v>2020</v>
      </c>
      <c r="H4" s="92">
        <v>2021</v>
      </c>
      <c r="I4" s="92">
        <v>2022</v>
      </c>
      <c r="J4" s="92">
        <v>2023</v>
      </c>
      <c r="K4" s="92">
        <v>2024</v>
      </c>
      <c r="L4" s="92">
        <v>2025</v>
      </c>
      <c r="M4" s="82"/>
      <c r="N4" s="83" t="s">
        <v>46</v>
      </c>
      <c r="O4" s="83" t="s">
        <v>47</v>
      </c>
      <c r="P4" s="83" t="s">
        <v>13</v>
      </c>
      <c r="Q4" s="83" t="s">
        <v>6</v>
      </c>
      <c r="R4" s="84"/>
      <c r="S4" s="83" t="s">
        <v>1</v>
      </c>
      <c r="T4" s="83" t="s">
        <v>31</v>
      </c>
      <c r="U4" s="83" t="s">
        <v>34</v>
      </c>
      <c r="V4" s="83" t="s">
        <v>48</v>
      </c>
      <c r="W4" s="84"/>
      <c r="X4" s="83" t="s">
        <v>73</v>
      </c>
      <c r="Y4" s="83" t="s">
        <v>74</v>
      </c>
      <c r="Z4" s="83" t="s">
        <v>75</v>
      </c>
      <c r="AA4" s="83" t="s">
        <v>76</v>
      </c>
      <c r="AB4" s="83"/>
      <c r="AC4" s="83" t="s">
        <v>79</v>
      </c>
      <c r="AD4" s="83" t="s">
        <v>80</v>
      </c>
      <c r="AE4" s="83" t="s">
        <v>81</v>
      </c>
      <c r="AF4" s="83" t="s">
        <v>82</v>
      </c>
      <c r="AG4" s="83"/>
      <c r="AH4" s="83" t="s">
        <v>83</v>
      </c>
      <c r="AI4" s="83" t="s">
        <v>84</v>
      </c>
      <c r="AJ4" s="83" t="s">
        <v>85</v>
      </c>
      <c r="AK4" s="83" t="s">
        <v>86</v>
      </c>
      <c r="AM4" s="83" t="s">
        <v>87</v>
      </c>
      <c r="AN4" s="83" t="s">
        <v>88</v>
      </c>
      <c r="AO4" s="83" t="s">
        <v>89</v>
      </c>
      <c r="AP4" s="83" t="s">
        <v>90</v>
      </c>
      <c r="AR4" s="83" t="s">
        <v>92</v>
      </c>
      <c r="AS4" s="83" t="s">
        <v>93</v>
      </c>
      <c r="AT4" s="83" t="s">
        <v>94</v>
      </c>
      <c r="AU4" s="83" t="s">
        <v>95</v>
      </c>
      <c r="AW4" s="92" t="s">
        <v>96</v>
      </c>
      <c r="AX4" s="92" t="s">
        <v>97</v>
      </c>
      <c r="AY4" s="92" t="s">
        <v>98</v>
      </c>
      <c r="AZ4" s="92" t="s">
        <v>99</v>
      </c>
    </row>
    <row r="6" spans="1:52" x14ac:dyDescent="0.3">
      <c r="B6" s="88" t="s">
        <v>52</v>
      </c>
      <c r="C6" s="85"/>
      <c r="D6" s="85"/>
      <c r="E6" s="87">
        <f>+SUM('Data Template'!D4:D6)</f>
        <v>192079.34597999998</v>
      </c>
      <c r="F6" s="87">
        <f>+SUM('Data Template'!E4:E7)</f>
        <v>302293.44340701005</v>
      </c>
      <c r="G6" s="93">
        <f>SUM(X6:AA6)</f>
        <v>329964.74150400684</v>
      </c>
      <c r="H6" s="93">
        <f>SUM(AC6:AF6)</f>
        <v>378418.25030940882</v>
      </c>
      <c r="I6" s="93">
        <f>SUM(AH6:AK6)</f>
        <v>282011.4433412751</v>
      </c>
      <c r="J6" s="93">
        <f>SUM(AM6:AP6)</f>
        <v>287928.96995496569</v>
      </c>
      <c r="K6" s="93">
        <f>SUM(AR6:AU6)</f>
        <v>291299.66357868875</v>
      </c>
      <c r="L6" s="93">
        <f t="shared" ref="L6:L12" si="0">SUM(AW6:AZ6)</f>
        <v>164289.17914420945</v>
      </c>
      <c r="M6" s="87"/>
      <c r="N6" s="87">
        <f>+SUM('Data Template'!L4:L6)</f>
        <v>33509.467530000002</v>
      </c>
      <c r="O6" s="87">
        <f>+SUM('Data Template'!M4:M6)</f>
        <v>33425.234899999996</v>
      </c>
      <c r="P6" s="87">
        <f>+SUM('Data Template'!N4:N6)</f>
        <v>34066.432920000007</v>
      </c>
      <c r="Q6" s="87">
        <f>+SUM('Data Template'!O4:O6)</f>
        <v>91078.210629999987</v>
      </c>
      <c r="R6" s="87"/>
      <c r="S6" s="87">
        <f>+SUM('Data Template'!Q4:Q7)</f>
        <v>56185.531526670893</v>
      </c>
      <c r="T6" s="87">
        <f>+SUM('Data Template'!R4:R7)</f>
        <v>66280.920093329099</v>
      </c>
      <c r="U6" s="87">
        <f>+SUM('Data Template'!S4:S7)</f>
        <v>85130.523937453923</v>
      </c>
      <c r="V6" s="87">
        <f>+SUM('Data Template'!T4:T7)</f>
        <v>94696.467849556109</v>
      </c>
      <c r="W6" s="87"/>
      <c r="X6" s="87">
        <f>+SUM('Data Template'!V4:V7)</f>
        <v>76659.648664429202</v>
      </c>
      <c r="Y6" s="87">
        <f>SUM('Data Template'!W4:W7)</f>
        <v>83689.985960000005</v>
      </c>
      <c r="Z6" s="87">
        <f>SUM('Data Template'!X4:X7)</f>
        <v>86944.739620170207</v>
      </c>
      <c r="AA6" s="87">
        <f>SUM('Data Template'!Y4:Y7)</f>
        <v>82670.367259407401</v>
      </c>
      <c r="AB6" s="87"/>
      <c r="AC6" s="87">
        <f>SUM('Data Template'!AA4:AA7)</f>
        <v>91090.094153232494</v>
      </c>
      <c r="AD6" s="87">
        <f>SUM('Data Template'!AB4:AB7)</f>
        <v>91209.740890176327</v>
      </c>
      <c r="AE6" s="87">
        <f>SUM('Data Template'!AC4:AC7)</f>
        <v>100615.566236</v>
      </c>
      <c r="AF6" s="87">
        <f>SUM('Data Template'!AD4:AD7)</f>
        <v>95502.849029999998</v>
      </c>
      <c r="AG6" s="87"/>
      <c r="AH6" s="87">
        <f>SUM('Data Template'!AF4:AF7)</f>
        <v>88605.532741275063</v>
      </c>
      <c r="AI6" s="87">
        <f>SUM('Data Template'!AG4:AG7)</f>
        <v>73590.910600000003</v>
      </c>
      <c r="AJ6" s="87">
        <f>SUM('Data Template'!AH4:AH7)</f>
        <v>61397</v>
      </c>
      <c r="AK6" s="87">
        <f>SUM('Data Template'!AI4:AI7)</f>
        <v>58418</v>
      </c>
      <c r="AM6" s="87">
        <f>SUM('Data Template'!AK4:AK7)</f>
        <v>61611.311120190992</v>
      </c>
      <c r="AN6" s="87">
        <f>SUM('Data Template'!AL4:AL7)</f>
        <v>69633.429435015612</v>
      </c>
      <c r="AO6" s="116">
        <f>SUM('Data Template'!AM4:AM7)</f>
        <v>77332.592941517229</v>
      </c>
      <c r="AP6" s="116">
        <f>SUM('Data Template'!AN4:AN7)</f>
        <v>79351.636458241832</v>
      </c>
      <c r="AR6" s="116">
        <f>SUM('Data Template'!AP4:AP7)</f>
        <v>61587.952721383816</v>
      </c>
      <c r="AS6" s="116">
        <f>SUM('Data Template'!AQ4:AQ7)</f>
        <v>73597.353396182531</v>
      </c>
      <c r="AT6" s="116">
        <f>SUM('Data Template'!AR4:AR7)</f>
        <v>74096.676655460964</v>
      </c>
      <c r="AU6" s="116">
        <f>SUM('Data Template'!AS4:AS7)</f>
        <v>82017.680805661395</v>
      </c>
      <c r="AW6" s="116">
        <f>SUM('Data Template'!AU4:AU7)</f>
        <v>74285.07266969324</v>
      </c>
      <c r="AX6" s="116">
        <f>SUM('Data Template'!AV4:AV7)</f>
        <v>90004.106474516215</v>
      </c>
      <c r="AY6" s="93"/>
      <c r="AZ6" s="93"/>
    </row>
    <row r="7" spans="1:52" x14ac:dyDescent="0.3">
      <c r="B7" s="85" t="s">
        <v>59</v>
      </c>
      <c r="C7" s="85"/>
      <c r="D7" s="85"/>
      <c r="E7" s="87">
        <v>-24829.113456259998</v>
      </c>
      <c r="F7" s="87">
        <v>-29078.35802</v>
      </c>
      <c r="G7" s="93">
        <f t="shared" ref="G7:G20" si="1">SUM(X7:AA7)</f>
        <v>-36049.421341300003</v>
      </c>
      <c r="H7" s="93">
        <f t="shared" ref="H7:H20" si="2">SUM(AC7:AF7)</f>
        <v>-44910.2160143</v>
      </c>
      <c r="I7" s="93">
        <f>SUM(AH7:AK7)</f>
        <v>-47738.436159999997</v>
      </c>
      <c r="J7" s="93">
        <f t="shared" ref="J7:J21" si="3">SUM(AM7:AP7)</f>
        <v>-52960.478319005917</v>
      </c>
      <c r="K7" s="93">
        <f t="shared" ref="K7:K21" si="4">SUM(AR7:AU7)</f>
        <v>-23326.283788977798</v>
      </c>
      <c r="L7" s="93">
        <f t="shared" si="0"/>
        <v>-36924.213005608588</v>
      </c>
      <c r="M7" s="87"/>
      <c r="N7" s="87">
        <v>-6007.0249162600012</v>
      </c>
      <c r="O7" s="87">
        <v>-6168.6069300000008</v>
      </c>
      <c r="P7" s="87">
        <v>-6266.4336199999989</v>
      </c>
      <c r="Q7" s="87">
        <v>-6387.0479899999982</v>
      </c>
      <c r="R7" s="87"/>
      <c r="S7" s="87">
        <v>-7230.4432900000002</v>
      </c>
      <c r="T7" s="87">
        <v>-7369.3936700000013</v>
      </c>
      <c r="U7" s="87">
        <v>-7469.2912599999981</v>
      </c>
      <c r="V7" s="87">
        <v>-7009.229800000001</v>
      </c>
      <c r="W7" s="87"/>
      <c r="X7" s="87">
        <v>-8490.33</v>
      </c>
      <c r="Y7" s="87">
        <v>-8722.2739113000007</v>
      </c>
      <c r="Z7" s="87">
        <v>-9166.6181699999997</v>
      </c>
      <c r="AA7" s="87">
        <v>-9670.1992599999994</v>
      </c>
      <c r="AB7" s="87"/>
      <c r="AC7" s="87">
        <v>-10431.238630000002</v>
      </c>
      <c r="AD7" s="87">
        <v>-11310.688704300001</v>
      </c>
      <c r="AE7" s="87">
        <v>-11354</v>
      </c>
      <c r="AF7" s="87">
        <v>-11814.28868</v>
      </c>
      <c r="AG7" s="87"/>
      <c r="AH7" s="87">
        <v>-11072.436159999997</v>
      </c>
      <c r="AI7" s="87">
        <v>-11922</v>
      </c>
      <c r="AJ7" s="87">
        <v>-12126</v>
      </c>
      <c r="AK7" s="87">
        <v>-12618</v>
      </c>
      <c r="AM7" s="87">
        <v>-12607</v>
      </c>
      <c r="AN7" s="116">
        <f>-[4]Ebitda!$AF$25/1000</f>
        <v>-13041.591886337166</v>
      </c>
      <c r="AO7" s="116">
        <f>-[4]Ebitda!$AK$25/1000</f>
        <v>-13200.632340703403</v>
      </c>
      <c r="AP7" s="87">
        <f>-[5]Ebitda!$AP$25/1000</f>
        <v>-14111.254091965347</v>
      </c>
      <c r="AR7" s="87">
        <f>-[6]Ebitda!$AX$25/1000</f>
        <v>-14588.499163116179</v>
      </c>
      <c r="AS7" s="87">
        <f>-[7]Ebitda!$BC$25/1000</f>
        <v>-12023.733311420829</v>
      </c>
      <c r="AT7" s="93">
        <f>-[8]Ebitda!$BH$25/1000</f>
        <v>-14251.263410579408</v>
      </c>
      <c r="AU7" s="93">
        <f>[9]Ebitda!$BM$25/1000</f>
        <v>17537.212096138614</v>
      </c>
      <c r="AW7" s="93">
        <f>-[10]Ebitda!$BR$25/1000</f>
        <v>-18852.058655925779</v>
      </c>
      <c r="AX7" s="93">
        <f>-[18]Ebitda!$BW$25/1000</f>
        <v>-18072.154349682805</v>
      </c>
      <c r="AY7" s="93"/>
      <c r="AZ7" s="93"/>
    </row>
    <row r="8" spans="1:52" x14ac:dyDescent="0.3">
      <c r="B8" s="85" t="s">
        <v>60</v>
      </c>
      <c r="C8" s="85"/>
      <c r="D8" s="85"/>
      <c r="E8" s="87">
        <v>-5600.6315300000006</v>
      </c>
      <c r="F8" s="87">
        <v>-7074.3580465000014</v>
      </c>
      <c r="G8" s="93">
        <f t="shared" si="1"/>
        <v>-5426.5619644136705</v>
      </c>
      <c r="H8" s="93">
        <f t="shared" si="2"/>
        <v>-4252.2741389599933</v>
      </c>
      <c r="I8" s="93">
        <f t="shared" ref="I8:I21" si="5">SUM(AH8:AK8)</f>
        <v>-3075.3975445999977</v>
      </c>
      <c r="J8" s="93">
        <f t="shared" si="3"/>
        <v>-8254.1726359339991</v>
      </c>
      <c r="K8" s="93">
        <f t="shared" si="4"/>
        <v>-6889.3872561434746</v>
      </c>
      <c r="L8" s="93">
        <f t="shared" si="0"/>
        <v>-8540.0995263749992</v>
      </c>
      <c r="M8" s="87"/>
      <c r="N8" s="87">
        <v>-1871.6462100000003</v>
      </c>
      <c r="O8" s="87">
        <v>-1723.5156299999985</v>
      </c>
      <c r="P8" s="87">
        <v>-986.11263000000076</v>
      </c>
      <c r="Q8" s="87">
        <v>-1019.3570600000003</v>
      </c>
      <c r="R8" s="87"/>
      <c r="S8" s="87">
        <v>-1277.9633800000011</v>
      </c>
      <c r="T8" s="87">
        <v>-1958.4922599999989</v>
      </c>
      <c r="U8" s="87">
        <v>-2130.0049865000055</v>
      </c>
      <c r="V8" s="87">
        <v>-1707.8974199999952</v>
      </c>
      <c r="W8" s="87"/>
      <c r="X8" s="87">
        <v>-1279.4038012426149</v>
      </c>
      <c r="Y8" s="87">
        <v>-1214.5274537460589</v>
      </c>
      <c r="Z8" s="87">
        <v>-1241.6009660999987</v>
      </c>
      <c r="AA8" s="87">
        <v>-1691.0297433249982</v>
      </c>
      <c r="AB8" s="87"/>
      <c r="AC8" s="87">
        <v>-1303.9147162999982</v>
      </c>
      <c r="AD8" s="87">
        <v>-1155.2915089599981</v>
      </c>
      <c r="AE8" s="87">
        <v>-1106</v>
      </c>
      <c r="AF8" s="87">
        <v>-687.06791369999735</v>
      </c>
      <c r="AG8" s="87"/>
      <c r="AH8" s="87">
        <v>-744.39754459999779</v>
      </c>
      <c r="AI8" s="87">
        <v>-686</v>
      </c>
      <c r="AJ8" s="87">
        <v>-663</v>
      </c>
      <c r="AK8" s="87">
        <v>-982</v>
      </c>
      <c r="AM8" s="87">
        <v>-1545</v>
      </c>
      <c r="AN8" s="116">
        <f>[4]Ebitda!$AF$33/1000</f>
        <v>-1687.4219201011151</v>
      </c>
      <c r="AO8" s="116">
        <f>[4]Ebitda!$AK$33/1000</f>
        <v>-2558.2850717867723</v>
      </c>
      <c r="AP8" s="87">
        <f>[5]Ebitda!$AP$33/1000</f>
        <v>-2463.4656440461108</v>
      </c>
      <c r="AR8" s="87">
        <f>[6]Ebitda!$AX$33/1000</f>
        <v>-2020.482</v>
      </c>
      <c r="AS8" s="87">
        <f>SUM('[16]Cash forecast Mgt Acc Format'!$BM$11:$BO$11)</f>
        <v>-1747.786537389336</v>
      </c>
      <c r="AT8" s="87">
        <f>SUM('[17]Cash forecast Mgt Acc Format'!$BP$11:$BR$11)</f>
        <v>-1871.1445509204409</v>
      </c>
      <c r="AU8" s="87">
        <f>SUM('[17]Cash forecast Mgt Acc Format'!$BS$11:$BT$11)</f>
        <v>-1249.9741678336975</v>
      </c>
      <c r="AW8" s="93">
        <f>[10]Ebitda!$BR$33/1000</f>
        <v>-4217.0243834999992</v>
      </c>
      <c r="AX8" s="93">
        <f>[18]Ebitda!$BW$33/1000</f>
        <v>-4323.075142875</v>
      </c>
      <c r="AY8" s="93"/>
      <c r="AZ8" s="93"/>
    </row>
    <row r="9" spans="1:52" x14ac:dyDescent="0.3">
      <c r="B9" s="85" t="s">
        <v>61</v>
      </c>
      <c r="C9" s="85"/>
      <c r="D9" s="85"/>
      <c r="E9" s="90">
        <v>279.58490999999998</v>
      </c>
      <c r="F9" s="90">
        <v>596.64530999999988</v>
      </c>
      <c r="G9" s="94">
        <f t="shared" si="1"/>
        <v>852.81358999999986</v>
      </c>
      <c r="H9" s="94">
        <f>SUM(AC9:AF9)</f>
        <v>420.50882000000024</v>
      </c>
      <c r="I9" s="94">
        <f t="shared" si="5"/>
        <v>117</v>
      </c>
      <c r="J9" s="94">
        <f t="shared" si="3"/>
        <v>259</v>
      </c>
      <c r="K9" s="94">
        <f t="shared" si="4"/>
        <v>707</v>
      </c>
      <c r="L9" s="94">
        <f t="shared" si="0"/>
        <v>35.006659999999684</v>
      </c>
      <c r="M9" s="90"/>
      <c r="N9" s="90">
        <v>135.35089000000002</v>
      </c>
      <c r="O9" s="90">
        <v>-113.20174000000003</v>
      </c>
      <c r="P9" s="90">
        <v>132.43575000000001</v>
      </c>
      <c r="Q9" s="90">
        <v>125.00000999999999</v>
      </c>
      <c r="R9" s="90"/>
      <c r="S9" s="90">
        <v>125.00000999999999</v>
      </c>
      <c r="T9" s="90">
        <v>125.00000999999999</v>
      </c>
      <c r="U9" s="90">
        <v>188.96627999999998</v>
      </c>
      <c r="V9" s="90">
        <v>157.67901000000001</v>
      </c>
      <c r="W9" s="90"/>
      <c r="X9" s="90">
        <v>125.00000999999999</v>
      </c>
      <c r="Y9" s="90">
        <v>546.64695999999992</v>
      </c>
      <c r="Z9" s="90">
        <v>338.90000999999995</v>
      </c>
      <c r="AA9" s="90">
        <v>-157.73338999999999</v>
      </c>
      <c r="AB9" s="90"/>
      <c r="AC9" s="90">
        <v>118.93449000000022</v>
      </c>
      <c r="AD9" s="90">
        <v>293.57433000000003</v>
      </c>
      <c r="AE9" s="90">
        <v>8</v>
      </c>
      <c r="AF9" s="90">
        <v>0</v>
      </c>
      <c r="AG9" s="90"/>
      <c r="AH9" s="90">
        <v>0</v>
      </c>
      <c r="AI9" s="90">
        <v>27</v>
      </c>
      <c r="AJ9" s="90">
        <v>90</v>
      </c>
      <c r="AK9" s="90">
        <v>0</v>
      </c>
      <c r="AM9" s="90">
        <v>100</v>
      </c>
      <c r="AN9" s="120">
        <f>59+54+46</f>
        <v>159</v>
      </c>
      <c r="AO9" s="120"/>
      <c r="AP9" s="90"/>
      <c r="AR9" s="90"/>
      <c r="AS9" s="90"/>
      <c r="AT9" s="90"/>
      <c r="AU9" s="94">
        <v>707</v>
      </c>
      <c r="AW9" s="94">
        <f>'[11]Income Statement'!$C$45</f>
        <v>15.006659999999684</v>
      </c>
      <c r="AX9" s="94">
        <v>20</v>
      </c>
      <c r="AY9" s="94"/>
      <c r="AZ9" s="94"/>
    </row>
    <row r="10" spans="1:52" x14ac:dyDescent="0.3">
      <c r="B10" s="85" t="s">
        <v>62</v>
      </c>
      <c r="C10" s="85"/>
      <c r="D10" s="85"/>
      <c r="E10" s="89">
        <f>+SUM(E6:E9)</f>
        <v>161929.18590373997</v>
      </c>
      <c r="F10" s="89">
        <f>+SUM(F6:F9)</f>
        <v>266737.37265051005</v>
      </c>
      <c r="G10" s="95">
        <f t="shared" si="1"/>
        <v>289341.57178829313</v>
      </c>
      <c r="H10" s="95">
        <f t="shared" si="2"/>
        <v>329676.2689761488</v>
      </c>
      <c r="I10" s="95">
        <f t="shared" si="5"/>
        <v>231314.60963667507</v>
      </c>
      <c r="J10" s="95">
        <f t="shared" si="3"/>
        <v>226973.31900002575</v>
      </c>
      <c r="K10" s="95">
        <f t="shared" si="4"/>
        <v>261790.99253356742</v>
      </c>
      <c r="L10" s="95">
        <f t="shared" si="0"/>
        <v>118859.87327222587</v>
      </c>
      <c r="M10" s="89"/>
      <c r="N10" s="89">
        <f>+SUM(N6:N9)</f>
        <v>25766.147293740003</v>
      </c>
      <c r="O10" s="89">
        <f t="shared" ref="O10:Q10" si="6">+SUM(O6:O9)</f>
        <v>25419.910599999996</v>
      </c>
      <c r="P10" s="89">
        <f t="shared" si="6"/>
        <v>26946.322420000008</v>
      </c>
      <c r="Q10" s="89">
        <f t="shared" si="6"/>
        <v>83796.805590000004</v>
      </c>
      <c r="R10" s="89"/>
      <c r="S10" s="89">
        <f>+SUM(S6:S9)</f>
        <v>47802.124866670893</v>
      </c>
      <c r="T10" s="89">
        <f t="shared" ref="T10:X10" si="7">+SUM(T6:T9)</f>
        <v>57078.034173329099</v>
      </c>
      <c r="U10" s="89">
        <f t="shared" si="7"/>
        <v>75720.193970953915</v>
      </c>
      <c r="V10" s="89">
        <f t="shared" si="7"/>
        <v>86137.019639556122</v>
      </c>
      <c r="W10" s="89"/>
      <c r="X10" s="89">
        <f t="shared" si="7"/>
        <v>67014.914873186586</v>
      </c>
      <c r="Y10" s="89">
        <f>+SUM(Y6:Y9)</f>
        <v>74299.83155495394</v>
      </c>
      <c r="Z10" s="89">
        <f>+SUM(Z6:Z9)</f>
        <v>76875.420494070204</v>
      </c>
      <c r="AA10" s="89">
        <f>+SUM(AA6:AA9)</f>
        <v>71151.404866082419</v>
      </c>
      <c r="AB10" s="89"/>
      <c r="AC10" s="89">
        <f t="shared" ref="AC10:AF10" si="8">+SUM(AC6:AC9)</f>
        <v>79473.875296932485</v>
      </c>
      <c r="AD10" s="89">
        <f t="shared" si="8"/>
        <v>79037.335006916328</v>
      </c>
      <c r="AE10" s="89">
        <f t="shared" si="8"/>
        <v>88163.566235999999</v>
      </c>
      <c r="AF10" s="89">
        <f t="shared" si="8"/>
        <v>83001.492436300003</v>
      </c>
      <c r="AG10" s="89"/>
      <c r="AH10" s="89">
        <f t="shared" ref="AH10:AK10" si="9">+SUM(AH6:AH9)</f>
        <v>76788.699036675069</v>
      </c>
      <c r="AI10" s="89">
        <f t="shared" si="9"/>
        <v>61009.910600000003</v>
      </c>
      <c r="AJ10" s="89">
        <f t="shared" si="9"/>
        <v>48698</v>
      </c>
      <c r="AK10" s="89">
        <f t="shared" si="9"/>
        <v>44818</v>
      </c>
      <c r="AM10" s="89">
        <f t="shared" ref="AM10:AZ10" si="10">+SUM(AM6:AM9)</f>
        <v>47559.311120190992</v>
      </c>
      <c r="AN10" s="89">
        <f t="shared" si="10"/>
        <v>55063.415628577335</v>
      </c>
      <c r="AO10" s="89">
        <f t="shared" si="10"/>
        <v>61573.675529027052</v>
      </c>
      <c r="AP10" s="89">
        <f t="shared" si="10"/>
        <v>62776.916722230373</v>
      </c>
      <c r="AR10" s="89">
        <f t="shared" si="10"/>
        <v>44978.971558267629</v>
      </c>
      <c r="AS10" s="89">
        <f t="shared" si="10"/>
        <v>59825.833547372364</v>
      </c>
      <c r="AT10" s="89">
        <f t="shared" si="10"/>
        <v>57974.268693961116</v>
      </c>
      <c r="AU10" s="89">
        <f t="shared" si="10"/>
        <v>99011.918733966304</v>
      </c>
      <c r="AW10" s="89">
        <f t="shared" si="10"/>
        <v>51230.99629026746</v>
      </c>
      <c r="AX10" s="89">
        <f t="shared" si="10"/>
        <v>67628.876981958412</v>
      </c>
      <c r="AY10" s="89">
        <f t="shared" si="10"/>
        <v>0</v>
      </c>
      <c r="AZ10" s="89">
        <f t="shared" si="10"/>
        <v>0</v>
      </c>
    </row>
    <row r="11" spans="1:52" x14ac:dyDescent="0.3">
      <c r="B11" s="85" t="s">
        <v>63</v>
      </c>
      <c r="C11" s="85"/>
      <c r="D11" s="85"/>
      <c r="E11" s="90">
        <v>-94194.354327665424</v>
      </c>
      <c r="F11" s="90">
        <v>-97456.494107042701</v>
      </c>
      <c r="G11" s="94">
        <f t="shared" si="1"/>
        <v>-96456.013019939332</v>
      </c>
      <c r="H11" s="94">
        <f t="shared" si="2"/>
        <v>-105757.94745648731</v>
      </c>
      <c r="I11" s="94">
        <f t="shared" si="5"/>
        <v>-103879.17973629109</v>
      </c>
      <c r="J11" s="94">
        <f t="shared" si="3"/>
        <v>-107095.87864048798</v>
      </c>
      <c r="K11" s="94">
        <f t="shared" si="4"/>
        <v>-124689.91119268007</v>
      </c>
      <c r="L11" s="94">
        <f t="shared" si="0"/>
        <v>-58652.459869999999</v>
      </c>
      <c r="M11" s="90"/>
      <c r="N11" s="90">
        <v>-25417.454738413104</v>
      </c>
      <c r="O11" s="90">
        <v>-21543.6366284131</v>
      </c>
      <c r="P11" s="90">
        <v>-24424.929438413099</v>
      </c>
      <c r="Q11" s="90">
        <v>-22808.333522426106</v>
      </c>
      <c r="R11" s="90"/>
      <c r="S11" s="90">
        <v>-22874.622718419505</v>
      </c>
      <c r="T11" s="90">
        <v>-25325.445778413101</v>
      </c>
      <c r="U11" s="90">
        <v>-26420.998760102404</v>
      </c>
      <c r="V11" s="90">
        <v>-22835.426850107702</v>
      </c>
      <c r="W11" s="90"/>
      <c r="X11" s="90">
        <v>-23719.7455640587</v>
      </c>
      <c r="Y11" s="90">
        <v>-23201.755614953181</v>
      </c>
      <c r="Z11" s="90">
        <v>-24769</v>
      </c>
      <c r="AA11" s="90">
        <v>-24765.511840927447</v>
      </c>
      <c r="AB11" s="90"/>
      <c r="AC11" s="90">
        <v>-26387.551134558798</v>
      </c>
      <c r="AD11" s="90">
        <v>-26497.776314378701</v>
      </c>
      <c r="AE11" s="90">
        <v>-27198</v>
      </c>
      <c r="AF11" s="90">
        <v>-25674.620007549798</v>
      </c>
      <c r="AG11" s="90"/>
      <c r="AH11" s="90">
        <v>-25451.17973629108</v>
      </c>
      <c r="AI11" s="90">
        <v>-26451</v>
      </c>
      <c r="AJ11" s="90">
        <v>-26337</v>
      </c>
      <c r="AK11" s="90">
        <v>-25640</v>
      </c>
      <c r="AM11" s="90">
        <v>-25466</v>
      </c>
      <c r="AN11" s="120">
        <f>[4]Ebitda!$AF$34/1000</f>
        <v>-26973.64680936799</v>
      </c>
      <c r="AO11" s="120">
        <f>[4]Ebitda!$AK$34/1000</f>
        <v>-27140.408952251997</v>
      </c>
      <c r="AP11" s="90">
        <f>[5]Ebitda!$AP$34/1000</f>
        <v>-27515.822878867999</v>
      </c>
      <c r="AR11" s="90">
        <f>[6]Ebitda!$AX$34/1000</f>
        <v>-27140.408952251997</v>
      </c>
      <c r="AS11" s="90">
        <f>[7]Ebitda!$BC$34/1000</f>
        <v>-32595.167795511021</v>
      </c>
      <c r="AT11" s="90">
        <f>[8]Ebitda!$BH$34/1000</f>
        <v>-33133.50922032621</v>
      </c>
      <c r="AU11" s="90">
        <f>[9]Ebitda!$BM$34/1000</f>
        <v>-31820.825224590844</v>
      </c>
      <c r="AW11" s="94">
        <f>[10]Ebitda!$BR$34/1000</f>
        <v>-28336.459869999999</v>
      </c>
      <c r="AX11" s="94">
        <f>-[18]Ebitda!$BW$34</f>
        <v>-30316</v>
      </c>
      <c r="AY11" s="94"/>
      <c r="AZ11" s="94"/>
    </row>
    <row r="12" spans="1:52" x14ac:dyDescent="0.3">
      <c r="B12" s="85" t="s">
        <v>64</v>
      </c>
      <c r="C12" s="85"/>
      <c r="D12" s="85"/>
      <c r="E12" s="89">
        <f>+E10+E11</f>
        <v>67734.831576074546</v>
      </c>
      <c r="F12" s="89">
        <f>+F10+F11</f>
        <v>169280.87854346735</v>
      </c>
      <c r="G12" s="95">
        <f t="shared" si="1"/>
        <v>192885.5587683538</v>
      </c>
      <c r="H12" s="95">
        <f t="shared" si="2"/>
        <v>223918.32151966152</v>
      </c>
      <c r="I12" s="95">
        <f t="shared" si="5"/>
        <v>127435.42990038398</v>
      </c>
      <c r="J12" s="95">
        <f t="shared" si="3"/>
        <v>119877.44035953778</v>
      </c>
      <c r="K12" s="95">
        <f t="shared" si="4"/>
        <v>137101.08134088735</v>
      </c>
      <c r="L12" s="95">
        <f t="shared" si="0"/>
        <v>60207.413402225873</v>
      </c>
      <c r="M12" s="89"/>
      <c r="N12" s="89">
        <f>+N10+N11</f>
        <v>348.69255532689931</v>
      </c>
      <c r="O12" s="89">
        <f t="shared" ref="O12:X12" si="11">+O10+O11</f>
        <v>3876.2739715868956</v>
      </c>
      <c r="P12" s="89">
        <f t="shared" si="11"/>
        <v>2521.3929815869087</v>
      </c>
      <c r="Q12" s="89">
        <f t="shared" si="11"/>
        <v>60988.472067573894</v>
      </c>
      <c r="R12" s="89"/>
      <c r="S12" s="89">
        <f t="shared" si="11"/>
        <v>24927.502148251388</v>
      </c>
      <c r="T12" s="89">
        <f t="shared" si="11"/>
        <v>31752.588394915998</v>
      </c>
      <c r="U12" s="89">
        <f t="shared" si="11"/>
        <v>49299.195210851511</v>
      </c>
      <c r="V12" s="89">
        <f t="shared" si="11"/>
        <v>63301.592789448419</v>
      </c>
      <c r="W12" s="89"/>
      <c r="X12" s="89">
        <f t="shared" si="11"/>
        <v>43295.169309127887</v>
      </c>
      <c r="Y12" s="89">
        <f>+Y10+Y11</f>
        <v>51098.075940000759</v>
      </c>
      <c r="Z12" s="89">
        <f>+Z10+Z11</f>
        <v>52106.420494070204</v>
      </c>
      <c r="AA12" s="89">
        <f>+AA10+AA11</f>
        <v>46385.893025154975</v>
      </c>
      <c r="AB12" s="89"/>
      <c r="AC12" s="89">
        <f t="shared" ref="AC12:AF12" si="12">+AC10+AC11</f>
        <v>53086.324162373683</v>
      </c>
      <c r="AD12" s="89">
        <f t="shared" si="12"/>
        <v>52539.558692537626</v>
      </c>
      <c r="AE12" s="89">
        <f t="shared" si="12"/>
        <v>60965.566235999999</v>
      </c>
      <c r="AF12" s="89">
        <f t="shared" si="12"/>
        <v>57326.872428750205</v>
      </c>
      <c r="AG12" s="89"/>
      <c r="AH12" s="89">
        <f t="shared" ref="AH12:AK12" si="13">+AH10+AH11</f>
        <v>51337.519300383989</v>
      </c>
      <c r="AI12" s="89">
        <f t="shared" si="13"/>
        <v>34558.910600000003</v>
      </c>
      <c r="AJ12" s="89">
        <f t="shared" si="13"/>
        <v>22361</v>
      </c>
      <c r="AK12" s="89">
        <f t="shared" si="13"/>
        <v>19178</v>
      </c>
      <c r="AM12" s="89">
        <f t="shared" ref="AM12:AZ12" si="14">+AM10+AM11</f>
        <v>22093.311120190992</v>
      </c>
      <c r="AN12" s="89">
        <f t="shared" si="14"/>
        <v>28089.768819209345</v>
      </c>
      <c r="AO12" s="89">
        <f t="shared" si="14"/>
        <v>34433.266576775059</v>
      </c>
      <c r="AP12" s="89">
        <f t="shared" si="14"/>
        <v>35261.093843362374</v>
      </c>
      <c r="AR12" s="89">
        <f t="shared" si="14"/>
        <v>17838.562606015632</v>
      </c>
      <c r="AS12" s="89">
        <f t="shared" si="14"/>
        <v>27230.665751861343</v>
      </c>
      <c r="AT12" s="89">
        <f t="shared" si="14"/>
        <v>24840.759473634906</v>
      </c>
      <c r="AU12" s="89">
        <f t="shared" si="14"/>
        <v>67191.093509375467</v>
      </c>
      <c r="AW12" s="89">
        <f t="shared" si="14"/>
        <v>22894.536420267461</v>
      </c>
      <c r="AX12" s="89">
        <f t="shared" si="14"/>
        <v>37312.876981958412</v>
      </c>
      <c r="AY12" s="89">
        <f t="shared" si="14"/>
        <v>0</v>
      </c>
      <c r="AZ12" s="89">
        <f t="shared" si="14"/>
        <v>0</v>
      </c>
    </row>
    <row r="13" spans="1:52" x14ac:dyDescent="0.3">
      <c r="B13" s="85" t="s">
        <v>65</v>
      </c>
      <c r="C13" s="85"/>
      <c r="D13" s="85"/>
      <c r="E13" s="90">
        <v>73583.359997199979</v>
      </c>
      <c r="F13" s="90">
        <v>0</v>
      </c>
      <c r="G13" s="94">
        <f t="shared" si="1"/>
        <v>0</v>
      </c>
      <c r="H13" s="94">
        <f t="shared" si="2"/>
        <v>0</v>
      </c>
      <c r="I13" s="94">
        <f t="shared" si="5"/>
        <v>0</v>
      </c>
      <c r="J13" s="94">
        <f t="shared" si="3"/>
        <v>0</v>
      </c>
      <c r="K13" s="94">
        <f t="shared" si="4"/>
        <v>0</v>
      </c>
      <c r="L13" s="94"/>
      <c r="M13" s="90"/>
      <c r="N13" s="90">
        <v>18062.127469999999</v>
      </c>
      <c r="O13" s="90">
        <v>20639.138289999999</v>
      </c>
      <c r="P13" s="90">
        <v>17695.488659999995</v>
      </c>
      <c r="Q13" s="90">
        <v>17186.605577200004</v>
      </c>
      <c r="R13" s="90"/>
      <c r="S13" s="90">
        <v>0</v>
      </c>
      <c r="T13" s="90">
        <v>0</v>
      </c>
      <c r="U13" s="90">
        <v>0</v>
      </c>
      <c r="V13" s="90">
        <v>0</v>
      </c>
      <c r="W13" s="90"/>
      <c r="X13" s="90">
        <v>0</v>
      </c>
      <c r="Y13" s="90">
        <v>0</v>
      </c>
      <c r="Z13" s="90">
        <v>0</v>
      </c>
      <c r="AA13" s="90"/>
      <c r="AB13" s="90"/>
      <c r="AC13" s="90">
        <v>0</v>
      </c>
      <c r="AD13" s="90"/>
      <c r="AE13" s="90"/>
      <c r="AF13" s="90"/>
      <c r="AG13" s="90"/>
      <c r="AH13" s="90">
        <v>0</v>
      </c>
      <c r="AI13" s="90">
        <v>0</v>
      </c>
      <c r="AJ13" s="90">
        <v>0</v>
      </c>
      <c r="AK13" s="90">
        <v>0</v>
      </c>
      <c r="AM13" s="90">
        <v>0</v>
      </c>
      <c r="AN13" s="90"/>
      <c r="AO13" s="90"/>
      <c r="AP13" s="90"/>
      <c r="AR13" s="90"/>
      <c r="AS13" s="90"/>
      <c r="AT13" s="90"/>
      <c r="AU13" s="90"/>
      <c r="AW13" s="94"/>
      <c r="AX13" s="94"/>
      <c r="AY13" s="94"/>
      <c r="AZ13" s="94"/>
    </row>
    <row r="14" spans="1:52" x14ac:dyDescent="0.3">
      <c r="B14" s="88" t="s">
        <v>50</v>
      </c>
      <c r="C14" s="85"/>
      <c r="D14" s="85"/>
      <c r="E14" s="89">
        <f>+E12+E13</f>
        <v>141318.19157327453</v>
      </c>
      <c r="F14" s="89">
        <f>+F12+F13</f>
        <v>169280.87854346735</v>
      </c>
      <c r="G14" s="95">
        <f t="shared" si="1"/>
        <v>192885.5587683538</v>
      </c>
      <c r="H14" s="95">
        <f t="shared" si="2"/>
        <v>223918.32151966152</v>
      </c>
      <c r="I14" s="95">
        <f t="shared" si="5"/>
        <v>127435.42990038398</v>
      </c>
      <c r="J14" s="95">
        <f t="shared" si="3"/>
        <v>119877.44035953778</v>
      </c>
      <c r="K14" s="95">
        <f t="shared" si="4"/>
        <v>137101.08134088735</v>
      </c>
      <c r="L14" s="95">
        <f>SUM(AW14:AZ14)</f>
        <v>60207.413402225873</v>
      </c>
      <c r="M14" s="89"/>
      <c r="N14" s="89">
        <f>+N12+N13</f>
        <v>18410.820025326899</v>
      </c>
      <c r="O14" s="89">
        <f t="shared" ref="O14:AF14" si="15">+O12+O13</f>
        <v>24515.412261586895</v>
      </c>
      <c r="P14" s="89">
        <f t="shared" si="15"/>
        <v>20216.881641586904</v>
      </c>
      <c r="Q14" s="89">
        <f t="shared" si="15"/>
        <v>78175.077644773904</v>
      </c>
      <c r="R14" s="89"/>
      <c r="S14" s="89">
        <f t="shared" si="15"/>
        <v>24927.502148251388</v>
      </c>
      <c r="T14" s="89">
        <f t="shared" si="15"/>
        <v>31752.588394915998</v>
      </c>
      <c r="U14" s="89">
        <f t="shared" si="15"/>
        <v>49299.195210851511</v>
      </c>
      <c r="V14" s="89">
        <f t="shared" si="15"/>
        <v>63301.592789448419</v>
      </c>
      <c r="W14" s="89"/>
      <c r="X14" s="89">
        <f t="shared" si="15"/>
        <v>43295.169309127887</v>
      </c>
      <c r="Y14" s="89">
        <f t="shared" si="15"/>
        <v>51098.075940000759</v>
      </c>
      <c r="Z14" s="89">
        <f t="shared" si="15"/>
        <v>52106.420494070204</v>
      </c>
      <c r="AA14" s="89">
        <f t="shared" si="15"/>
        <v>46385.893025154975</v>
      </c>
      <c r="AB14" s="89"/>
      <c r="AC14" s="89">
        <f t="shared" si="15"/>
        <v>53086.324162373683</v>
      </c>
      <c r="AD14" s="89">
        <f t="shared" si="15"/>
        <v>52539.558692537626</v>
      </c>
      <c r="AE14" s="89">
        <f t="shared" si="15"/>
        <v>60965.566235999999</v>
      </c>
      <c r="AF14" s="89">
        <f t="shared" si="15"/>
        <v>57326.872428750205</v>
      </c>
      <c r="AG14" s="89"/>
      <c r="AH14" s="89">
        <f t="shared" ref="AH14:AK14" si="16">+AH12+AH13</f>
        <v>51337.519300383989</v>
      </c>
      <c r="AI14" s="89">
        <f t="shared" si="16"/>
        <v>34558.910600000003</v>
      </c>
      <c r="AJ14" s="89">
        <f t="shared" si="16"/>
        <v>22361</v>
      </c>
      <c r="AK14" s="89">
        <f t="shared" si="16"/>
        <v>19178</v>
      </c>
      <c r="AM14" s="89">
        <f t="shared" ref="AM14:AZ14" si="17">+AM12+AM13</f>
        <v>22093.311120190992</v>
      </c>
      <c r="AN14" s="89">
        <f t="shared" si="17"/>
        <v>28089.768819209345</v>
      </c>
      <c r="AO14" s="89">
        <f t="shared" si="17"/>
        <v>34433.266576775059</v>
      </c>
      <c r="AP14" s="89">
        <f t="shared" si="17"/>
        <v>35261.093843362374</v>
      </c>
      <c r="AR14" s="89">
        <f t="shared" si="17"/>
        <v>17838.562606015632</v>
      </c>
      <c r="AS14" s="89">
        <f t="shared" si="17"/>
        <v>27230.665751861343</v>
      </c>
      <c r="AT14" s="89">
        <f t="shared" si="17"/>
        <v>24840.759473634906</v>
      </c>
      <c r="AU14" s="89">
        <f t="shared" si="17"/>
        <v>67191.093509375467</v>
      </c>
      <c r="AW14" s="89">
        <f t="shared" si="17"/>
        <v>22894.536420267461</v>
      </c>
      <c r="AX14" s="89">
        <f t="shared" si="17"/>
        <v>37312.876981958412</v>
      </c>
      <c r="AY14" s="89">
        <f t="shared" si="17"/>
        <v>0</v>
      </c>
      <c r="AZ14" s="89">
        <f t="shared" si="17"/>
        <v>0</v>
      </c>
    </row>
    <row r="15" spans="1:52" x14ac:dyDescent="0.3">
      <c r="B15" s="85" t="s">
        <v>66</v>
      </c>
      <c r="C15" s="85"/>
      <c r="D15" s="85"/>
      <c r="E15" s="87">
        <v>-176251.576485</v>
      </c>
      <c r="F15" s="87">
        <v>-85159.993660000007</v>
      </c>
      <c r="G15" s="93">
        <f>SUM(X15:AA15)</f>
        <v>-82005.30484877</v>
      </c>
      <c r="H15" s="93">
        <f t="shared" si="2"/>
        <v>-65072.470710176298</v>
      </c>
      <c r="I15" s="93">
        <f t="shared" si="5"/>
        <v>-4641</v>
      </c>
      <c r="J15" s="93">
        <f t="shared" si="3"/>
        <v>-1591</v>
      </c>
      <c r="K15" s="93">
        <f t="shared" si="4"/>
        <v>0</v>
      </c>
      <c r="L15" s="93"/>
      <c r="M15" s="87"/>
      <c r="N15" s="87">
        <v>-16304.71884</v>
      </c>
      <c r="O15" s="87">
        <v>-16599.24827</v>
      </c>
      <c r="P15" s="87">
        <v>-16262.8153</v>
      </c>
      <c r="Q15" s="87">
        <v>-127084.79407499998</v>
      </c>
      <c r="R15" s="87"/>
      <c r="S15" s="87">
        <v>-6287.0519999999997</v>
      </c>
      <c r="T15" s="87">
        <v>-2661.3724099999999</v>
      </c>
      <c r="U15" s="87">
        <v>-29396.439689999999</v>
      </c>
      <c r="V15" s="87">
        <v>-46815.129560000001</v>
      </c>
      <c r="W15" s="87"/>
      <c r="X15" s="87">
        <v>-23579.30484877</v>
      </c>
      <c r="Y15" s="87">
        <v>-12921</v>
      </c>
      <c r="Z15" s="87">
        <v>-30959</v>
      </c>
      <c r="AA15" s="87">
        <v>-14546</v>
      </c>
      <c r="AB15" s="87"/>
      <c r="AC15" s="87">
        <v>-23207</v>
      </c>
      <c r="AD15" s="87">
        <v>-17800.791450176297</v>
      </c>
      <c r="AE15" s="87">
        <v>-14085</v>
      </c>
      <c r="AF15" s="87">
        <v>-9979.679259999999</v>
      </c>
      <c r="AG15" s="87"/>
      <c r="AH15" s="87">
        <v>-16302</v>
      </c>
      <c r="AI15" s="87">
        <v>3639</v>
      </c>
      <c r="AJ15" s="87">
        <v>5326</v>
      </c>
      <c r="AK15" s="87">
        <v>2696</v>
      </c>
      <c r="AM15" s="87">
        <v>-1591</v>
      </c>
      <c r="AN15" s="116"/>
      <c r="AO15" s="116"/>
      <c r="AP15" s="87"/>
      <c r="AR15" s="87"/>
      <c r="AS15" s="87"/>
      <c r="AT15" s="87"/>
      <c r="AU15" s="87"/>
      <c r="AW15" s="93">
        <v>0</v>
      </c>
      <c r="AX15" s="93"/>
      <c r="AY15" s="93"/>
      <c r="AZ15" s="93"/>
    </row>
    <row r="16" spans="1:52" x14ac:dyDescent="0.3">
      <c r="B16" s="85" t="s">
        <v>67</v>
      </c>
      <c r="C16" s="85"/>
      <c r="D16" s="85"/>
      <c r="E16" s="87">
        <v>-6325.0821977999994</v>
      </c>
      <c r="F16" s="87">
        <v>-5528.3975511000008</v>
      </c>
      <c r="G16" s="93">
        <f t="shared" si="1"/>
        <v>-3682.1715191000003</v>
      </c>
      <c r="H16" s="93">
        <f t="shared" si="2"/>
        <v>-2942.6539167000001</v>
      </c>
      <c r="I16" s="93">
        <f t="shared" si="5"/>
        <v>-4011.7668619000001</v>
      </c>
      <c r="J16" s="93">
        <f t="shared" si="3"/>
        <v>-4960</v>
      </c>
      <c r="K16" s="93">
        <f t="shared" si="4"/>
        <v>-6600</v>
      </c>
      <c r="L16" s="93">
        <f>SUM(AW16:AZ16)</f>
        <v>-3800.5684499999998</v>
      </c>
      <c r="M16" s="87"/>
      <c r="N16" s="87">
        <v>-1490.2239343000001</v>
      </c>
      <c r="O16" s="87">
        <v>-1543.2878247000003</v>
      </c>
      <c r="P16" s="87">
        <v>-1504.1785799999998</v>
      </c>
      <c r="Q16" s="87">
        <v>-1787.3918588000001</v>
      </c>
      <c r="R16" s="87"/>
      <c r="S16" s="87">
        <v>-1496.926199</v>
      </c>
      <c r="T16" s="87">
        <v>-1469.7334954</v>
      </c>
      <c r="U16" s="87">
        <v>-1369.3874800000003</v>
      </c>
      <c r="V16" s="87">
        <v>-1192.3503767000004</v>
      </c>
      <c r="W16" s="87"/>
      <c r="X16" s="87">
        <v>-1046.9057912000001</v>
      </c>
      <c r="Y16" s="87">
        <v>-870.1118093</v>
      </c>
      <c r="Z16" s="87">
        <v>-975.87856550000004</v>
      </c>
      <c r="AA16" s="87">
        <v>-789.27535310000007</v>
      </c>
      <c r="AB16" s="87"/>
      <c r="AC16" s="87">
        <v>-686.39276839999991</v>
      </c>
      <c r="AD16" s="87">
        <v>-694.9353104999999</v>
      </c>
      <c r="AE16" s="87">
        <v>-744</v>
      </c>
      <c r="AF16" s="87">
        <v>-817.32583780000004</v>
      </c>
      <c r="AG16" s="87"/>
      <c r="AH16" s="87">
        <v>-898.76686189999998</v>
      </c>
      <c r="AI16" s="87">
        <v>-971</v>
      </c>
      <c r="AJ16" s="87">
        <v>-1031</v>
      </c>
      <c r="AK16" s="87">
        <v>-1111</v>
      </c>
      <c r="AM16" s="87">
        <v>-1184</v>
      </c>
      <c r="AN16" s="116">
        <v>-1376</v>
      </c>
      <c r="AO16" s="116">
        <v>-1200</v>
      </c>
      <c r="AP16" s="116">
        <v>-1200</v>
      </c>
      <c r="AR16" s="116">
        <v>-1200</v>
      </c>
      <c r="AS16" s="116">
        <f>AR16</f>
        <v>-1200</v>
      </c>
      <c r="AT16" s="116">
        <v>-2100</v>
      </c>
      <c r="AU16" s="93">
        <v>-2100</v>
      </c>
      <c r="AW16" s="93">
        <f>'[11]Income Statement'!$C$65+'[11]Income Statement'!$C$66+'[11]Income Statement'!$C$68</f>
        <v>-1870.56845</v>
      </c>
      <c r="AX16" s="93">
        <v>-1930</v>
      </c>
      <c r="AY16" s="93"/>
      <c r="AZ16" s="93"/>
    </row>
    <row r="17" spans="2:52" x14ac:dyDescent="0.3">
      <c r="B17" s="85" t="s">
        <v>68</v>
      </c>
      <c r="C17" s="85"/>
      <c r="D17" s="85"/>
      <c r="E17" s="87">
        <v>-25062.2871672</v>
      </c>
      <c r="F17" s="87">
        <v>-25025.900323859998</v>
      </c>
      <c r="G17" s="93">
        <f t="shared" si="1"/>
        <v>-22940.032888579997</v>
      </c>
      <c r="H17" s="93">
        <f t="shared" si="2"/>
        <v>-27349.305298799998</v>
      </c>
      <c r="I17" s="93">
        <f t="shared" si="5"/>
        <v>-35624.24768</v>
      </c>
      <c r="J17" s="93">
        <f t="shared" si="3"/>
        <v>-48909.572107895641</v>
      </c>
      <c r="K17" s="93">
        <f t="shared" si="4"/>
        <v>-56957.765258704974</v>
      </c>
      <c r="L17" s="93">
        <f>SUM(AW17:AZ17)</f>
        <v>-19084.617534166973</v>
      </c>
      <c r="M17" s="87"/>
      <c r="N17" s="87">
        <v>-5909.7875585200018</v>
      </c>
      <c r="O17" s="87">
        <v>-6339.4554939599993</v>
      </c>
      <c r="P17" s="87">
        <v>-6528.8480202400024</v>
      </c>
      <c r="Q17" s="87">
        <v>-6284.1960944800012</v>
      </c>
      <c r="R17" s="87"/>
      <c r="S17" s="87">
        <v>-5962.4835731199983</v>
      </c>
      <c r="T17" s="87">
        <v>-6102.3169134</v>
      </c>
      <c r="U17" s="87">
        <v>-6334.4673894800035</v>
      </c>
      <c r="V17" s="87">
        <v>-6626.6324478599981</v>
      </c>
      <c r="W17" s="87"/>
      <c r="X17" s="87">
        <v>-6090.8651399600003</v>
      </c>
      <c r="Y17" s="87">
        <v>-5417.3065789199991</v>
      </c>
      <c r="Z17" s="87">
        <v>-5574.7957999999999</v>
      </c>
      <c r="AA17" s="87">
        <v>-5857.0653696999998</v>
      </c>
      <c r="AB17" s="87"/>
      <c r="AC17" s="87">
        <v>-6094.5409688</v>
      </c>
      <c r="AD17" s="87">
        <v>-6616.4875899999997</v>
      </c>
      <c r="AE17" s="87">
        <v>-7030</v>
      </c>
      <c r="AF17" s="87">
        <v>-7608.2767399999993</v>
      </c>
      <c r="AG17" s="87"/>
      <c r="AH17" s="87">
        <v>-7615.2476799999995</v>
      </c>
      <c r="AI17" s="87">
        <v>-8105</v>
      </c>
      <c r="AJ17" s="87">
        <v>-9122</v>
      </c>
      <c r="AK17" s="87">
        <v>-10782</v>
      </c>
      <c r="AM17" s="87">
        <v>-10354</v>
      </c>
      <c r="AN17" s="116">
        <f>[4]Ebitda!$AF$21/1000</f>
        <v>-12116.301326714822</v>
      </c>
      <c r="AO17" s="116">
        <f>[4]Ebitda!$AK$21/1000</f>
        <v>-12860.96683617087</v>
      </c>
      <c r="AP17" s="87">
        <f>[5]Ebitda!$AP$21/1000</f>
        <v>-13578.303945009951</v>
      </c>
      <c r="AR17" s="87">
        <f>[6]Ebitda!$AX$21/1000</f>
        <v>-13846.598813289631</v>
      </c>
      <c r="AS17" s="87">
        <f>[7]Ebitda!$BC$21/1000</f>
        <v>-15245.166445415343</v>
      </c>
      <c r="AT17" s="87">
        <v>-14485</v>
      </c>
      <c r="AU17" s="93">
        <v>-13381</v>
      </c>
      <c r="AW17" s="93">
        <f>[10]Ebitda!$BR$21/1000</f>
        <v>-14352.617534166973</v>
      </c>
      <c r="AX17" s="93">
        <v>-4732</v>
      </c>
      <c r="AY17" s="93"/>
      <c r="AZ17" s="93"/>
    </row>
    <row r="18" spans="2:52" x14ac:dyDescent="0.3">
      <c r="B18" s="85" t="s">
        <v>69</v>
      </c>
      <c r="C18" s="85"/>
      <c r="D18" s="85"/>
      <c r="E18" s="90">
        <v>31207.215293370009</v>
      </c>
      <c r="F18" s="90">
        <v>-56051.494549999996</v>
      </c>
      <c r="G18" s="94">
        <f t="shared" si="1"/>
        <v>-75163.091950000002</v>
      </c>
      <c r="H18" s="94">
        <f t="shared" si="2"/>
        <v>-88866.185174100014</v>
      </c>
      <c r="I18" s="94">
        <f t="shared" si="5"/>
        <v>-87242.449212300009</v>
      </c>
      <c r="J18" s="94">
        <f t="shared" si="3"/>
        <v>-83894.214687062587</v>
      </c>
      <c r="K18" s="94">
        <f t="shared" si="4"/>
        <v>-85459.042938398008</v>
      </c>
      <c r="L18" s="94">
        <f>SUM(AW18:AZ18)</f>
        <v>-44802.637539789925</v>
      </c>
      <c r="M18" s="90"/>
      <c r="N18" s="90">
        <v>-3954.1064735599998</v>
      </c>
      <c r="O18" s="90">
        <v>-3929.3123538900008</v>
      </c>
      <c r="P18" s="90">
        <v>-4222.6510276099962</v>
      </c>
      <c r="Q18" s="90">
        <v>43313.285148430004</v>
      </c>
      <c r="R18" s="90"/>
      <c r="S18" s="90">
        <v>-15014.085859999997</v>
      </c>
      <c r="T18" s="90">
        <v>-14201.55264</v>
      </c>
      <c r="U18" s="90">
        <v>-13742.22478</v>
      </c>
      <c r="V18" s="90">
        <v>-13093.631269999996</v>
      </c>
      <c r="W18" s="90"/>
      <c r="X18" s="90">
        <v>-20422.194</v>
      </c>
      <c r="Y18" s="90">
        <v>-19966.714810000001</v>
      </c>
      <c r="Z18" s="90">
        <v>-20828.735760000003</v>
      </c>
      <c r="AA18" s="90">
        <v>-13945.44738</v>
      </c>
      <c r="AB18" s="90"/>
      <c r="AC18" s="90">
        <v>-21768.4313</v>
      </c>
      <c r="AD18" s="90">
        <v>-22356.4930141</v>
      </c>
      <c r="AE18" s="90">
        <v>-22831</v>
      </c>
      <c r="AF18" s="90">
        <v>-21910.260860000006</v>
      </c>
      <c r="AG18" s="90"/>
      <c r="AH18" s="90">
        <v>-20429.449212300002</v>
      </c>
      <c r="AI18" s="90">
        <v>-21341</v>
      </c>
      <c r="AJ18" s="90">
        <v>-22551</v>
      </c>
      <c r="AK18" s="90">
        <v>-22921</v>
      </c>
      <c r="AM18" s="90">
        <v>-23048</v>
      </c>
      <c r="AN18" s="90">
        <f>SUM('[12]Cell accounts'!$I$10:$K$11)/1000</f>
        <v>-22311.870107099992</v>
      </c>
      <c r="AO18" s="120">
        <f>[4]Ebitda!$AK$23/1000</f>
        <v>-19309.999516999997</v>
      </c>
      <c r="AP18" s="90">
        <f>[5]Ebitda!$AP$23/1000</f>
        <v>-19224.345062962599</v>
      </c>
      <c r="AR18" s="90">
        <f>[6]Ebitda!$AX$23/1000</f>
        <v>-20596.771963976425</v>
      </c>
      <c r="AS18" s="90">
        <f>[7]Ebitda!$BC$23/1000</f>
        <v>-21602.024256853296</v>
      </c>
      <c r="AT18" s="90">
        <f>[8]Ebitda!$BH$23/1000</f>
        <v>-21602.024256853296</v>
      </c>
      <c r="AU18" s="90">
        <f>[9]Ebitda!$BM$23/1000</f>
        <v>-21658.222460714987</v>
      </c>
      <c r="AW18" s="94">
        <f>[10]Ebitda!$BR$23/1000</f>
        <v>-22597.637539789921</v>
      </c>
      <c r="AX18" s="94">
        <v>-22205</v>
      </c>
      <c r="AY18" s="94"/>
      <c r="AZ18" s="94"/>
    </row>
    <row r="19" spans="2:52" x14ac:dyDescent="0.3">
      <c r="B19" s="88" t="s">
        <v>70</v>
      </c>
      <c r="C19" s="85"/>
      <c r="D19" s="85"/>
      <c r="E19" s="89">
        <f>+SUM(E14:E18)</f>
        <v>-35113.538983355465</v>
      </c>
      <c r="F19" s="89">
        <f>+SUM(F14:F18)</f>
        <v>-2484.9075414926556</v>
      </c>
      <c r="G19" s="95">
        <f>SUM(X19:AA19)</f>
        <v>9094.9575619038296</v>
      </c>
      <c r="H19" s="95">
        <f t="shared" si="2"/>
        <v>39687.706419885202</v>
      </c>
      <c r="I19" s="95">
        <f t="shared" si="5"/>
        <v>-4084.033853816014</v>
      </c>
      <c r="J19" s="95">
        <f t="shared" si="3"/>
        <v>-19477.346435420459</v>
      </c>
      <c r="K19" s="95">
        <f t="shared" si="4"/>
        <v>-11915.726856215628</v>
      </c>
      <c r="L19" s="95">
        <f>SUM(AW19:AZ19)</f>
        <v>-7480.4101217310199</v>
      </c>
      <c r="M19" s="89"/>
      <c r="N19" s="89">
        <f>+SUM(N14:N18)</f>
        <v>-9248.016781053102</v>
      </c>
      <c r="O19" s="89">
        <f t="shared" ref="O19:X19" si="18">+SUM(O14:O18)</f>
        <v>-3895.8916809631064</v>
      </c>
      <c r="P19" s="89">
        <f t="shared" si="18"/>
        <v>-8301.6112862630944</v>
      </c>
      <c r="Q19" s="89">
        <f t="shared" si="18"/>
        <v>-13668.019235076077</v>
      </c>
      <c r="R19" s="89"/>
      <c r="S19" s="89">
        <f t="shared" si="18"/>
        <v>-3833.0454838686092</v>
      </c>
      <c r="T19" s="89">
        <f t="shared" si="18"/>
        <v>7317.6129361160001</v>
      </c>
      <c r="U19" s="89">
        <f t="shared" si="18"/>
        <v>-1543.3241286284938</v>
      </c>
      <c r="V19" s="89">
        <f t="shared" si="18"/>
        <v>-4426.1508651115764</v>
      </c>
      <c r="W19" s="89"/>
      <c r="X19" s="89">
        <f t="shared" si="18"/>
        <v>-7844.1004708021119</v>
      </c>
      <c r="Y19" s="89">
        <f>+SUM(Y14:Y18)</f>
        <v>11922.942741780764</v>
      </c>
      <c r="Z19" s="89">
        <f>+SUM(Z14:Z18)</f>
        <v>-6231.9896314297985</v>
      </c>
      <c r="AA19" s="89">
        <f>+SUM(AA14:AA18)</f>
        <v>11248.104922354976</v>
      </c>
      <c r="AB19" s="89"/>
      <c r="AC19" s="89">
        <f t="shared" ref="AC19:AF19" si="19">+SUM(AC14:AC18)</f>
        <v>1329.959125173682</v>
      </c>
      <c r="AD19" s="89">
        <f t="shared" si="19"/>
        <v>5070.8513277613274</v>
      </c>
      <c r="AE19" s="89">
        <f t="shared" si="19"/>
        <v>16275.566235999999</v>
      </c>
      <c r="AF19" s="89">
        <f t="shared" si="19"/>
        <v>17011.329730950198</v>
      </c>
      <c r="AG19" s="89"/>
      <c r="AH19" s="89">
        <f t="shared" ref="AH19:AK19" si="20">+SUM(AH14:AH18)</f>
        <v>6092.0555461839831</v>
      </c>
      <c r="AI19" s="89">
        <f t="shared" si="20"/>
        <v>7780.9106000000029</v>
      </c>
      <c r="AJ19" s="89">
        <f t="shared" si="20"/>
        <v>-5017</v>
      </c>
      <c r="AK19" s="89">
        <f t="shared" si="20"/>
        <v>-12940</v>
      </c>
      <c r="AM19" s="89">
        <f t="shared" ref="AM19:AZ19" si="21">+SUM(AM14:AM18)</f>
        <v>-14083.688879809008</v>
      </c>
      <c r="AN19" s="89">
        <f t="shared" si="21"/>
        <v>-7714.4026146054694</v>
      </c>
      <c r="AO19" s="89">
        <f t="shared" si="21"/>
        <v>1062.3002236041939</v>
      </c>
      <c r="AP19" s="89">
        <f t="shared" si="21"/>
        <v>1258.4448353898224</v>
      </c>
      <c r="AR19" s="89">
        <f t="shared" si="21"/>
        <v>-17804.808171250424</v>
      </c>
      <c r="AS19" s="89">
        <f t="shared" si="21"/>
        <v>-10816.524950407296</v>
      </c>
      <c r="AT19" s="89">
        <f t="shared" si="21"/>
        <v>-13346.26478321839</v>
      </c>
      <c r="AU19" s="89">
        <f t="shared" si="21"/>
        <v>30051.87104866048</v>
      </c>
      <c r="AW19" s="89">
        <f t="shared" si="21"/>
        <v>-15926.287103689432</v>
      </c>
      <c r="AX19" s="89">
        <f t="shared" si="21"/>
        <v>8445.8769819584122</v>
      </c>
      <c r="AY19" s="89">
        <f t="shared" si="21"/>
        <v>0</v>
      </c>
      <c r="AZ19" s="89">
        <f t="shared" si="21"/>
        <v>0</v>
      </c>
    </row>
    <row r="20" spans="2:52" x14ac:dyDescent="0.3">
      <c r="B20" s="85" t="s">
        <v>71</v>
      </c>
      <c r="C20" s="85"/>
      <c r="D20" s="85"/>
      <c r="E20" s="90">
        <v>0</v>
      </c>
      <c r="F20" s="90">
        <v>0</v>
      </c>
      <c r="G20" s="94">
        <f t="shared" si="1"/>
        <v>0</v>
      </c>
      <c r="H20" s="94">
        <f t="shared" si="2"/>
        <v>0</v>
      </c>
      <c r="I20" s="94">
        <f t="shared" si="5"/>
        <v>0</v>
      </c>
      <c r="J20" s="94">
        <f t="shared" si="3"/>
        <v>0</v>
      </c>
      <c r="K20" s="94">
        <f t="shared" si="4"/>
        <v>0</v>
      </c>
      <c r="L20" s="94"/>
      <c r="M20" s="90"/>
      <c r="N20" s="90">
        <v>0</v>
      </c>
      <c r="O20" s="90">
        <v>0</v>
      </c>
      <c r="P20" s="90">
        <v>0</v>
      </c>
      <c r="Q20" s="90">
        <v>0</v>
      </c>
      <c r="R20" s="90"/>
      <c r="S20" s="90">
        <v>0</v>
      </c>
      <c r="T20" s="90">
        <v>0</v>
      </c>
      <c r="U20" s="90">
        <v>0</v>
      </c>
      <c r="V20" s="90">
        <v>0</v>
      </c>
      <c r="W20" s="90"/>
      <c r="X20" s="90">
        <v>0</v>
      </c>
      <c r="Y20" s="90">
        <v>0</v>
      </c>
      <c r="Z20" s="90">
        <v>0</v>
      </c>
      <c r="AA20" s="90"/>
      <c r="AB20" s="90"/>
      <c r="AC20" s="90">
        <v>0</v>
      </c>
      <c r="AD20" s="90">
        <v>0</v>
      </c>
      <c r="AE20" s="90">
        <v>0</v>
      </c>
      <c r="AF20" s="90"/>
      <c r="AG20" s="90"/>
      <c r="AH20" s="90">
        <v>0</v>
      </c>
      <c r="AI20" s="90">
        <v>0</v>
      </c>
      <c r="AJ20" s="90">
        <v>0</v>
      </c>
      <c r="AK20" s="90"/>
      <c r="AM20" s="90">
        <v>0</v>
      </c>
      <c r="AN20" s="90"/>
      <c r="AO20" s="90"/>
      <c r="AP20" s="90"/>
      <c r="AR20" s="90"/>
      <c r="AS20" s="90"/>
      <c r="AT20" s="90"/>
      <c r="AU20" s="90"/>
      <c r="AW20" s="94"/>
      <c r="AX20" s="94"/>
      <c r="AY20" s="94"/>
      <c r="AZ20" s="94"/>
    </row>
    <row r="21" spans="2:52" x14ac:dyDescent="0.3">
      <c r="B21" s="88" t="s">
        <v>51</v>
      </c>
      <c r="C21" s="85"/>
      <c r="D21" s="85"/>
      <c r="E21" s="89">
        <f>+E19+E20</f>
        <v>-35113.538983355465</v>
      </c>
      <c r="F21" s="89">
        <f>+F19+F20</f>
        <v>-2484.9075414926556</v>
      </c>
      <c r="G21" s="95">
        <f>SUM(X21:AA21)</f>
        <v>9094.9575619038296</v>
      </c>
      <c r="H21" s="95">
        <f>SUM(AC21:AF21)</f>
        <v>39687.706419885202</v>
      </c>
      <c r="I21" s="95">
        <f t="shared" si="5"/>
        <v>-4084.033853816014</v>
      </c>
      <c r="J21" s="95">
        <f t="shared" si="3"/>
        <v>-19477.346435420459</v>
      </c>
      <c r="K21" s="95">
        <f t="shared" si="4"/>
        <v>-11915.726856215628</v>
      </c>
      <c r="L21" s="95">
        <f>SUM(AW21:AZ21)</f>
        <v>-7480.4101217310199</v>
      </c>
      <c r="M21" s="89"/>
      <c r="N21" s="89">
        <f t="shared" ref="N21:Z21" si="22">+N19+N20</f>
        <v>-9248.016781053102</v>
      </c>
      <c r="O21" s="89">
        <f t="shared" si="22"/>
        <v>-3895.8916809631064</v>
      </c>
      <c r="P21" s="89">
        <f t="shared" si="22"/>
        <v>-8301.6112862630944</v>
      </c>
      <c r="Q21" s="89">
        <f t="shared" si="22"/>
        <v>-13668.019235076077</v>
      </c>
      <c r="R21" s="89"/>
      <c r="S21" s="89">
        <f t="shared" si="22"/>
        <v>-3833.0454838686092</v>
      </c>
      <c r="T21" s="89">
        <f t="shared" si="22"/>
        <v>7317.6129361160001</v>
      </c>
      <c r="U21" s="89">
        <f t="shared" si="22"/>
        <v>-1543.3241286284938</v>
      </c>
      <c r="V21" s="89">
        <f t="shared" si="22"/>
        <v>-4426.1508651115764</v>
      </c>
      <c r="W21" s="89"/>
      <c r="X21" s="89">
        <f t="shared" si="22"/>
        <v>-7844.1004708021119</v>
      </c>
      <c r="Y21" s="89">
        <f t="shared" si="22"/>
        <v>11922.942741780764</v>
      </c>
      <c r="Z21" s="89">
        <f t="shared" si="22"/>
        <v>-6231.9896314297985</v>
      </c>
      <c r="AA21" s="89">
        <f>+AA19+AA20</f>
        <v>11248.104922354976</v>
      </c>
      <c r="AB21" s="89"/>
      <c r="AC21" s="89">
        <f>+AC19+AC20</f>
        <v>1329.959125173682</v>
      </c>
      <c r="AD21" s="89">
        <f t="shared" ref="AD21:AF21" si="23">+AD19+AD20</f>
        <v>5070.8513277613274</v>
      </c>
      <c r="AE21" s="89">
        <f t="shared" si="23"/>
        <v>16275.566235999999</v>
      </c>
      <c r="AF21" s="89">
        <f t="shared" si="23"/>
        <v>17011.329730950198</v>
      </c>
      <c r="AG21" s="89"/>
      <c r="AH21" s="89">
        <f>+AH19+AH20</f>
        <v>6092.0555461839831</v>
      </c>
      <c r="AI21" s="89">
        <f t="shared" ref="AI21:AK21" si="24">+AI19+AI20</f>
        <v>7780.9106000000029</v>
      </c>
      <c r="AJ21" s="89">
        <f t="shared" si="24"/>
        <v>-5017</v>
      </c>
      <c r="AK21" s="89">
        <f t="shared" si="24"/>
        <v>-12940</v>
      </c>
      <c r="AM21" s="89">
        <f t="shared" ref="AM21:AZ21" si="25">+AM19+AM20</f>
        <v>-14083.688879809008</v>
      </c>
      <c r="AN21" s="89">
        <f t="shared" si="25"/>
        <v>-7714.4026146054694</v>
      </c>
      <c r="AO21" s="89">
        <f t="shared" si="25"/>
        <v>1062.3002236041939</v>
      </c>
      <c r="AP21" s="89">
        <f t="shared" si="25"/>
        <v>1258.4448353898224</v>
      </c>
      <c r="AR21" s="89">
        <f t="shared" si="25"/>
        <v>-17804.808171250424</v>
      </c>
      <c r="AS21" s="89">
        <f t="shared" si="25"/>
        <v>-10816.524950407296</v>
      </c>
      <c r="AT21" s="89">
        <f t="shared" si="25"/>
        <v>-13346.26478321839</v>
      </c>
      <c r="AU21" s="89">
        <f t="shared" si="25"/>
        <v>30051.87104866048</v>
      </c>
      <c r="AW21" s="89">
        <f t="shared" si="25"/>
        <v>-15926.287103689432</v>
      </c>
      <c r="AX21" s="89">
        <f t="shared" si="25"/>
        <v>8445.8769819584122</v>
      </c>
      <c r="AY21" s="89">
        <f t="shared" si="25"/>
        <v>0</v>
      </c>
      <c r="AZ21" s="89">
        <f t="shared" si="25"/>
        <v>0</v>
      </c>
    </row>
    <row r="23" spans="2:52" x14ac:dyDescent="0.3">
      <c r="G23" s="91"/>
      <c r="H23" s="91"/>
      <c r="I23" s="91"/>
      <c r="J23" s="91"/>
      <c r="K23" s="91"/>
      <c r="L23" s="91"/>
      <c r="AA23" s="91"/>
      <c r="AB23" s="91"/>
      <c r="AC23" s="91"/>
      <c r="AD23" s="91"/>
      <c r="AE23" s="91"/>
      <c r="AF23" s="91"/>
      <c r="AH23" s="91"/>
      <c r="AM23" s="91"/>
      <c r="AW23" s="91"/>
      <c r="AX23" s="91"/>
      <c r="AY23" s="91"/>
      <c r="AZ23" s="91"/>
    </row>
  </sheetData>
  <pageMargins left="0.70866141732283472" right="0.70866141732283472" top="0.74803149606299213" bottom="0.74803149606299213" header="0.31496062992125984" footer="0.31496062992125984"/>
  <pageSetup scale="7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O100"/>
  <sheetViews>
    <sheetView showGridLines="0" zoomScale="60" zoomScaleNormal="60" zoomScaleSheetLayoutView="55" workbookViewId="0">
      <selection activeCell="E55" sqref="E55"/>
    </sheetView>
  </sheetViews>
  <sheetFormatPr defaultColWidth="8.81640625" defaultRowHeight="14" outlineLevelRow="1" x14ac:dyDescent="0.3"/>
  <cols>
    <col min="1" max="1" width="7" style="2" customWidth="1"/>
    <col min="2" max="3" width="10.453125" style="2" customWidth="1"/>
    <col min="4" max="4" width="18.81640625" style="2" customWidth="1"/>
    <col min="5" max="5" width="10.453125" style="2" customWidth="1"/>
    <col min="6" max="6" width="16.453125" style="2" customWidth="1"/>
    <col min="7" max="9" width="10.453125" style="2" customWidth="1"/>
    <col min="10" max="10" width="17.453125" style="2" customWidth="1"/>
    <col min="11" max="11" width="10.453125" style="2" customWidth="1"/>
    <col min="12" max="12" width="13.81640625" style="2" customWidth="1"/>
    <col min="13" max="13" width="13.1796875" style="2" customWidth="1"/>
    <col min="14" max="24" width="10.453125" style="2" customWidth="1"/>
    <col min="25" max="92" width="11.453125" style="2" customWidth="1"/>
    <col min="93" max="16384" width="8.81640625" style="2"/>
  </cols>
  <sheetData>
    <row r="1" spans="2:25" ht="18" customHeight="1" x14ac:dyDescent="0.35"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</row>
    <row r="2" spans="2:25" ht="18" hidden="1" customHeight="1" outlineLevel="1" x14ac:dyDescent="0.35">
      <c r="B2" s="8" t="s">
        <v>2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2:25" ht="18" hidden="1" customHeight="1" outlineLevel="1" x14ac:dyDescent="0.35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2:25" ht="18" hidden="1" customHeight="1" outlineLevel="1" x14ac:dyDescent="0.4">
      <c r="B4" s="4" t="s">
        <v>3</v>
      </c>
      <c r="C4" s="9"/>
      <c r="D4" s="9"/>
      <c r="E4" s="10"/>
      <c r="F4" s="5"/>
      <c r="G4" s="5"/>
      <c r="H4" s="5"/>
      <c r="I4" s="11"/>
      <c r="J4" s="11"/>
      <c r="K4" s="11"/>
      <c r="L4" s="12"/>
      <c r="M4" s="12"/>
      <c r="N4" s="12"/>
      <c r="O4" s="5"/>
      <c r="P4" s="5"/>
      <c r="Q4" s="5"/>
      <c r="R4" s="11"/>
      <c r="S4" s="12"/>
      <c r="T4" s="12"/>
      <c r="U4" s="12"/>
    </row>
    <row r="5" spans="2:25" ht="18" hidden="1" customHeight="1" outlineLevel="1" x14ac:dyDescent="0.35">
      <c r="B5" s="8"/>
      <c r="C5" s="13"/>
      <c r="D5" s="13"/>
      <c r="E5" s="14"/>
      <c r="F5" s="1"/>
      <c r="G5" s="1"/>
      <c r="H5" s="1"/>
      <c r="I5" s="7"/>
      <c r="J5" s="7"/>
      <c r="K5" s="7"/>
      <c r="L5" s="13"/>
      <c r="M5" s="13"/>
      <c r="N5" s="13"/>
      <c r="O5" s="1"/>
      <c r="P5" s="8"/>
      <c r="Q5" s="8"/>
      <c r="R5" s="7"/>
      <c r="S5" s="13"/>
      <c r="T5" s="13"/>
      <c r="U5" s="13"/>
    </row>
    <row r="6" spans="2:25" ht="18" hidden="1" customHeight="1" outlineLevel="1" x14ac:dyDescent="0.65">
      <c r="B6" s="7"/>
      <c r="C6" s="15"/>
      <c r="D6" s="1"/>
      <c r="E6" s="1"/>
      <c r="F6" s="131" t="s">
        <v>33</v>
      </c>
      <c r="G6" s="131"/>
      <c r="H6" s="75" t="s">
        <v>32</v>
      </c>
      <c r="I6" s="7"/>
      <c r="J6" s="7"/>
      <c r="K6" s="16"/>
      <c r="L6" s="131" t="s">
        <v>33</v>
      </c>
      <c r="M6" s="131"/>
      <c r="N6" s="75" t="s">
        <v>32</v>
      </c>
      <c r="O6" s="1"/>
      <c r="P6" s="7"/>
      <c r="Q6" s="7"/>
      <c r="R6" s="131" t="s">
        <v>33</v>
      </c>
      <c r="S6" s="131"/>
      <c r="T6" s="131" t="s">
        <v>32</v>
      </c>
      <c r="U6" s="131"/>
    </row>
    <row r="7" spans="2:25" ht="18" hidden="1" customHeight="1" outlineLevel="1" x14ac:dyDescent="0.35">
      <c r="B7" s="17" t="s">
        <v>7</v>
      </c>
      <c r="C7" s="18"/>
      <c r="D7" s="19"/>
      <c r="E7" s="19"/>
      <c r="F7" s="132"/>
      <c r="G7" s="132"/>
      <c r="H7" s="76"/>
      <c r="I7" s="20"/>
      <c r="J7" s="20"/>
      <c r="K7" s="20"/>
      <c r="L7" s="133"/>
      <c r="M7" s="133"/>
      <c r="N7" s="78"/>
      <c r="O7" s="20"/>
      <c r="P7" s="20"/>
      <c r="Q7" s="20"/>
      <c r="R7" s="134"/>
      <c r="S7" s="134"/>
      <c r="T7" s="134"/>
      <c r="U7" s="134"/>
      <c r="X7" s="3"/>
      <c r="Y7" s="3"/>
    </row>
    <row r="8" spans="2:25" ht="18" hidden="1" customHeight="1" outlineLevel="1" x14ac:dyDescent="0.35">
      <c r="B8" s="21" t="s">
        <v>43</v>
      </c>
      <c r="C8" s="22"/>
      <c r="D8" s="1"/>
      <c r="E8" s="1"/>
      <c r="F8" s="130"/>
      <c r="G8" s="130"/>
      <c r="H8" s="23"/>
      <c r="I8" s="7"/>
      <c r="J8" s="7"/>
      <c r="K8" s="7"/>
      <c r="L8" s="130"/>
      <c r="M8" s="130"/>
      <c r="N8" s="23"/>
      <c r="O8" s="1"/>
      <c r="P8" s="1"/>
      <c r="Q8" s="1"/>
      <c r="R8" s="130"/>
      <c r="S8" s="130"/>
      <c r="T8" s="130"/>
      <c r="U8" s="130"/>
      <c r="X8" s="3"/>
      <c r="Y8" s="3"/>
    </row>
    <row r="9" spans="2:25" ht="18" hidden="1" customHeight="1" outlineLevel="1" x14ac:dyDescent="0.35">
      <c r="B9" s="17" t="s">
        <v>8</v>
      </c>
      <c r="C9" s="18"/>
      <c r="D9" s="19"/>
      <c r="E9" s="19"/>
      <c r="F9" s="132"/>
      <c r="G9" s="132"/>
      <c r="H9" s="76"/>
      <c r="I9" s="20"/>
      <c r="J9" s="20"/>
      <c r="K9" s="20"/>
      <c r="L9" s="133"/>
      <c r="M9" s="133"/>
      <c r="N9" s="78"/>
      <c r="O9" s="20"/>
      <c r="P9" s="20"/>
      <c r="Q9" s="20"/>
      <c r="R9" s="134"/>
      <c r="S9" s="134"/>
      <c r="T9" s="134"/>
      <c r="U9" s="134"/>
      <c r="X9" s="3"/>
      <c r="Y9" s="3"/>
    </row>
    <row r="10" spans="2:25" ht="18" hidden="1" customHeight="1" outlineLevel="1" x14ac:dyDescent="0.35">
      <c r="B10" s="21" t="s">
        <v>43</v>
      </c>
      <c r="C10" s="22"/>
      <c r="D10" s="1"/>
      <c r="E10" s="1"/>
      <c r="F10" s="130"/>
      <c r="G10" s="130"/>
      <c r="H10" s="23"/>
      <c r="I10" s="7"/>
      <c r="J10" s="7"/>
      <c r="K10" s="7"/>
      <c r="L10" s="130"/>
      <c r="M10" s="130"/>
      <c r="N10" s="23"/>
      <c r="O10" s="1"/>
      <c r="P10" s="1"/>
      <c r="Q10" s="1"/>
      <c r="R10" s="130"/>
      <c r="S10" s="130"/>
      <c r="T10" s="130"/>
      <c r="U10" s="130"/>
      <c r="X10" s="3"/>
      <c r="Y10" s="3"/>
    </row>
    <row r="11" spans="2:25" ht="18" hidden="1" customHeight="1" outlineLevel="1" x14ac:dyDescent="0.35">
      <c r="B11" s="1"/>
      <c r="C11" s="1"/>
      <c r="D11" s="1"/>
      <c r="E11" s="1"/>
      <c r="F11" s="23"/>
      <c r="G11" s="23"/>
      <c r="H11" s="13"/>
      <c r="I11" s="20"/>
      <c r="J11" s="20"/>
      <c r="K11" s="20"/>
      <c r="L11" s="135"/>
      <c r="M11" s="135"/>
      <c r="N11" s="77"/>
      <c r="O11" s="20"/>
      <c r="P11" s="20"/>
      <c r="Q11" s="20"/>
      <c r="R11" s="134"/>
      <c r="S11" s="134"/>
      <c r="T11" s="134"/>
      <c r="U11" s="134"/>
      <c r="X11" s="3"/>
      <c r="Y11" s="3"/>
    </row>
    <row r="12" spans="2:25" ht="18" hidden="1" customHeight="1" outlineLevel="1" x14ac:dyDescent="0.35">
      <c r="B12" s="1"/>
      <c r="C12" s="1"/>
      <c r="D12" s="1"/>
      <c r="E12" s="1"/>
      <c r="F12" s="1"/>
      <c r="G12" s="1"/>
      <c r="H12" s="7"/>
      <c r="I12" s="7"/>
      <c r="J12" s="7"/>
      <c r="K12" s="7"/>
      <c r="L12" s="130"/>
      <c r="M12" s="130"/>
      <c r="N12" s="23"/>
      <c r="O12" s="1"/>
      <c r="P12" s="1"/>
      <c r="Q12" s="1"/>
      <c r="R12" s="130"/>
      <c r="S12" s="130"/>
      <c r="T12" s="130"/>
      <c r="U12" s="130"/>
    </row>
    <row r="13" spans="2:25" ht="18" hidden="1" customHeight="1" outlineLevel="1" x14ac:dyDescent="0.35">
      <c r="B13" s="1"/>
      <c r="C13" s="1"/>
      <c r="D13" s="1"/>
      <c r="E13" s="1"/>
      <c r="F13" s="1"/>
      <c r="G13" s="1"/>
      <c r="H13" s="7"/>
      <c r="I13" s="20"/>
      <c r="J13" s="20"/>
      <c r="K13" s="20"/>
      <c r="L13" s="135"/>
      <c r="M13" s="135"/>
      <c r="N13" s="77"/>
      <c r="O13" s="20"/>
      <c r="P13" s="20"/>
      <c r="Q13" s="20"/>
      <c r="R13" s="134"/>
      <c r="S13" s="134"/>
      <c r="T13" s="134"/>
      <c r="U13" s="134"/>
    </row>
    <row r="14" spans="2:25" ht="18" hidden="1" customHeight="1" outlineLevel="1" x14ac:dyDescent="0.35">
      <c r="B14" s="1"/>
      <c r="C14" s="1"/>
      <c r="D14" s="1"/>
      <c r="E14" s="1"/>
      <c r="F14" s="1"/>
      <c r="G14" s="1"/>
      <c r="H14" s="7"/>
      <c r="I14" s="7"/>
      <c r="J14" s="7"/>
      <c r="K14" s="7"/>
      <c r="L14" s="130"/>
      <c r="M14" s="130"/>
      <c r="N14" s="23"/>
      <c r="O14" s="1"/>
      <c r="P14" s="1"/>
      <c r="Q14" s="1"/>
      <c r="R14" s="130"/>
      <c r="S14" s="130"/>
      <c r="T14" s="130"/>
      <c r="U14" s="130"/>
    </row>
    <row r="15" spans="2:25" ht="18" hidden="1" customHeight="1" outlineLevel="1" x14ac:dyDescent="0.35">
      <c r="B15" s="1"/>
      <c r="C15" s="1"/>
      <c r="D15" s="1"/>
      <c r="E15" s="1"/>
      <c r="F15" s="1"/>
      <c r="G15" s="1"/>
      <c r="H15" s="7"/>
      <c r="I15" s="20"/>
      <c r="J15" s="20"/>
      <c r="K15" s="20"/>
      <c r="L15" s="133"/>
      <c r="M15" s="133"/>
      <c r="N15" s="78"/>
      <c r="O15" s="20"/>
      <c r="P15" s="20"/>
      <c r="Q15" s="20"/>
      <c r="R15" s="134"/>
      <c r="S15" s="134"/>
      <c r="T15" s="134"/>
      <c r="U15" s="134"/>
    </row>
    <row r="16" spans="2:25" ht="18" hidden="1" customHeight="1" outlineLevel="1" x14ac:dyDescent="0.35">
      <c r="B16" s="1"/>
      <c r="C16" s="1"/>
      <c r="D16" s="1"/>
      <c r="E16" s="1"/>
      <c r="F16" s="1"/>
      <c r="G16" s="1"/>
      <c r="H16" s="7"/>
      <c r="I16" s="7"/>
      <c r="J16" s="7"/>
      <c r="K16" s="7"/>
      <c r="L16" s="130"/>
      <c r="M16" s="130"/>
      <c r="N16" s="23"/>
      <c r="O16" s="1"/>
      <c r="P16" s="1"/>
      <c r="Q16" s="1"/>
      <c r="R16" s="130"/>
      <c r="S16" s="130"/>
      <c r="T16" s="130"/>
      <c r="U16" s="130"/>
    </row>
    <row r="17" spans="2:41" ht="18" hidden="1" customHeight="1" outlineLevel="1" x14ac:dyDescent="0.65">
      <c r="B17" s="1"/>
      <c r="C17" s="1"/>
      <c r="D17" s="24"/>
      <c r="E17" s="22"/>
      <c r="F17" s="25"/>
      <c r="G17" s="25"/>
      <c r="H17" s="7"/>
      <c r="I17" s="20"/>
      <c r="J17" s="20"/>
      <c r="K17" s="20"/>
      <c r="L17" s="133"/>
      <c r="M17" s="133"/>
      <c r="N17" s="78"/>
      <c r="O17" s="20"/>
      <c r="P17" s="20"/>
      <c r="Q17" s="20"/>
      <c r="R17" s="134"/>
      <c r="S17" s="134"/>
      <c r="T17" s="134"/>
      <c r="U17" s="134"/>
    </row>
    <row r="18" spans="2:41" ht="18" hidden="1" customHeight="1" outlineLevel="1" x14ac:dyDescent="0.65">
      <c r="B18" s="1"/>
      <c r="C18" s="1"/>
      <c r="D18" s="7"/>
      <c r="E18" s="22"/>
      <c r="F18" s="25"/>
      <c r="G18" s="25"/>
      <c r="H18" s="7"/>
      <c r="I18" s="7"/>
      <c r="J18" s="22"/>
      <c r="K18" s="25"/>
      <c r="L18" s="130"/>
      <c r="M18" s="130"/>
      <c r="N18" s="23"/>
      <c r="O18" s="1"/>
      <c r="P18" s="1"/>
      <c r="Q18" s="1"/>
      <c r="R18" s="130"/>
      <c r="S18" s="130"/>
      <c r="T18" s="130"/>
      <c r="U18" s="130"/>
    </row>
    <row r="19" spans="2:41" ht="18" hidden="1" customHeight="1" outlineLevel="1" x14ac:dyDescent="0.65">
      <c r="B19" s="1"/>
      <c r="C19" s="1"/>
      <c r="D19" s="7"/>
      <c r="E19" s="22"/>
      <c r="F19" s="25"/>
      <c r="G19" s="25"/>
      <c r="H19" s="7"/>
      <c r="I19" s="20"/>
      <c r="J19" s="20"/>
      <c r="K19" s="20"/>
      <c r="L19" s="133"/>
      <c r="M19" s="133"/>
      <c r="N19" s="78"/>
      <c r="O19" s="1"/>
      <c r="P19" s="1"/>
      <c r="Q19" s="1"/>
      <c r="R19" s="1"/>
      <c r="S19" s="1"/>
      <c r="T19" s="1"/>
      <c r="U19" s="1"/>
    </row>
    <row r="20" spans="2:41" ht="18" hidden="1" customHeight="1" outlineLevel="1" x14ac:dyDescent="0.65">
      <c r="B20" s="1"/>
      <c r="C20" s="1"/>
      <c r="D20" s="7"/>
      <c r="E20" s="22"/>
      <c r="F20" s="25"/>
      <c r="G20" s="25"/>
      <c r="H20" s="7"/>
      <c r="I20" s="7"/>
      <c r="J20" s="22"/>
      <c r="K20" s="25"/>
      <c r="L20" s="130"/>
      <c r="M20" s="130"/>
      <c r="N20" s="23"/>
      <c r="O20" s="1"/>
      <c r="P20" s="1"/>
      <c r="Q20" s="1"/>
      <c r="R20" s="130"/>
      <c r="S20" s="130"/>
      <c r="T20" s="136"/>
      <c r="U20" s="136"/>
    </row>
    <row r="21" spans="2:41" ht="18" hidden="1" customHeight="1" outlineLevel="1" x14ac:dyDescent="0.65">
      <c r="B21" s="1"/>
      <c r="C21" s="1"/>
      <c r="D21" s="7"/>
      <c r="E21" s="22"/>
      <c r="F21" s="25"/>
      <c r="G21" s="25"/>
      <c r="H21" s="7"/>
      <c r="I21" s="7"/>
      <c r="J21" s="7"/>
      <c r="K21" s="7"/>
      <c r="L21" s="7"/>
      <c r="M21" s="7"/>
      <c r="N21" s="7"/>
      <c r="O21" s="1"/>
      <c r="P21" s="1"/>
      <c r="Q21" s="1"/>
      <c r="R21" s="7"/>
      <c r="S21" s="7"/>
      <c r="T21" s="23"/>
      <c r="U21" s="23"/>
    </row>
    <row r="22" spans="2:41" ht="18" customHeight="1" collapsed="1" x14ac:dyDescent="0.65">
      <c r="B22" s="8"/>
      <c r="C22" s="1"/>
      <c r="D22" s="7"/>
      <c r="E22" s="22"/>
      <c r="F22" s="25"/>
      <c r="G22" s="25"/>
      <c r="H22" s="7"/>
      <c r="I22" s="7"/>
      <c r="J22" s="22"/>
      <c r="K22" s="25"/>
      <c r="L22" s="23"/>
      <c r="M22" s="23"/>
      <c r="N22" s="23"/>
      <c r="O22" s="1"/>
      <c r="P22" s="1"/>
      <c r="Q22" s="1"/>
      <c r="R22" s="1"/>
      <c r="S22" s="1"/>
      <c r="T22" s="1"/>
      <c r="U22" s="1"/>
    </row>
    <row r="23" spans="2:41" ht="18" customHeight="1" x14ac:dyDescent="0.35">
      <c r="B23" s="61"/>
      <c r="C23" s="3"/>
      <c r="D23" s="3"/>
      <c r="E23" s="3"/>
      <c r="F23" s="3"/>
      <c r="G23" s="62"/>
      <c r="H23" s="62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</row>
    <row r="24" spans="2:41" ht="18" x14ac:dyDescent="0.3">
      <c r="B24" s="26" t="s">
        <v>12</v>
      </c>
    </row>
    <row r="26" spans="2:41" ht="16.5" x14ac:dyDescent="0.35">
      <c r="B26" s="27" t="s">
        <v>3</v>
      </c>
      <c r="C26" s="28"/>
      <c r="D26" s="28"/>
      <c r="E26" s="29"/>
      <c r="F26" s="30"/>
      <c r="G26" s="30"/>
      <c r="H26" s="30"/>
      <c r="I26" s="31"/>
      <c r="J26" s="31"/>
      <c r="K26" s="31"/>
      <c r="L26" s="31"/>
      <c r="M26" s="31"/>
      <c r="N26" s="31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</row>
    <row r="27" spans="2:41" ht="16.5" x14ac:dyDescent="0.35">
      <c r="B27" s="32"/>
      <c r="C27" s="33"/>
      <c r="D27" s="33"/>
      <c r="E27" s="34"/>
      <c r="I27" s="3"/>
      <c r="J27" s="3"/>
      <c r="K27" s="3"/>
      <c r="L27" s="3"/>
      <c r="M27" s="3"/>
      <c r="N27" s="3"/>
    </row>
    <row r="28" spans="2:41" ht="17" x14ac:dyDescent="0.6">
      <c r="F28" s="35" t="s">
        <v>33</v>
      </c>
      <c r="G28" s="35" t="s">
        <v>32</v>
      </c>
      <c r="I28" s="35" t="s">
        <v>13</v>
      </c>
      <c r="J28" s="35" t="s">
        <v>6</v>
      </c>
      <c r="K28" s="35" t="s">
        <v>1</v>
      </c>
      <c r="L28" s="35" t="s">
        <v>31</v>
      </c>
      <c r="M28" s="35" t="s">
        <v>34</v>
      </c>
      <c r="N28" s="35"/>
      <c r="O28" s="36">
        <v>43101</v>
      </c>
      <c r="P28" s="36">
        <v>43132</v>
      </c>
      <c r="Q28" s="36">
        <v>43160</v>
      </c>
      <c r="R28" s="36">
        <v>43191</v>
      </c>
      <c r="S28" s="36">
        <v>43221</v>
      </c>
      <c r="T28" s="36">
        <v>43252</v>
      </c>
      <c r="U28" s="36">
        <v>43282</v>
      </c>
      <c r="V28" s="36">
        <v>43313</v>
      </c>
      <c r="W28" s="36">
        <v>43344</v>
      </c>
      <c r="X28" s="36">
        <v>43374</v>
      </c>
      <c r="Y28" s="36">
        <v>43405</v>
      </c>
      <c r="Z28" s="36">
        <v>43435</v>
      </c>
      <c r="AA28" s="36">
        <v>43466</v>
      </c>
      <c r="AB28" s="36">
        <v>43497</v>
      </c>
      <c r="AC28" s="36">
        <v>43525</v>
      </c>
      <c r="AD28" s="36">
        <v>43556</v>
      </c>
      <c r="AE28" s="36">
        <v>43586</v>
      </c>
      <c r="AF28" s="36">
        <v>43617</v>
      </c>
      <c r="AG28" s="36">
        <v>43647</v>
      </c>
      <c r="AH28" s="36">
        <v>43678</v>
      </c>
      <c r="AI28" s="36">
        <v>43709</v>
      </c>
      <c r="AJ28" s="36"/>
      <c r="AK28" s="36"/>
      <c r="AL28" s="36"/>
      <c r="AM28" s="36"/>
      <c r="AN28" s="36"/>
      <c r="AO28" s="36"/>
    </row>
    <row r="29" spans="2:41" x14ac:dyDescent="0.3">
      <c r="B29" s="37" t="s">
        <v>7</v>
      </c>
      <c r="C29" s="38"/>
      <c r="D29" s="38"/>
      <c r="E29" s="38"/>
      <c r="F29" s="63">
        <v>12197</v>
      </c>
      <c r="G29" s="63"/>
      <c r="H29" s="39"/>
      <c r="I29" s="40">
        <f>SUM(U29:W29)</f>
        <v>2106.277117258765</v>
      </c>
      <c r="J29" s="40">
        <f>SUM(X29:Z29)</f>
        <v>2043.1941269919828</v>
      </c>
      <c r="K29" s="40">
        <f>33357.508/K33</f>
        <v>2380.7372548362814</v>
      </c>
      <c r="L29" s="40">
        <f>L35/L$33</f>
        <v>2637.6803298055488</v>
      </c>
      <c r="M29" s="40">
        <f>M35/M$33</f>
        <v>3793.1726895951292</v>
      </c>
      <c r="N29" s="40"/>
      <c r="O29" s="40"/>
      <c r="P29" s="40"/>
      <c r="Q29" s="40"/>
      <c r="R29" s="40"/>
      <c r="S29" s="40"/>
      <c r="T29" s="40"/>
      <c r="U29" s="40">
        <v>690.11186350527021</v>
      </c>
      <c r="V29" s="40">
        <v>710.77427864683636</v>
      </c>
      <c r="W29" s="40">
        <v>705.39097510665852</v>
      </c>
      <c r="X29" s="40">
        <f>10298.796/X33</f>
        <v>702.79759792548111</v>
      </c>
      <c r="Y29" s="40">
        <v>700.36077283026373</v>
      </c>
      <c r="Z29" s="40">
        <v>640.03575623623806</v>
      </c>
      <c r="AA29" s="40"/>
      <c r="AB29" s="40"/>
      <c r="AC29" s="40"/>
      <c r="AD29" s="40"/>
      <c r="AE29" s="40"/>
      <c r="AF29" s="40"/>
    </row>
    <row r="30" spans="2:41" ht="14.5" x14ac:dyDescent="0.3">
      <c r="B30" s="41" t="s">
        <v>21</v>
      </c>
      <c r="F30" s="42">
        <v>0.35</v>
      </c>
      <c r="G30" s="42"/>
      <c r="H30" s="42"/>
      <c r="J30" s="42">
        <f>(J29-I29)/ABS(I29)</f>
        <v>-2.9949995539467363E-2</v>
      </c>
      <c r="K30" s="42">
        <f>(K29-J29)/ABS(J29)</f>
        <v>0.16520365019903127</v>
      </c>
      <c r="L30" s="42">
        <f>(L29-K29)/ABS(K29)</f>
        <v>0.10792584290740512</v>
      </c>
      <c r="M30" s="42">
        <f>(M29-L29)/ABS(L29)</f>
        <v>0.43807141704497754</v>
      </c>
      <c r="N30" s="42"/>
      <c r="O30" s="42"/>
      <c r="P30" s="42"/>
      <c r="Q30" s="42"/>
      <c r="R30" s="42"/>
      <c r="S30" s="42"/>
      <c r="T30" s="42"/>
      <c r="U30" s="42"/>
      <c r="V30" s="42">
        <f t="shared" ref="V30:Z30" si="0">(V29-U29)/U29</f>
        <v>2.994067517781248E-2</v>
      </c>
      <c r="W30" s="42">
        <f t="shared" si="0"/>
        <v>-7.5738581176945773E-3</v>
      </c>
      <c r="X30" s="42">
        <f t="shared" si="0"/>
        <v>-3.6765102938625931E-3</v>
      </c>
      <c r="Y30" s="42">
        <f t="shared" si="0"/>
        <v>-3.4673213204063449E-3</v>
      </c>
      <c r="Z30" s="42">
        <f t="shared" si="0"/>
        <v>-8.6134202448608255E-2</v>
      </c>
      <c r="AA30" s="42"/>
      <c r="AB30" s="42"/>
      <c r="AC30" s="42"/>
      <c r="AD30" s="42"/>
      <c r="AE30" s="42"/>
      <c r="AF30" s="42"/>
    </row>
    <row r="31" spans="2:41" x14ac:dyDescent="0.3">
      <c r="B31" s="37" t="s">
        <v>8</v>
      </c>
      <c r="C31" s="38"/>
      <c r="D31" s="38"/>
      <c r="E31" s="38"/>
      <c r="F31" s="63">
        <v>11030</v>
      </c>
      <c r="G31" s="63"/>
      <c r="H31" s="39"/>
      <c r="I31" s="64">
        <f>SUM(U31:W31)</f>
        <v>-1191.4373011868402</v>
      </c>
      <c r="J31" s="64">
        <f>SUM(X31:Z31)</f>
        <v>1680.6269666069288</v>
      </c>
      <c r="K31" s="64">
        <f>25321.7534082514/K33</f>
        <v>1807.2225807995515</v>
      </c>
      <c r="L31" s="40">
        <f>L37/L$33</f>
        <v>2150.8217282100641</v>
      </c>
      <c r="M31" s="40">
        <f>M37/M$33</f>
        <v>3294.9586896649703</v>
      </c>
      <c r="N31" s="40"/>
      <c r="O31" s="40"/>
      <c r="P31" s="40"/>
      <c r="Q31" s="40"/>
      <c r="R31" s="40"/>
      <c r="S31" s="40"/>
      <c r="T31" s="40"/>
      <c r="U31" s="64">
        <v>-221.89149694353586</v>
      </c>
      <c r="V31" s="64">
        <v>-181.66642424330419</v>
      </c>
      <c r="W31" s="64">
        <v>-787.87937999999997</v>
      </c>
      <c r="X31" s="64">
        <f>7872.063/X33</f>
        <v>537.19550975842776</v>
      </c>
      <c r="Y31" s="64">
        <v>593.3008875223245</v>
      </c>
      <c r="Z31" s="64">
        <v>550.13056932617667</v>
      </c>
      <c r="AA31" s="64"/>
      <c r="AB31" s="64"/>
      <c r="AC31" s="64"/>
      <c r="AD31" s="64"/>
      <c r="AE31" s="64"/>
      <c r="AF31" s="64"/>
    </row>
    <row r="32" spans="2:41" ht="14.5" x14ac:dyDescent="0.3">
      <c r="B32" s="41" t="s">
        <v>21</v>
      </c>
      <c r="F32" s="42">
        <v>0.56000000000000005</v>
      </c>
      <c r="G32" s="42"/>
      <c r="H32" s="42"/>
      <c r="J32" s="42">
        <f>(J31-I31)/ABS(I31)</f>
        <v>2.4105878378432388</v>
      </c>
      <c r="K32" s="42">
        <f>(K31-J31)/ABS(J31)</f>
        <v>7.5326420858407711E-2</v>
      </c>
      <c r="L32" s="42">
        <f>(L31-K31)/ABS(K31)</f>
        <v>0.19012552801243635</v>
      </c>
      <c r="M32" s="42">
        <f>(M31-L31)/ABS(L31)</f>
        <v>0.53195341410609087</v>
      </c>
      <c r="N32" s="42"/>
      <c r="O32" s="42"/>
      <c r="P32" s="42"/>
      <c r="Q32" s="42"/>
      <c r="R32" s="42"/>
      <c r="S32" s="42"/>
      <c r="T32" s="42"/>
      <c r="U32" s="42"/>
      <c r="V32" s="42">
        <f t="shared" ref="V32:Z32" si="1">(V31-U31)/U31</f>
        <v>-0.18128262350885682</v>
      </c>
      <c r="W32" s="42">
        <f t="shared" si="1"/>
        <v>3.3369565030068533</v>
      </c>
      <c r="X32" s="42">
        <f t="shared" si="1"/>
        <v>-1.6818245576606252</v>
      </c>
      <c r="Y32" s="42">
        <f t="shared" si="1"/>
        <v>0.1044412634594188</v>
      </c>
      <c r="Z32" s="42">
        <f t="shared" si="1"/>
        <v>-7.2762942217111437E-2</v>
      </c>
      <c r="AA32" s="42"/>
      <c r="AB32" s="42"/>
      <c r="AC32" s="42"/>
      <c r="AD32" s="42"/>
      <c r="AE32" s="42"/>
      <c r="AF32" s="42"/>
    </row>
    <row r="33" spans="2:41" x14ac:dyDescent="0.3">
      <c r="B33" s="37" t="s">
        <v>14</v>
      </c>
      <c r="C33" s="38"/>
      <c r="D33" s="38"/>
      <c r="E33" s="38"/>
      <c r="F33" s="44"/>
      <c r="G33" s="44"/>
      <c r="H33" s="44"/>
      <c r="I33" s="38"/>
      <c r="J33" s="44"/>
      <c r="K33" s="44">
        <f>AVERAGE(AA33:AC33)</f>
        <v>14.011419333333334</v>
      </c>
      <c r="L33" s="44">
        <f>AVERAGE(AD33:AF33)</f>
        <v>14.377198999999999</v>
      </c>
      <c r="M33" s="44">
        <f>AVERAGE(AG33:AI33)</f>
        <v>14.692839666666666</v>
      </c>
      <c r="N33" s="44"/>
      <c r="O33" s="44"/>
      <c r="P33" s="44"/>
      <c r="Q33" s="44"/>
      <c r="R33" s="44"/>
      <c r="S33" s="65"/>
      <c r="T33" s="65"/>
      <c r="U33" s="44">
        <v>13.1676</v>
      </c>
      <c r="V33" s="44">
        <v>13.3598</v>
      </c>
      <c r="W33" s="44">
        <v>14.0777</v>
      </c>
      <c r="X33" s="44">
        <v>14.654</v>
      </c>
      <c r="Y33" s="44">
        <v>13.7761</v>
      </c>
      <c r="Z33" s="44">
        <v>14.3965</v>
      </c>
      <c r="AA33" s="44">
        <v>13.871648</v>
      </c>
      <c r="AB33" s="44">
        <v>13.781627</v>
      </c>
      <c r="AC33" s="44">
        <v>14.380983000000001</v>
      </c>
      <c r="AD33" s="44">
        <v>14.145649000000001</v>
      </c>
      <c r="AE33" s="44">
        <v>14.402048000000001</v>
      </c>
      <c r="AF33" s="44">
        <v>14.5839</v>
      </c>
      <c r="AG33" s="44">
        <v>14.056929999999999</v>
      </c>
      <c r="AH33" s="44">
        <v>15.150308000000001</v>
      </c>
      <c r="AI33" s="44">
        <v>14.871281</v>
      </c>
    </row>
    <row r="34" spans="2:41" ht="15.5" x14ac:dyDescent="0.35">
      <c r="B34" s="3"/>
    </row>
    <row r="35" spans="2:41" outlineLevel="1" x14ac:dyDescent="0.3">
      <c r="B35" s="37" t="s">
        <v>35</v>
      </c>
      <c r="C35" s="38"/>
      <c r="D35" s="38"/>
      <c r="E35" s="38"/>
      <c r="F35" s="63"/>
      <c r="G35" s="63"/>
      <c r="H35" s="39"/>
      <c r="I35" s="40"/>
      <c r="J35" s="40"/>
      <c r="K35" s="40"/>
      <c r="L35" s="40">
        <v>37922.455000000002</v>
      </c>
      <c r="M35" s="40">
        <v>55732.478156199999</v>
      </c>
      <c r="N35" s="40"/>
      <c r="O35" s="40"/>
      <c r="P35" s="40"/>
      <c r="Q35" s="40"/>
      <c r="R35" s="40"/>
      <c r="S35" s="40"/>
      <c r="T35" s="40"/>
      <c r="U35" s="40"/>
      <c r="V35" s="40"/>
      <c r="W35" s="40"/>
      <c r="X35" s="40"/>
      <c r="Y35" s="40"/>
      <c r="Z35" s="40"/>
    </row>
    <row r="36" spans="2:41" ht="14.5" outlineLevel="1" x14ac:dyDescent="0.3">
      <c r="B36" s="41" t="s">
        <v>21</v>
      </c>
      <c r="F36" s="42"/>
      <c r="G36" s="42"/>
      <c r="H36" s="42"/>
      <c r="J36" s="42"/>
      <c r="K36" s="42"/>
      <c r="L36" s="42"/>
      <c r="M36" s="42"/>
      <c r="N36" s="42"/>
      <c r="O36" s="42"/>
      <c r="P36" s="42"/>
      <c r="Q36" s="42"/>
      <c r="R36" s="42"/>
      <c r="S36" s="42"/>
      <c r="T36" s="42"/>
      <c r="U36" s="42"/>
      <c r="V36" s="42"/>
      <c r="W36" s="42"/>
      <c r="X36" s="42"/>
      <c r="Y36" s="42"/>
      <c r="Z36" s="42"/>
    </row>
    <row r="37" spans="2:41" outlineLevel="1" x14ac:dyDescent="0.3">
      <c r="B37" s="37" t="s">
        <v>36</v>
      </c>
      <c r="C37" s="38"/>
      <c r="D37" s="38"/>
      <c r="E37" s="38"/>
      <c r="F37" s="63"/>
      <c r="G37" s="63"/>
      <c r="H37" s="39"/>
      <c r="I37" s="64"/>
      <c r="J37" s="64"/>
      <c r="K37" s="64"/>
      <c r="L37" s="40">
        <v>30922.792000000001</v>
      </c>
      <c r="M37" s="40">
        <v>48412.299735537497</v>
      </c>
      <c r="N37" s="40"/>
      <c r="O37" s="40"/>
      <c r="P37" s="40"/>
      <c r="Q37" s="40"/>
      <c r="R37" s="40"/>
      <c r="S37" s="40"/>
      <c r="T37" s="40"/>
      <c r="U37" s="64"/>
      <c r="V37" s="64"/>
      <c r="W37" s="64"/>
      <c r="X37" s="64"/>
      <c r="Y37" s="64"/>
      <c r="Z37" s="64"/>
    </row>
    <row r="38" spans="2:41" ht="14.5" outlineLevel="1" x14ac:dyDescent="0.3">
      <c r="B38" s="41" t="s">
        <v>21</v>
      </c>
      <c r="F38" s="42"/>
      <c r="G38" s="42"/>
      <c r="H38" s="42"/>
      <c r="J38" s="42"/>
      <c r="K38" s="42"/>
      <c r="L38" s="42"/>
      <c r="M38" s="42"/>
      <c r="N38" s="42"/>
      <c r="O38" s="42"/>
      <c r="P38" s="42"/>
      <c r="Q38" s="42"/>
      <c r="R38" s="42"/>
      <c r="S38" s="42"/>
      <c r="T38" s="42"/>
      <c r="U38" s="42"/>
      <c r="V38" s="42"/>
      <c r="W38" s="42"/>
      <c r="X38" s="42"/>
      <c r="Y38" s="42"/>
      <c r="Z38" s="42"/>
    </row>
    <row r="39" spans="2:41" ht="15.5" x14ac:dyDescent="0.35">
      <c r="B39" s="3"/>
    </row>
    <row r="40" spans="2:41" ht="16.5" x14ac:dyDescent="0.35">
      <c r="B40" s="27" t="s">
        <v>4</v>
      </c>
      <c r="C40" s="30"/>
      <c r="D40" s="30"/>
      <c r="E40" s="30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  <c r="Z40" s="30"/>
      <c r="AA40" s="30"/>
      <c r="AB40" s="30"/>
      <c r="AC40" s="30"/>
      <c r="AD40" s="30"/>
      <c r="AE40" s="30"/>
      <c r="AF40" s="30"/>
      <c r="AG40" s="30"/>
      <c r="AH40" s="30"/>
      <c r="AI40" s="30"/>
    </row>
    <row r="41" spans="2:41" ht="16.5" x14ac:dyDescent="0.35">
      <c r="B41" s="32"/>
    </row>
    <row r="42" spans="2:41" ht="17" x14ac:dyDescent="0.6">
      <c r="F42" s="35" t="s">
        <v>33</v>
      </c>
      <c r="G42" s="35" t="s">
        <v>32</v>
      </c>
      <c r="I42" s="35" t="s">
        <v>13</v>
      </c>
      <c r="J42" s="35" t="s">
        <v>6</v>
      </c>
      <c r="K42" s="35" t="s">
        <v>1</v>
      </c>
      <c r="L42" s="35" t="s">
        <v>31</v>
      </c>
      <c r="M42" s="35" t="s">
        <v>34</v>
      </c>
      <c r="N42" s="35"/>
      <c r="O42" s="36">
        <v>43101</v>
      </c>
      <c r="P42" s="36">
        <v>43132</v>
      </c>
      <c r="Q42" s="36">
        <v>43160</v>
      </c>
      <c r="R42" s="36">
        <v>43191</v>
      </c>
      <c r="S42" s="36">
        <v>43221</v>
      </c>
      <c r="T42" s="36">
        <v>43252</v>
      </c>
      <c r="U42" s="36">
        <v>43282</v>
      </c>
      <c r="V42" s="36">
        <v>43313</v>
      </c>
      <c r="W42" s="36">
        <v>43344</v>
      </c>
      <c r="X42" s="36">
        <v>43374</v>
      </c>
      <c r="Y42" s="36">
        <v>43405</v>
      </c>
      <c r="Z42" s="36">
        <v>43435</v>
      </c>
      <c r="AA42" s="36">
        <v>43466</v>
      </c>
      <c r="AB42" s="36">
        <v>43497</v>
      </c>
      <c r="AC42" s="36">
        <v>43525</v>
      </c>
      <c r="AD42" s="36">
        <v>43556</v>
      </c>
      <c r="AE42" s="36">
        <v>43586</v>
      </c>
      <c r="AF42" s="36">
        <v>43617</v>
      </c>
      <c r="AG42" s="36">
        <v>43647</v>
      </c>
      <c r="AH42" s="36">
        <v>43678</v>
      </c>
      <c r="AI42" s="36">
        <v>43709</v>
      </c>
      <c r="AJ42" s="36"/>
      <c r="AK42" s="36"/>
      <c r="AL42" s="36"/>
      <c r="AM42" s="36"/>
      <c r="AN42" s="36"/>
      <c r="AO42" s="36"/>
    </row>
    <row r="43" spans="2:41" x14ac:dyDescent="0.3">
      <c r="B43" s="37" t="s">
        <v>22</v>
      </c>
      <c r="C43" s="38"/>
      <c r="D43" s="38"/>
      <c r="E43" s="38"/>
      <c r="F43" s="63">
        <v>156558</v>
      </c>
      <c r="G43" s="63"/>
      <c r="H43" s="45"/>
      <c r="I43" s="40">
        <f>SUM(U43:W43)</f>
        <v>44234.777870423313</v>
      </c>
      <c r="J43" s="40">
        <f>SUM(X43:Z43)</f>
        <v>42510.471423788826</v>
      </c>
      <c r="K43" s="40">
        <f>SUM(AA43:AC43)</f>
        <v>44739.715001780845</v>
      </c>
      <c r="L43" s="40">
        <f>L59/L$33</f>
        <v>46691.153123776057</v>
      </c>
      <c r="M43" s="40">
        <f>M59/M$33</f>
        <v>59530.42569329519</v>
      </c>
      <c r="N43" s="46"/>
      <c r="O43" s="46"/>
      <c r="P43" s="46"/>
      <c r="Q43" s="46"/>
      <c r="R43" s="46"/>
      <c r="S43" s="40"/>
      <c r="T43" s="40"/>
      <c r="U43" s="40">
        <v>15094.626203712141</v>
      </c>
      <c r="V43" s="40">
        <v>15069.387266276441</v>
      </c>
      <c r="W43" s="40">
        <v>14070.764400434729</v>
      </c>
      <c r="X43" s="40">
        <v>15585.505663982531</v>
      </c>
      <c r="Y43" s="40">
        <v>17706.752999760454</v>
      </c>
      <c r="Z43" s="40">
        <v>9218.2127600458443</v>
      </c>
      <c r="AA43" s="40">
        <v>10220.126692949532</v>
      </c>
      <c r="AB43" s="40">
        <v>16593.831773273214</v>
      </c>
      <c r="AC43" s="40">
        <v>17925.756535558103</v>
      </c>
      <c r="AD43" s="40"/>
      <c r="AE43" s="40"/>
      <c r="AF43" s="40"/>
    </row>
    <row r="44" spans="2:41" ht="14.5" x14ac:dyDescent="0.3">
      <c r="B44" s="41" t="s">
        <v>21</v>
      </c>
      <c r="F44" s="42">
        <v>-0.4</v>
      </c>
      <c r="G44" s="42"/>
      <c r="H44" s="42"/>
      <c r="J44" s="42">
        <f t="shared" ref="J44:M44" si="2">(J43-I43)/I43</f>
        <v>-3.898078682988957E-2</v>
      </c>
      <c r="K44" s="42">
        <f t="shared" si="2"/>
        <v>5.2439869597506669E-2</v>
      </c>
      <c r="L44" s="42">
        <f t="shared" si="2"/>
        <v>4.3617580530352862E-2</v>
      </c>
      <c r="M44" s="42">
        <f t="shared" si="2"/>
        <v>0.27498298308210173</v>
      </c>
      <c r="N44" s="42"/>
      <c r="O44" s="42"/>
      <c r="P44" s="42"/>
      <c r="Q44" s="42"/>
      <c r="R44" s="42"/>
      <c r="S44" s="42"/>
      <c r="T44" s="42"/>
      <c r="U44" s="42"/>
      <c r="V44" s="42">
        <f t="shared" ref="V44:AC44" si="3">(V43-U43)/U43</f>
        <v>-1.6720478596213208E-3</v>
      </c>
      <c r="W44" s="42">
        <f t="shared" si="3"/>
        <v>-6.6268312586040878E-2</v>
      </c>
      <c r="X44" s="42">
        <f t="shared" si="3"/>
        <v>0.10765166841262738</v>
      </c>
      <c r="Y44" s="42">
        <f t="shared" si="3"/>
        <v>0.13610385068737552</v>
      </c>
      <c r="Z44" s="42">
        <f t="shared" si="3"/>
        <v>-0.47939564299730431</v>
      </c>
      <c r="AA44" s="42">
        <f t="shared" si="3"/>
        <v>0.10868852335956555</v>
      </c>
      <c r="AB44" s="42">
        <f t="shared" si="3"/>
        <v>0.62364247252635852</v>
      </c>
      <c r="AC44" s="42">
        <f t="shared" si="3"/>
        <v>8.0266256792487667E-2</v>
      </c>
      <c r="AD44" s="42"/>
      <c r="AE44" s="42"/>
      <c r="AF44" s="42"/>
    </row>
    <row r="45" spans="2:41" x14ac:dyDescent="0.3">
      <c r="B45" s="37" t="s">
        <v>23</v>
      </c>
      <c r="C45" s="38"/>
      <c r="D45" s="38"/>
      <c r="E45" s="38"/>
      <c r="F45" s="63">
        <v>33533</v>
      </c>
      <c r="G45" s="63"/>
      <c r="H45" s="45"/>
      <c r="I45" s="40">
        <f>SUM(U45:W45)</f>
        <v>11097.430810445578</v>
      </c>
      <c r="J45" s="40">
        <f>SUM(X45:Z45)</f>
        <v>11303.463685918377</v>
      </c>
      <c r="K45" s="40">
        <f>SUM(AA45:AC45)</f>
        <v>11677.189164644547</v>
      </c>
      <c r="L45" s="40">
        <f>L61/L$33</f>
        <v>16775.938066935014</v>
      </c>
      <c r="M45" s="40">
        <f>M61/M$33</f>
        <v>18714.762172476803</v>
      </c>
      <c r="N45" s="46"/>
      <c r="O45" s="46"/>
      <c r="P45" s="46"/>
      <c r="Q45" s="46"/>
      <c r="R45" s="46"/>
      <c r="S45" s="40"/>
      <c r="T45" s="40"/>
      <c r="U45" s="40">
        <v>4480.3153194203951</v>
      </c>
      <c r="V45" s="40">
        <v>4072.6657584694381</v>
      </c>
      <c r="W45" s="40">
        <v>2544.449732555744</v>
      </c>
      <c r="X45" s="40">
        <v>3689.7775351439882</v>
      </c>
      <c r="Y45" s="40">
        <v>3538.7373785033501</v>
      </c>
      <c r="Z45" s="40">
        <v>4074.9487722710383</v>
      </c>
      <c r="AA45" s="40">
        <v>3314.6746514905799</v>
      </c>
      <c r="AB45" s="40">
        <v>4807.1247320798911</v>
      </c>
      <c r="AC45" s="40">
        <v>3555.3897810740755</v>
      </c>
      <c r="AD45" s="40"/>
      <c r="AE45" s="40"/>
      <c r="AF45" s="40"/>
    </row>
    <row r="46" spans="2:41" ht="14.5" x14ac:dyDescent="0.3">
      <c r="B46" s="41" t="s">
        <v>21</v>
      </c>
      <c r="F46" s="42">
        <v>-0.37</v>
      </c>
      <c r="G46" s="42"/>
      <c r="H46" s="42"/>
      <c r="J46" s="42">
        <f t="shared" ref="J46:M46" si="4">(J45-I45)/I45</f>
        <v>1.856581752948341E-2</v>
      </c>
      <c r="K46" s="42">
        <f t="shared" si="4"/>
        <v>3.3062916740445626E-2</v>
      </c>
      <c r="L46" s="42">
        <f t="shared" si="4"/>
        <v>0.4366418005566044</v>
      </c>
      <c r="M46" s="42">
        <f t="shared" si="4"/>
        <v>0.11557172527735822</v>
      </c>
      <c r="N46" s="42"/>
      <c r="O46" s="42"/>
      <c r="P46" s="42"/>
      <c r="Q46" s="42"/>
      <c r="R46" s="42"/>
      <c r="S46" s="42"/>
      <c r="T46" s="42"/>
      <c r="U46" s="42"/>
      <c r="V46" s="42">
        <f t="shared" ref="V46:AC46" si="5">(V45-U45)/U45</f>
        <v>-9.0986801572638734E-2</v>
      </c>
      <c r="W46" s="42">
        <f t="shared" si="5"/>
        <v>-0.37523728106968884</v>
      </c>
      <c r="X46" s="42">
        <f t="shared" si="5"/>
        <v>0.45012789521207497</v>
      </c>
      <c r="Y46" s="42">
        <f t="shared" si="5"/>
        <v>-4.0934759671017396E-2</v>
      </c>
      <c r="Z46" s="42">
        <f t="shared" si="5"/>
        <v>0.15152619039349843</v>
      </c>
      <c r="AA46" s="42">
        <f t="shared" si="5"/>
        <v>-0.1865726818344135</v>
      </c>
      <c r="AB46" s="42">
        <f t="shared" si="5"/>
        <v>0.45025537571784596</v>
      </c>
      <c r="AC46" s="42">
        <f t="shared" si="5"/>
        <v>-0.26039161053019516</v>
      </c>
      <c r="AD46" s="42"/>
      <c r="AE46" s="42"/>
      <c r="AF46" s="42"/>
    </row>
    <row r="47" spans="2:41" x14ac:dyDescent="0.3">
      <c r="B47" s="37" t="s">
        <v>24</v>
      </c>
      <c r="C47" s="38"/>
      <c r="D47" s="38"/>
      <c r="E47" s="38"/>
      <c r="F47" s="66">
        <v>5595</v>
      </c>
      <c r="G47" s="66"/>
      <c r="H47" s="40"/>
      <c r="I47" s="46">
        <f>SUM(U47:W47)</f>
        <v>1364</v>
      </c>
      <c r="J47" s="46">
        <f>SUM(X47:Z47)</f>
        <v>1295</v>
      </c>
      <c r="K47" s="46">
        <f>SUM(AA47:AC47)</f>
        <v>1422</v>
      </c>
      <c r="L47" s="46">
        <v>1643</v>
      </c>
      <c r="M47" s="46">
        <v>2235</v>
      </c>
      <c r="N47" s="40"/>
      <c r="O47" s="40"/>
      <c r="P47" s="40"/>
      <c r="Q47" s="40"/>
      <c r="R47" s="40"/>
      <c r="S47" s="47"/>
      <c r="T47" s="47"/>
      <c r="U47" s="46">
        <v>398</v>
      </c>
      <c r="V47" s="46">
        <v>472</v>
      </c>
      <c r="W47" s="46">
        <v>494</v>
      </c>
      <c r="X47" s="46">
        <v>513</v>
      </c>
      <c r="Y47" s="46">
        <v>501</v>
      </c>
      <c r="Z47" s="46">
        <v>281</v>
      </c>
      <c r="AA47" s="46">
        <v>376</v>
      </c>
      <c r="AB47" s="46">
        <v>503</v>
      </c>
      <c r="AC47" s="46">
        <v>543</v>
      </c>
      <c r="AD47" s="46"/>
      <c r="AE47" s="46"/>
      <c r="AF47" s="46"/>
    </row>
    <row r="48" spans="2:41" ht="14.5" x14ac:dyDescent="0.3">
      <c r="B48" s="41" t="s">
        <v>21</v>
      </c>
      <c r="F48" s="42">
        <v>-0.24</v>
      </c>
      <c r="G48" s="42"/>
      <c r="H48" s="42"/>
      <c r="J48" s="42">
        <f t="shared" ref="J48:M48" si="6">(J47-I47)/I47</f>
        <v>-5.0586510263929615E-2</v>
      </c>
      <c r="K48" s="42">
        <f t="shared" si="6"/>
        <v>9.8069498069498065E-2</v>
      </c>
      <c r="L48" s="42">
        <f t="shared" si="6"/>
        <v>0.15541490857946555</v>
      </c>
      <c r="M48" s="42">
        <f t="shared" si="6"/>
        <v>0.36031649421789408</v>
      </c>
      <c r="N48" s="42"/>
      <c r="O48" s="42"/>
      <c r="P48" s="42"/>
      <c r="Q48" s="42"/>
      <c r="R48" s="42"/>
      <c r="S48" s="42"/>
      <c r="T48" s="42"/>
      <c r="U48" s="42"/>
      <c r="V48" s="42">
        <f t="shared" ref="V48:AC48" si="7">(V47-U47)/U47</f>
        <v>0.18592964824120603</v>
      </c>
      <c r="W48" s="42">
        <f t="shared" si="7"/>
        <v>4.6610169491525424E-2</v>
      </c>
      <c r="X48" s="42">
        <f t="shared" si="7"/>
        <v>3.8461538461538464E-2</v>
      </c>
      <c r="Y48" s="42">
        <f t="shared" si="7"/>
        <v>-2.3391812865497075E-2</v>
      </c>
      <c r="Z48" s="42">
        <f t="shared" si="7"/>
        <v>-0.43912175648702595</v>
      </c>
      <c r="AA48" s="42">
        <f t="shared" si="7"/>
        <v>0.33807829181494664</v>
      </c>
      <c r="AB48" s="42">
        <f t="shared" si="7"/>
        <v>0.33776595744680848</v>
      </c>
      <c r="AC48" s="42">
        <f t="shared" si="7"/>
        <v>7.9522862823061632E-2</v>
      </c>
      <c r="AD48" s="42"/>
      <c r="AE48" s="42"/>
      <c r="AF48" s="42"/>
    </row>
    <row r="49" spans="1:32" x14ac:dyDescent="0.3">
      <c r="A49" s="2" t="s">
        <v>0</v>
      </c>
      <c r="B49" s="37" t="s">
        <v>25</v>
      </c>
      <c r="C49" s="38"/>
      <c r="D49" s="38"/>
      <c r="E49" s="38"/>
      <c r="F49" s="66">
        <v>852</v>
      </c>
      <c r="G49" s="63"/>
      <c r="H49" s="40"/>
      <c r="I49" s="46">
        <f>SUM(U49:W49)</f>
        <v>230</v>
      </c>
      <c r="J49" s="46">
        <f>SUM(X49:Z49)</f>
        <v>258</v>
      </c>
      <c r="K49" s="46">
        <f>SUM(AA49:AC49)</f>
        <v>303</v>
      </c>
      <c r="L49" s="46">
        <v>570</v>
      </c>
      <c r="M49" s="46">
        <v>650</v>
      </c>
      <c r="N49" s="40"/>
      <c r="O49" s="40"/>
      <c r="P49" s="40"/>
      <c r="Q49" s="40"/>
      <c r="R49" s="40"/>
      <c r="S49" s="47"/>
      <c r="T49" s="47"/>
      <c r="U49" s="46">
        <v>80</v>
      </c>
      <c r="V49" s="46">
        <v>75</v>
      </c>
      <c r="W49" s="46">
        <v>75</v>
      </c>
      <c r="X49" s="46">
        <v>77</v>
      </c>
      <c r="Y49" s="46">
        <v>92</v>
      </c>
      <c r="Z49" s="46">
        <v>89</v>
      </c>
      <c r="AA49" s="46">
        <v>90</v>
      </c>
      <c r="AB49" s="46">
        <v>114</v>
      </c>
      <c r="AC49" s="46">
        <v>99</v>
      </c>
      <c r="AD49" s="46"/>
      <c r="AE49" s="46"/>
      <c r="AF49" s="46"/>
    </row>
    <row r="50" spans="1:32" ht="14.5" x14ac:dyDescent="0.3">
      <c r="B50" s="41" t="s">
        <v>21</v>
      </c>
      <c r="F50" s="42">
        <v>-0.36</v>
      </c>
      <c r="G50" s="42"/>
      <c r="H50" s="42"/>
      <c r="J50" s="42">
        <f t="shared" ref="J50:M50" si="8">(J49-I49)/I49</f>
        <v>0.12173913043478261</v>
      </c>
      <c r="K50" s="42">
        <f t="shared" si="8"/>
        <v>0.1744186046511628</v>
      </c>
      <c r="L50" s="42">
        <f t="shared" si="8"/>
        <v>0.88118811881188119</v>
      </c>
      <c r="M50" s="42">
        <f t="shared" si="8"/>
        <v>0.14035087719298245</v>
      </c>
      <c r="N50" s="42"/>
      <c r="O50" s="42"/>
      <c r="P50" s="42"/>
      <c r="Q50" s="42"/>
      <c r="R50" s="42"/>
      <c r="S50" s="67"/>
      <c r="T50" s="67"/>
      <c r="U50" s="42"/>
      <c r="V50" s="42">
        <f t="shared" ref="V50:AC50" si="9">(V49-U49)/U49</f>
        <v>-6.25E-2</v>
      </c>
      <c r="W50" s="42">
        <f t="shared" si="9"/>
        <v>0</v>
      </c>
      <c r="X50" s="42">
        <f t="shared" si="9"/>
        <v>2.6666666666666668E-2</v>
      </c>
      <c r="Y50" s="42">
        <f t="shared" si="9"/>
        <v>0.19480519480519481</v>
      </c>
      <c r="Z50" s="42">
        <f t="shared" si="9"/>
        <v>-3.2608695652173912E-2</v>
      </c>
      <c r="AA50" s="42">
        <f t="shared" si="9"/>
        <v>1.1235955056179775E-2</v>
      </c>
      <c r="AB50" s="42">
        <f t="shared" si="9"/>
        <v>0.26666666666666666</v>
      </c>
      <c r="AC50" s="42">
        <f t="shared" si="9"/>
        <v>-0.13157894736842105</v>
      </c>
      <c r="AD50" s="42"/>
      <c r="AE50" s="42"/>
      <c r="AF50" s="42"/>
    </row>
    <row r="51" spans="1:32" x14ac:dyDescent="0.3">
      <c r="B51" s="48" t="s">
        <v>26</v>
      </c>
      <c r="C51" s="38"/>
      <c r="D51" s="38"/>
      <c r="E51" s="38"/>
      <c r="F51" s="63">
        <v>32</v>
      </c>
      <c r="G51" s="63"/>
      <c r="H51" s="68"/>
      <c r="I51" s="40">
        <f>AVERAGE(U51:W51)</f>
        <v>34.268493314925927</v>
      </c>
      <c r="J51" s="40">
        <f>AVERAGE(X51:Z51)</f>
        <v>31.063075877641392</v>
      </c>
      <c r="K51" s="40">
        <f>AVERAGE(AA51:AC51)</f>
        <v>35.860287560226197</v>
      </c>
      <c r="L51" s="40">
        <f>L63/L$33</f>
        <v>27.752276364819046</v>
      </c>
      <c r="M51" s="40">
        <f>M63/M$33</f>
        <v>27.20820216305362</v>
      </c>
      <c r="N51" s="69"/>
      <c r="O51" s="69"/>
      <c r="P51" s="69"/>
      <c r="Q51" s="69"/>
      <c r="R51" s="69"/>
      <c r="S51" s="40"/>
      <c r="T51" s="40"/>
      <c r="U51" s="40">
        <v>31.42484052143773</v>
      </c>
      <c r="V51" s="40">
        <v>30.615979616909033</v>
      </c>
      <c r="W51" s="40">
        <v>40.764659806431006</v>
      </c>
      <c r="X51" s="40">
        <v>28.986918626692749</v>
      </c>
      <c r="Y51" s="40">
        <v>32.780198003374373</v>
      </c>
      <c r="Z51" s="40">
        <v>31.422111002857054</v>
      </c>
      <c r="AA51" s="40">
        <v>34.427065728386751</v>
      </c>
      <c r="AB51" s="40">
        <v>33.085189574168844</v>
      </c>
      <c r="AC51" s="40">
        <v>40.068607378123005</v>
      </c>
      <c r="AD51" s="40"/>
      <c r="AE51" s="40"/>
      <c r="AF51" s="40"/>
    </row>
    <row r="52" spans="1:32" ht="14.5" x14ac:dyDescent="0.3">
      <c r="B52" s="41" t="s">
        <v>21</v>
      </c>
      <c r="F52" s="42">
        <v>-0.01</v>
      </c>
      <c r="G52" s="42"/>
      <c r="H52" s="42"/>
      <c r="J52" s="42">
        <f t="shared" ref="J52:M52" si="10">(J51-I51)/I51</f>
        <v>-9.353832419263057E-2</v>
      </c>
      <c r="K52" s="42">
        <f t="shared" si="10"/>
        <v>0.15443453512077168</v>
      </c>
      <c r="L52" s="42">
        <f t="shared" si="10"/>
        <v>-0.22610000496482377</v>
      </c>
      <c r="M52" s="42">
        <f t="shared" si="10"/>
        <v>-1.9604669347237289E-2</v>
      </c>
      <c r="N52" s="42"/>
      <c r="O52" s="42"/>
      <c r="P52" s="42"/>
      <c r="Q52" s="42"/>
      <c r="R52" s="42"/>
      <c r="S52" s="42"/>
      <c r="T52" s="42"/>
      <c r="U52" s="42"/>
      <c r="V52" s="42">
        <f t="shared" ref="V52" si="11">(V51-U51)/U51</f>
        <v>-2.5739538884116189E-2</v>
      </c>
      <c r="W52" s="42">
        <f t="shared" ref="W52" si="12">(W51-V51)/V51</f>
        <v>0.33148311164660277</v>
      </c>
      <c r="X52" s="42">
        <f t="shared" ref="X52" si="13">(X51-W51)/W51</f>
        <v>-0.28892038436391437</v>
      </c>
      <c r="Y52" s="42">
        <f t="shared" ref="Y52" si="14">(Y51-X51)/X51</f>
        <v>0.13086176649312992</v>
      </c>
      <c r="Z52" s="42">
        <f t="shared" ref="Z52" si="15">(Z51-Y51)/Y51</f>
        <v>-4.1430103636882189E-2</v>
      </c>
      <c r="AA52" s="42">
        <f t="shared" ref="AA52" si="16">(AA51-Z51)/Z51</f>
        <v>9.5631853800544175E-2</v>
      </c>
      <c r="AB52" s="42">
        <f t="shared" ref="AB52" si="17">(AB51-AA51)/AA51</f>
        <v>-3.8977360568707028E-2</v>
      </c>
      <c r="AC52" s="42">
        <f t="shared" ref="AC52" si="18">(AC51-AB51)/AB51</f>
        <v>0.21107383375570687</v>
      </c>
      <c r="AD52" s="42"/>
      <c r="AE52" s="42"/>
      <c r="AF52" s="42"/>
    </row>
    <row r="53" spans="1:32" x14ac:dyDescent="0.3">
      <c r="B53" s="48" t="s">
        <v>27</v>
      </c>
      <c r="C53" s="38"/>
      <c r="D53" s="38"/>
      <c r="E53" s="38"/>
      <c r="F53" s="63">
        <v>2933</v>
      </c>
      <c r="G53" s="63"/>
      <c r="H53" s="43"/>
      <c r="I53" s="40">
        <f>SUM(U53:W53)</f>
        <v>354.62211021321605</v>
      </c>
      <c r="J53" s="40">
        <f>SUM(X53:Z53)</f>
        <v>264.74628444114359</v>
      </c>
      <c r="K53" s="40">
        <f>10830.349/K33</f>
        <v>772.96587464443883</v>
      </c>
      <c r="L53" s="40">
        <f>L65/L$33</f>
        <v>808.39438892095745</v>
      </c>
      <c r="M53" s="40">
        <f>M65/M$33</f>
        <v>871.0834862668595</v>
      </c>
      <c r="N53" s="43"/>
      <c r="O53" s="43"/>
      <c r="P53" s="43"/>
      <c r="Q53" s="43"/>
      <c r="R53" s="43"/>
      <c r="S53" s="40"/>
      <c r="T53" s="40"/>
      <c r="U53" s="40">
        <v>103.40307421246089</v>
      </c>
      <c r="V53" s="40">
        <v>134.16970763035374</v>
      </c>
      <c r="W53" s="40">
        <v>117.04932837040141</v>
      </c>
      <c r="X53" s="40">
        <v>90.436806332741909</v>
      </c>
      <c r="Y53" s="40">
        <v>112.55675626628727</v>
      </c>
      <c r="Z53" s="40">
        <v>61.752721842114404</v>
      </c>
      <c r="AA53" s="40">
        <v>135.15647167517517</v>
      </c>
      <c r="AB53" s="40">
        <v>132.49894225115801</v>
      </c>
      <c r="AC53" s="40">
        <v>140.39707855853803</v>
      </c>
      <c r="AD53" s="40"/>
      <c r="AE53" s="40"/>
      <c r="AF53" s="40"/>
    </row>
    <row r="54" spans="1:32" ht="14.5" x14ac:dyDescent="0.3">
      <c r="B54" s="41" t="s">
        <v>21</v>
      </c>
      <c r="F54" s="42">
        <v>-0.41</v>
      </c>
      <c r="G54" s="42"/>
      <c r="H54" s="42"/>
      <c r="J54" s="42">
        <f t="shared" ref="J54:M54" si="19">(J53-I53)/I53</f>
        <v>-0.25344112277160258</v>
      </c>
      <c r="K54" s="42">
        <f t="shared" si="19"/>
        <v>1.919647678063179</v>
      </c>
      <c r="L54" s="42">
        <f t="shared" si="19"/>
        <v>4.5834512801507049E-2</v>
      </c>
      <c r="M54" s="42">
        <f t="shared" si="19"/>
        <v>7.7547665106358882E-2</v>
      </c>
      <c r="N54" s="42"/>
      <c r="O54" s="42"/>
      <c r="P54" s="42"/>
      <c r="Q54" s="42"/>
      <c r="R54" s="42"/>
      <c r="S54" s="42"/>
      <c r="T54" s="42"/>
      <c r="U54" s="42"/>
      <c r="V54" s="42">
        <f t="shared" ref="V54:AC54" si="20">(V53-U53)/U53</f>
        <v>0.29754079994446841</v>
      </c>
      <c r="W54" s="42">
        <f t="shared" si="20"/>
        <v>-0.12760241907301526</v>
      </c>
      <c r="X54" s="42">
        <f t="shared" si="20"/>
        <v>-0.22736159539031653</v>
      </c>
      <c r="Y54" s="42">
        <f t="shared" si="20"/>
        <v>0.24459012685786327</v>
      </c>
      <c r="Z54" s="42">
        <f t="shared" si="20"/>
        <v>-0.45136370404971921</v>
      </c>
      <c r="AA54" s="42">
        <f t="shared" si="20"/>
        <v>1.1886722988621459</v>
      </c>
      <c r="AB54" s="42">
        <f t="shared" si="20"/>
        <v>-1.9662613199936594E-2</v>
      </c>
      <c r="AC54" s="42">
        <f t="shared" si="20"/>
        <v>5.9609051764418788E-2</v>
      </c>
      <c r="AD54" s="42"/>
      <c r="AE54" s="42"/>
      <c r="AF54" s="42"/>
    </row>
    <row r="55" spans="1:32" x14ac:dyDescent="0.3">
      <c r="B55" s="48" t="s">
        <v>28</v>
      </c>
      <c r="C55" s="38"/>
      <c r="D55" s="38"/>
      <c r="E55" s="38"/>
      <c r="F55" s="63">
        <v>9411</v>
      </c>
      <c r="G55" s="63"/>
      <c r="H55" s="43"/>
      <c r="I55" s="40">
        <f>SUM(U55:W55)</f>
        <v>2550.1544107828713</v>
      </c>
      <c r="J55" s="40">
        <f>SUM(X55:Z55)</f>
        <v>2390.210034546853</v>
      </c>
      <c r="K55" s="40">
        <f>SUM(AA55:AC55)</f>
        <v>2380.8175496525491</v>
      </c>
      <c r="L55" s="40">
        <f>L67/L$33</f>
        <v>2637.6803298055488</v>
      </c>
      <c r="M55" s="40">
        <f>M67/M$33</f>
        <v>2683.4633715801569</v>
      </c>
      <c r="N55" s="43"/>
      <c r="O55" s="43"/>
      <c r="P55" s="43"/>
      <c r="Q55" s="43"/>
      <c r="R55" s="43"/>
      <c r="S55" s="40"/>
      <c r="T55" s="40"/>
      <c r="U55" s="40">
        <v>852.31008308271805</v>
      </c>
      <c r="V55" s="40">
        <v>851.07002934175659</v>
      </c>
      <c r="W55" s="40">
        <v>846.77429835839666</v>
      </c>
      <c r="X55" s="40">
        <v>788.45552613620862</v>
      </c>
      <c r="Y55" s="40">
        <v>820.96726359419574</v>
      </c>
      <c r="Z55" s="40">
        <v>780.78724481644849</v>
      </c>
      <c r="AA55" s="40">
        <v>740.00593080216561</v>
      </c>
      <c r="AB55" s="40">
        <v>841.03298688899361</v>
      </c>
      <c r="AC55" s="40">
        <v>799.77863196138969</v>
      </c>
      <c r="AD55" s="40"/>
      <c r="AE55" s="40"/>
      <c r="AF55" s="40"/>
    </row>
    <row r="56" spans="1:32" ht="14.5" x14ac:dyDescent="0.3">
      <c r="B56" s="41" t="s">
        <v>21</v>
      </c>
      <c r="F56" s="42">
        <v>-0.16</v>
      </c>
      <c r="G56" s="42"/>
      <c r="H56" s="42"/>
      <c r="J56" s="42">
        <f t="shared" ref="J56:M56" si="21">(J55-I55)/I55</f>
        <v>-6.271948692978048E-2</v>
      </c>
      <c r="K56" s="42">
        <f t="shared" si="21"/>
        <v>-3.92956466525943E-3</v>
      </c>
      <c r="L56" s="42">
        <f t="shared" si="21"/>
        <v>0.10788847729658479</v>
      </c>
      <c r="M56" s="42">
        <f t="shared" si="21"/>
        <v>1.7357312505713415E-2</v>
      </c>
      <c r="N56" s="42"/>
      <c r="O56" s="42"/>
      <c r="P56" s="42"/>
      <c r="Q56" s="42"/>
      <c r="R56" s="42"/>
      <c r="S56" s="42"/>
      <c r="T56" s="42"/>
      <c r="U56" s="42"/>
      <c r="V56" s="42">
        <f t="shared" ref="V56:AC56" si="22">(V55-U55)/U55</f>
        <v>-1.4549326185093459E-3</v>
      </c>
      <c r="W56" s="42">
        <f t="shared" si="22"/>
        <v>-5.047447137437538E-3</v>
      </c>
      <c r="X56" s="42">
        <f t="shared" si="22"/>
        <v>-6.88716843853764E-2</v>
      </c>
      <c r="Y56" s="42">
        <f t="shared" si="22"/>
        <v>4.1234713157899283E-2</v>
      </c>
      <c r="Z56" s="42">
        <f t="shared" si="22"/>
        <v>-4.8942291074846364E-2</v>
      </c>
      <c r="AA56" s="42">
        <f t="shared" si="22"/>
        <v>-5.2231019762457781E-2</v>
      </c>
      <c r="AB56" s="42">
        <f t="shared" si="22"/>
        <v>0.13652195459746488</v>
      </c>
      <c r="AC56" s="42">
        <f t="shared" si="22"/>
        <v>-4.905200577233601E-2</v>
      </c>
      <c r="AD56" s="42"/>
      <c r="AE56" s="42"/>
      <c r="AF56" s="42"/>
    </row>
    <row r="59" spans="1:32" outlineLevel="1" x14ac:dyDescent="0.3">
      <c r="B59" s="37" t="s">
        <v>41</v>
      </c>
      <c r="C59" s="38"/>
      <c r="D59" s="38"/>
      <c r="E59" s="38"/>
      <c r="F59" s="63"/>
      <c r="G59" s="63"/>
      <c r="H59" s="45"/>
      <c r="I59" s="63"/>
      <c r="J59" s="63"/>
      <c r="K59" s="63"/>
      <c r="L59" s="40">
        <v>671288</v>
      </c>
      <c r="M59" s="40">
        <v>874671</v>
      </c>
      <c r="N59" s="46"/>
      <c r="O59" s="46"/>
      <c r="P59" s="46"/>
      <c r="Q59" s="46"/>
      <c r="R59" s="46"/>
      <c r="S59" s="40"/>
      <c r="T59" s="40"/>
      <c r="U59" s="40"/>
      <c r="V59" s="40"/>
      <c r="W59" s="40"/>
      <c r="X59" s="40"/>
      <c r="Y59" s="40"/>
      <c r="Z59" s="40"/>
      <c r="AA59" s="40"/>
      <c r="AB59" s="40"/>
      <c r="AC59" s="40"/>
      <c r="AD59" s="40"/>
      <c r="AE59" s="40"/>
      <c r="AF59" s="40"/>
    </row>
    <row r="60" spans="1:32" ht="14.5" outlineLevel="1" x14ac:dyDescent="0.3">
      <c r="B60" s="41" t="s">
        <v>21</v>
      </c>
      <c r="F60" s="42"/>
      <c r="G60" s="42"/>
      <c r="H60" s="42"/>
      <c r="J60" s="42"/>
      <c r="K60" s="42"/>
      <c r="L60" s="42"/>
      <c r="M60" s="42">
        <f t="shared" ref="M60" si="23">(M59-L59)/L59</f>
        <v>0.30297428227526785</v>
      </c>
      <c r="N60" s="42"/>
      <c r="O60" s="42"/>
      <c r="P60" s="42"/>
      <c r="Q60" s="42"/>
      <c r="R60" s="42"/>
      <c r="S60" s="42"/>
      <c r="T60" s="42"/>
      <c r="U60" s="42"/>
      <c r="V60" s="42"/>
      <c r="W60" s="42"/>
      <c r="X60" s="42"/>
      <c r="Y60" s="42"/>
      <c r="Z60" s="42"/>
      <c r="AA60" s="42"/>
      <c r="AB60" s="42"/>
      <c r="AC60" s="42"/>
      <c r="AD60" s="42"/>
      <c r="AE60" s="42"/>
      <c r="AF60" s="42"/>
    </row>
    <row r="61" spans="1:32" outlineLevel="1" x14ac:dyDescent="0.3">
      <c r="B61" s="37" t="s">
        <v>40</v>
      </c>
      <c r="C61" s="38"/>
      <c r="D61" s="38"/>
      <c r="E61" s="38"/>
      <c r="F61" s="63"/>
      <c r="G61" s="63"/>
      <c r="H61" s="45"/>
      <c r="I61" s="63"/>
      <c r="J61" s="63"/>
      <c r="K61" s="63"/>
      <c r="L61" s="40">
        <v>241191</v>
      </c>
      <c r="M61" s="40">
        <v>274973</v>
      </c>
      <c r="N61" s="46"/>
      <c r="O61" s="46"/>
      <c r="P61" s="46"/>
      <c r="Q61" s="46"/>
      <c r="R61" s="46"/>
      <c r="S61" s="40"/>
      <c r="T61" s="40"/>
      <c r="U61" s="40"/>
      <c r="V61" s="40"/>
      <c r="W61" s="40"/>
      <c r="X61" s="40"/>
      <c r="Y61" s="40"/>
      <c r="Z61" s="40"/>
      <c r="AA61" s="40"/>
      <c r="AB61" s="40"/>
      <c r="AC61" s="40"/>
      <c r="AD61" s="40"/>
      <c r="AE61" s="40"/>
      <c r="AF61" s="40"/>
    </row>
    <row r="62" spans="1:32" ht="14.5" outlineLevel="1" x14ac:dyDescent="0.3">
      <c r="B62" s="41" t="s">
        <v>21</v>
      </c>
      <c r="F62" s="42"/>
      <c r="G62" s="42"/>
      <c r="H62" s="42"/>
      <c r="J62" s="42"/>
      <c r="K62" s="42"/>
      <c r="L62" s="42"/>
      <c r="M62" s="42">
        <f t="shared" ref="M62" si="24">(M61-L61)/L61</f>
        <v>0.1400632693591386</v>
      </c>
      <c r="N62" s="42"/>
      <c r="O62" s="42"/>
      <c r="P62" s="42"/>
      <c r="Q62" s="42"/>
      <c r="R62" s="42"/>
      <c r="S62" s="42"/>
      <c r="T62" s="42"/>
      <c r="U62" s="42"/>
      <c r="V62" s="42"/>
      <c r="W62" s="42"/>
      <c r="X62" s="42"/>
      <c r="Y62" s="42"/>
      <c r="Z62" s="42"/>
      <c r="AA62" s="42"/>
      <c r="AB62" s="42"/>
      <c r="AC62" s="42"/>
      <c r="AD62" s="42"/>
      <c r="AE62" s="42"/>
      <c r="AF62" s="42"/>
    </row>
    <row r="63" spans="1:32" outlineLevel="1" x14ac:dyDescent="0.3">
      <c r="B63" s="48" t="s">
        <v>39</v>
      </c>
      <c r="C63" s="38"/>
      <c r="D63" s="38"/>
      <c r="E63" s="38"/>
      <c r="F63" s="63"/>
      <c r="G63" s="63"/>
      <c r="H63" s="68"/>
      <c r="I63" s="63"/>
      <c r="J63" s="63"/>
      <c r="K63" s="63"/>
      <c r="L63" s="40">
        <v>399</v>
      </c>
      <c r="M63" s="40">
        <v>399.76575200000002</v>
      </c>
      <c r="N63" s="69"/>
      <c r="O63" s="69"/>
      <c r="P63" s="69"/>
      <c r="Q63" s="69"/>
      <c r="R63" s="69"/>
      <c r="S63" s="40"/>
      <c r="T63" s="40"/>
      <c r="U63" s="40"/>
      <c r="V63" s="40"/>
      <c r="W63" s="40"/>
      <c r="X63" s="40"/>
      <c r="Y63" s="40"/>
      <c r="Z63" s="40"/>
      <c r="AA63" s="40"/>
      <c r="AB63" s="40"/>
      <c r="AC63" s="40"/>
      <c r="AD63" s="40"/>
      <c r="AE63" s="40"/>
      <c r="AF63" s="40"/>
    </row>
    <row r="64" spans="1:32" ht="14.5" outlineLevel="1" x14ac:dyDescent="0.3">
      <c r="B64" s="41" t="s">
        <v>21</v>
      </c>
      <c r="F64" s="42"/>
      <c r="G64" s="42"/>
      <c r="H64" s="42"/>
      <c r="J64" s="42"/>
      <c r="K64" s="42"/>
      <c r="L64" s="42"/>
      <c r="M64" s="42">
        <f t="shared" ref="M64" si="25">(M63-L63)/L63</f>
        <v>1.9191779448622065E-3</v>
      </c>
      <c r="N64" s="42"/>
      <c r="O64" s="42"/>
      <c r="P64" s="42"/>
      <c r="Q64" s="42"/>
      <c r="R64" s="42"/>
      <c r="S64" s="42"/>
      <c r="T64" s="42"/>
      <c r="U64" s="42"/>
      <c r="V64" s="42"/>
      <c r="W64" s="42"/>
      <c r="X64" s="42"/>
      <c r="Y64" s="42"/>
      <c r="Z64" s="42"/>
      <c r="AA64" s="42"/>
      <c r="AB64" s="42"/>
      <c r="AC64" s="42"/>
      <c r="AD64" s="42"/>
      <c r="AE64" s="42"/>
      <c r="AF64" s="42"/>
    </row>
    <row r="65" spans="2:41" outlineLevel="1" x14ac:dyDescent="0.3">
      <c r="B65" s="48" t="s">
        <v>38</v>
      </c>
      <c r="C65" s="38"/>
      <c r="D65" s="38"/>
      <c r="E65" s="38"/>
      <c r="F65" s="63"/>
      <c r="G65" s="63"/>
      <c r="H65" s="43"/>
      <c r="I65" s="63"/>
      <c r="J65" s="63"/>
      <c r="K65" s="63"/>
      <c r="L65" s="40">
        <v>11622.447</v>
      </c>
      <c r="M65" s="40">
        <v>12798.69</v>
      </c>
      <c r="N65" s="43"/>
      <c r="O65" s="43"/>
      <c r="P65" s="43"/>
      <c r="Q65" s="43"/>
      <c r="R65" s="43"/>
      <c r="S65" s="40"/>
      <c r="T65" s="40"/>
      <c r="U65" s="40"/>
      <c r="V65" s="40"/>
      <c r="W65" s="40"/>
      <c r="X65" s="40"/>
      <c r="Y65" s="40"/>
      <c r="Z65" s="40"/>
      <c r="AA65" s="40"/>
      <c r="AB65" s="40"/>
      <c r="AC65" s="40"/>
      <c r="AD65" s="40"/>
      <c r="AE65" s="40"/>
      <c r="AF65" s="40"/>
    </row>
    <row r="66" spans="2:41" ht="14.5" outlineLevel="1" x14ac:dyDescent="0.3">
      <c r="B66" s="41" t="s">
        <v>21</v>
      </c>
      <c r="F66" s="42"/>
      <c r="G66" s="42"/>
      <c r="H66" s="42"/>
      <c r="J66" s="42"/>
      <c r="K66" s="42"/>
      <c r="L66" s="42"/>
      <c r="M66" s="42">
        <f t="shared" ref="M66" si="26">(M65-L65)/L65</f>
        <v>0.10120441934473871</v>
      </c>
      <c r="N66" s="42"/>
      <c r="O66" s="42"/>
      <c r="P66" s="42"/>
      <c r="Q66" s="42"/>
      <c r="R66" s="42"/>
      <c r="S66" s="42"/>
      <c r="T66" s="42"/>
      <c r="U66" s="42"/>
      <c r="V66" s="42"/>
      <c r="W66" s="42"/>
      <c r="X66" s="42"/>
      <c r="Y66" s="42"/>
      <c r="Z66" s="42"/>
      <c r="AA66" s="42"/>
      <c r="AB66" s="42"/>
      <c r="AC66" s="42"/>
      <c r="AD66" s="42"/>
      <c r="AE66" s="42"/>
      <c r="AF66" s="42"/>
    </row>
    <row r="67" spans="2:41" outlineLevel="1" x14ac:dyDescent="0.3">
      <c r="B67" s="48" t="s">
        <v>37</v>
      </c>
      <c r="C67" s="38"/>
      <c r="D67" s="38"/>
      <c r="E67" s="38"/>
      <c r="F67" s="63"/>
      <c r="G67" s="63"/>
      <c r="H67" s="43"/>
      <c r="I67" s="63"/>
      <c r="J67" s="63"/>
      <c r="K67" s="63"/>
      <c r="L67" s="40">
        <v>37922.455000000002</v>
      </c>
      <c r="M67" s="40">
        <v>39427.697070000002</v>
      </c>
      <c r="N67" s="43"/>
      <c r="O67" s="43"/>
      <c r="P67" s="43"/>
      <c r="Q67" s="43"/>
      <c r="R67" s="43"/>
      <c r="S67" s="40"/>
      <c r="T67" s="40"/>
      <c r="U67" s="40"/>
      <c r="V67" s="40"/>
      <c r="W67" s="40"/>
      <c r="X67" s="40"/>
      <c r="Y67" s="40"/>
      <c r="Z67" s="40"/>
      <c r="AA67" s="40"/>
      <c r="AB67" s="40"/>
      <c r="AC67" s="40"/>
      <c r="AD67" s="40"/>
      <c r="AE67" s="40"/>
      <c r="AF67" s="40"/>
    </row>
    <row r="68" spans="2:41" ht="14.5" outlineLevel="1" x14ac:dyDescent="0.3">
      <c r="B68" s="41" t="s">
        <v>21</v>
      </c>
      <c r="F68" s="42"/>
      <c r="G68" s="42"/>
      <c r="H68" s="42"/>
      <c r="J68" s="42"/>
      <c r="K68" s="42"/>
      <c r="L68" s="42"/>
      <c r="M68" s="42">
        <f t="shared" ref="M68" si="27">(M67-L67)/L67</f>
        <v>3.9692632504936723E-2</v>
      </c>
      <c r="N68" s="42"/>
      <c r="O68" s="42"/>
      <c r="P68" s="42"/>
      <c r="Q68" s="42"/>
      <c r="R68" s="42"/>
      <c r="S68" s="42"/>
      <c r="T68" s="42"/>
      <c r="U68" s="42"/>
      <c r="V68" s="42"/>
      <c r="W68" s="42"/>
      <c r="X68" s="42"/>
      <c r="Y68" s="42"/>
      <c r="Z68" s="42"/>
      <c r="AA68" s="42"/>
      <c r="AB68" s="42"/>
      <c r="AC68" s="42"/>
      <c r="AD68" s="42"/>
      <c r="AE68" s="42"/>
      <c r="AF68" s="42"/>
    </row>
    <row r="69" spans="2:41" ht="14.5" x14ac:dyDescent="0.3">
      <c r="B69" s="41"/>
      <c r="F69" s="42"/>
      <c r="G69" s="42"/>
      <c r="H69" s="42"/>
      <c r="J69" s="42"/>
      <c r="K69" s="42"/>
      <c r="L69" s="42"/>
      <c r="M69" s="42"/>
      <c r="N69" s="42"/>
      <c r="O69" s="42"/>
      <c r="P69" s="42"/>
      <c r="Q69" s="42"/>
      <c r="R69" s="42"/>
      <c r="S69" s="42"/>
      <c r="T69" s="42"/>
      <c r="U69" s="42"/>
      <c r="V69" s="42"/>
      <c r="W69" s="42"/>
      <c r="X69" s="42"/>
      <c r="Y69" s="42"/>
      <c r="Z69" s="42"/>
      <c r="AA69" s="42"/>
      <c r="AB69" s="42"/>
      <c r="AC69" s="42"/>
      <c r="AD69" s="42"/>
      <c r="AE69" s="42"/>
      <c r="AF69" s="42"/>
    </row>
    <row r="70" spans="2:41" ht="14.5" x14ac:dyDescent="0.3">
      <c r="B70" s="41"/>
      <c r="F70" s="42"/>
      <c r="G70" s="42"/>
      <c r="H70" s="42"/>
      <c r="J70" s="42"/>
      <c r="K70" s="42"/>
      <c r="L70" s="42"/>
      <c r="M70" s="42"/>
      <c r="N70" s="42"/>
      <c r="O70" s="42"/>
      <c r="P70" s="42"/>
      <c r="Q70" s="42"/>
      <c r="R70" s="42"/>
      <c r="S70" s="42"/>
      <c r="T70" s="42"/>
      <c r="U70" s="42"/>
      <c r="V70" s="42"/>
      <c r="W70" s="42"/>
      <c r="X70" s="42"/>
      <c r="Y70" s="42"/>
      <c r="Z70" s="42"/>
      <c r="AA70" s="42"/>
      <c r="AB70" s="42"/>
      <c r="AC70" s="42"/>
      <c r="AD70" s="42"/>
      <c r="AE70" s="42"/>
      <c r="AF70" s="42"/>
    </row>
    <row r="71" spans="2:41" ht="16.5" x14ac:dyDescent="0.35">
      <c r="B71" s="27" t="s">
        <v>5</v>
      </c>
      <c r="C71" s="30"/>
      <c r="D71" s="30"/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0"/>
      <c r="AB71" s="30"/>
      <c r="AC71" s="30"/>
      <c r="AD71" s="30"/>
      <c r="AE71" s="30"/>
      <c r="AF71" s="30"/>
      <c r="AG71" s="30"/>
      <c r="AH71" s="30"/>
      <c r="AI71" s="30"/>
    </row>
    <row r="72" spans="2:41" ht="16.5" x14ac:dyDescent="0.35">
      <c r="B72" s="32"/>
    </row>
    <row r="73" spans="2:41" ht="17" x14ac:dyDescent="0.6">
      <c r="F73" s="35" t="s">
        <v>33</v>
      </c>
      <c r="G73" s="35" t="s">
        <v>32</v>
      </c>
      <c r="I73" s="35" t="s">
        <v>13</v>
      </c>
      <c r="J73" s="35" t="s">
        <v>6</v>
      </c>
      <c r="K73" s="35" t="s">
        <v>1</v>
      </c>
      <c r="L73" s="35" t="s">
        <v>31</v>
      </c>
      <c r="M73" s="35" t="s">
        <v>34</v>
      </c>
      <c r="N73" s="35"/>
      <c r="O73" s="36"/>
      <c r="P73" s="36"/>
      <c r="Q73" s="36"/>
      <c r="R73" s="36"/>
      <c r="S73" s="36"/>
      <c r="T73" s="36"/>
      <c r="U73" s="36"/>
      <c r="V73" s="36"/>
      <c r="W73" s="36"/>
      <c r="X73" s="36"/>
      <c r="Y73" s="36"/>
      <c r="Z73" s="36"/>
      <c r="AA73" s="36"/>
      <c r="AB73" s="36"/>
      <c r="AC73" s="36"/>
      <c r="AD73" s="36"/>
      <c r="AE73" s="36"/>
      <c r="AF73" s="36"/>
      <c r="AG73" s="36"/>
      <c r="AH73" s="36"/>
      <c r="AI73" s="36"/>
      <c r="AJ73" s="36"/>
      <c r="AK73" s="36"/>
      <c r="AL73" s="36"/>
      <c r="AM73" s="36"/>
      <c r="AN73" s="36"/>
      <c r="AO73" s="36"/>
    </row>
    <row r="74" spans="2:41" x14ac:dyDescent="0.3">
      <c r="B74" s="48" t="s">
        <v>29</v>
      </c>
      <c r="C74" s="38"/>
      <c r="D74" s="38"/>
      <c r="E74" s="38"/>
      <c r="F74" s="66">
        <f t="shared" ref="F74" si="28">J74</f>
        <v>31328</v>
      </c>
      <c r="G74" s="66"/>
      <c r="H74" s="40"/>
      <c r="I74" s="74">
        <v>31513</v>
      </c>
      <c r="J74" s="74">
        <v>31328</v>
      </c>
      <c r="K74" s="74">
        <v>31467</v>
      </c>
      <c r="L74" s="74">
        <v>31425</v>
      </c>
      <c r="M74" s="74">
        <v>33359</v>
      </c>
      <c r="N74" s="40"/>
      <c r="O74" s="40"/>
      <c r="P74" s="40"/>
      <c r="Q74" s="40"/>
      <c r="R74" s="40"/>
      <c r="S74" s="47"/>
      <c r="T74" s="47"/>
      <c r="U74" s="47"/>
      <c r="V74" s="47"/>
      <c r="W74" s="47"/>
      <c r="X74" s="47"/>
      <c r="Y74" s="73"/>
      <c r="Z74" s="73"/>
      <c r="AA74" s="73"/>
    </row>
    <row r="75" spans="2:41" ht="14.5" x14ac:dyDescent="0.3">
      <c r="B75" s="41" t="s">
        <v>21</v>
      </c>
      <c r="F75" s="42">
        <v>-0.06</v>
      </c>
      <c r="G75" s="42"/>
      <c r="H75" s="42"/>
      <c r="J75" s="42">
        <f t="shared" ref="J75:M75" si="29">(J74-I74)/I74</f>
        <v>-5.8705930885666231E-3</v>
      </c>
      <c r="K75" s="42">
        <f t="shared" si="29"/>
        <v>4.4369254341164455E-3</v>
      </c>
      <c r="L75" s="42">
        <f t="shared" si="29"/>
        <v>-1.3347316236056821E-3</v>
      </c>
      <c r="M75" s="42">
        <f t="shared" si="29"/>
        <v>6.1543357199681785E-2</v>
      </c>
      <c r="N75" s="42"/>
      <c r="O75" s="42"/>
      <c r="P75" s="42"/>
      <c r="Q75" s="42"/>
      <c r="R75" s="42"/>
      <c r="S75" s="42"/>
      <c r="T75" s="42"/>
      <c r="U75" s="42"/>
      <c r="V75" s="42"/>
      <c r="W75" s="42"/>
      <c r="X75" s="42"/>
    </row>
    <row r="76" spans="2:41" x14ac:dyDescent="0.3">
      <c r="B76" s="48" t="s">
        <v>30</v>
      </c>
      <c r="C76" s="38"/>
      <c r="D76" s="38"/>
      <c r="E76" s="38"/>
      <c r="F76" s="66">
        <f>J76</f>
        <v>31328</v>
      </c>
      <c r="G76" s="66"/>
      <c r="H76" s="68"/>
      <c r="I76" s="74">
        <f>I74</f>
        <v>31513</v>
      </c>
      <c r="J76" s="74">
        <f>J74</f>
        <v>31328</v>
      </c>
      <c r="K76" s="74">
        <f>K74</f>
        <v>31467</v>
      </c>
      <c r="L76" s="74">
        <f>L74</f>
        <v>31425</v>
      </c>
      <c r="M76" s="74">
        <f>M74</f>
        <v>33359</v>
      </c>
      <c r="N76" s="69"/>
      <c r="O76" s="69"/>
      <c r="P76" s="69"/>
      <c r="Q76" s="69"/>
      <c r="R76" s="69"/>
      <c r="S76" s="69"/>
      <c r="T76" s="69"/>
      <c r="U76" s="69"/>
      <c r="V76" s="69"/>
      <c r="W76" s="69"/>
      <c r="X76" s="69"/>
    </row>
    <row r="77" spans="2:41" ht="14.5" x14ac:dyDescent="0.3">
      <c r="B77" s="41" t="s">
        <v>21</v>
      </c>
      <c r="F77" s="42">
        <v>-0.06</v>
      </c>
      <c r="G77" s="42"/>
      <c r="H77" s="42"/>
      <c r="J77" s="42">
        <f t="shared" ref="J77:M77" si="30">(J76-I76)/I76</f>
        <v>-5.8705930885666231E-3</v>
      </c>
      <c r="K77" s="42">
        <f t="shared" si="30"/>
        <v>4.4369254341164455E-3</v>
      </c>
      <c r="L77" s="42">
        <f t="shared" si="30"/>
        <v>-1.3347316236056821E-3</v>
      </c>
      <c r="M77" s="42">
        <f t="shared" si="30"/>
        <v>6.1543357199681785E-2</v>
      </c>
      <c r="N77" s="42"/>
      <c r="O77" s="42"/>
      <c r="P77" s="42"/>
      <c r="Q77" s="42"/>
      <c r="R77" s="42"/>
      <c r="S77" s="42"/>
      <c r="T77" s="42"/>
      <c r="U77" s="42"/>
      <c r="V77" s="42"/>
      <c r="W77" s="42"/>
      <c r="X77" s="42"/>
    </row>
    <row r="78" spans="2:41" x14ac:dyDescent="0.3">
      <c r="B78" s="48" t="s">
        <v>15</v>
      </c>
      <c r="C78" s="38"/>
      <c r="D78" s="38"/>
      <c r="E78" s="38"/>
      <c r="F78" s="66">
        <f t="shared" ref="F78" si="31">J78</f>
        <v>102</v>
      </c>
      <c r="G78" s="66"/>
      <c r="H78" s="45"/>
      <c r="I78" s="74">
        <v>113</v>
      </c>
      <c r="J78" s="74">
        <v>102</v>
      </c>
      <c r="K78" s="74">
        <v>136</v>
      </c>
      <c r="L78" s="74">
        <v>105</v>
      </c>
      <c r="M78" s="74">
        <v>134</v>
      </c>
      <c r="N78" s="46"/>
      <c r="O78" s="46"/>
      <c r="P78" s="46"/>
      <c r="Q78" s="46"/>
      <c r="R78" s="46"/>
      <c r="S78" s="46"/>
      <c r="T78" s="46"/>
      <c r="U78" s="46"/>
      <c r="V78" s="46"/>
      <c r="W78" s="46"/>
      <c r="X78" s="46"/>
    </row>
    <row r="79" spans="2:41" ht="14.5" x14ac:dyDescent="0.3">
      <c r="B79" s="41" t="s">
        <v>21</v>
      </c>
      <c r="F79" s="42">
        <v>-0.16</v>
      </c>
      <c r="G79" s="42"/>
      <c r="H79" s="42"/>
      <c r="J79" s="42">
        <f t="shared" ref="J79:M79" si="32">(J78-I78)/I78</f>
        <v>-9.7345132743362831E-2</v>
      </c>
      <c r="K79" s="42">
        <f t="shared" si="32"/>
        <v>0.33333333333333331</v>
      </c>
      <c r="L79" s="42">
        <f t="shared" si="32"/>
        <v>-0.22794117647058823</v>
      </c>
      <c r="M79" s="42">
        <f t="shared" si="32"/>
        <v>0.27619047619047621</v>
      </c>
      <c r="N79" s="42"/>
      <c r="O79" s="42"/>
      <c r="P79" s="42"/>
      <c r="Q79" s="42"/>
      <c r="R79" s="42"/>
      <c r="S79" s="42"/>
      <c r="T79" s="42"/>
      <c r="U79" s="42"/>
      <c r="V79" s="42"/>
      <c r="W79" s="42"/>
      <c r="X79" s="42"/>
    </row>
    <row r="80" spans="2:41" x14ac:dyDescent="0.3">
      <c r="B80" s="48" t="s">
        <v>16</v>
      </c>
      <c r="C80" s="38"/>
      <c r="D80" s="38"/>
      <c r="E80" s="38"/>
      <c r="F80" s="66">
        <v>100576</v>
      </c>
      <c r="G80" s="66"/>
      <c r="H80" s="40"/>
      <c r="I80" s="74">
        <f>(I78+I74)*$E$94</f>
        <v>101203.20000000001</v>
      </c>
      <c r="J80" s="74">
        <f>(J78+J74)*$E$94</f>
        <v>100576</v>
      </c>
      <c r="K80" s="74">
        <f>(K78+K74)*$E$94</f>
        <v>101129.60000000001</v>
      </c>
      <c r="L80" s="74">
        <f>(L78+L74)*$E$94</f>
        <v>100896</v>
      </c>
      <c r="M80" s="74">
        <f>(M78+M74)*$E$94</f>
        <v>107177.60000000001</v>
      </c>
      <c r="N80" s="40"/>
      <c r="O80" s="40"/>
      <c r="P80" s="40"/>
      <c r="Q80" s="40"/>
      <c r="R80" s="40"/>
      <c r="S80" s="40"/>
      <c r="T80" s="40"/>
      <c r="U80" s="40"/>
      <c r="V80" s="40"/>
      <c r="W80" s="40"/>
      <c r="X80" s="40"/>
    </row>
    <row r="81" spans="2:24" ht="14.5" x14ac:dyDescent="0.3">
      <c r="B81" s="41" t="s">
        <v>21</v>
      </c>
      <c r="F81" s="42">
        <v>-0.06</v>
      </c>
      <c r="G81" s="42"/>
      <c r="H81" s="42"/>
      <c r="J81" s="42">
        <f t="shared" ref="J81:M81" si="33">(J80-I80)/I80</f>
        <v>-6.1974324922533233E-3</v>
      </c>
      <c r="K81" s="42">
        <f t="shared" si="33"/>
        <v>5.5042952593064532E-3</v>
      </c>
      <c r="L81" s="42">
        <f t="shared" si="33"/>
        <v>-2.3099072872829105E-3</v>
      </c>
      <c r="M81" s="42">
        <f t="shared" si="33"/>
        <v>6.2258166825245854E-2</v>
      </c>
      <c r="N81" s="42"/>
      <c r="O81" s="42"/>
      <c r="P81" s="42"/>
      <c r="Q81" s="42"/>
      <c r="R81" s="42"/>
      <c r="S81" s="42"/>
      <c r="T81" s="42"/>
      <c r="U81" s="42"/>
      <c r="V81" s="42"/>
      <c r="W81" s="42"/>
      <c r="X81" s="42"/>
    </row>
    <row r="82" spans="2:24" x14ac:dyDescent="0.3">
      <c r="B82" s="48" t="s">
        <v>10</v>
      </c>
      <c r="C82" s="38"/>
      <c r="D82" s="38"/>
      <c r="E82" s="38"/>
      <c r="F82" s="66">
        <v>100250</v>
      </c>
      <c r="G82" s="66"/>
      <c r="H82" s="43"/>
      <c r="I82" s="74">
        <f>I76*$E$94</f>
        <v>100841.60000000001</v>
      </c>
      <c r="J82" s="74">
        <f t="shared" ref="J82:K82" si="34">J76*$E$94</f>
        <v>100249.60000000001</v>
      </c>
      <c r="K82" s="74">
        <f t="shared" si="34"/>
        <v>100694.40000000001</v>
      </c>
      <c r="L82" s="74">
        <f t="shared" ref="L82:M82" si="35">L76*$E$94</f>
        <v>100560</v>
      </c>
      <c r="M82" s="74">
        <f t="shared" si="35"/>
        <v>106748.8</v>
      </c>
      <c r="N82" s="43"/>
      <c r="O82" s="43"/>
      <c r="P82" s="43"/>
      <c r="Q82" s="43"/>
      <c r="R82" s="43"/>
      <c r="S82" s="70"/>
      <c r="T82" s="70"/>
      <c r="U82" s="70"/>
      <c r="V82" s="70"/>
      <c r="W82" s="70"/>
      <c r="X82" s="70"/>
    </row>
    <row r="83" spans="2:24" ht="14.5" x14ac:dyDescent="0.3">
      <c r="B83" s="41" t="s">
        <v>21</v>
      </c>
      <c r="F83" s="42">
        <v>-0.06</v>
      </c>
      <c r="G83" s="42"/>
      <c r="H83" s="42"/>
      <c r="J83" s="42">
        <f t="shared" ref="J83:M83" si="36">(J82-I82)/I82</f>
        <v>-5.8705930885666231E-3</v>
      </c>
      <c r="K83" s="42">
        <f t="shared" si="36"/>
        <v>4.4369254341164741E-3</v>
      </c>
      <c r="L83" s="42">
        <f t="shared" si="36"/>
        <v>-1.3347316236057688E-3</v>
      </c>
      <c r="M83" s="42">
        <f t="shared" si="36"/>
        <v>6.1543357199681813E-2</v>
      </c>
      <c r="N83" s="42"/>
      <c r="O83" s="42"/>
      <c r="P83" s="42"/>
      <c r="Q83" s="42"/>
      <c r="R83" s="42"/>
      <c r="S83" s="42"/>
      <c r="T83" s="42"/>
      <c r="U83" s="42"/>
      <c r="V83" s="42"/>
      <c r="W83" s="42"/>
      <c r="X83" s="42"/>
    </row>
    <row r="84" spans="2:24" x14ac:dyDescent="0.3">
      <c r="B84" s="48" t="s">
        <v>11</v>
      </c>
      <c r="C84" s="38"/>
      <c r="D84" s="38"/>
      <c r="E84" s="38"/>
      <c r="F84" s="66">
        <f>J84</f>
        <v>2</v>
      </c>
      <c r="G84" s="66"/>
      <c r="H84" s="43"/>
      <c r="I84" s="74">
        <v>2</v>
      </c>
      <c r="J84" s="74">
        <v>2</v>
      </c>
      <c r="K84" s="74">
        <v>4</v>
      </c>
      <c r="L84" s="74">
        <v>4</v>
      </c>
      <c r="M84" s="74">
        <v>4</v>
      </c>
      <c r="N84" s="43"/>
      <c r="O84" s="43"/>
      <c r="P84" s="43"/>
      <c r="Q84" s="43"/>
      <c r="R84" s="43"/>
      <c r="S84" s="43"/>
      <c r="T84" s="43"/>
      <c r="U84" s="43"/>
      <c r="V84" s="43"/>
      <c r="W84" s="43"/>
      <c r="X84" s="43"/>
    </row>
    <row r="85" spans="2:24" ht="14.5" x14ac:dyDescent="0.3">
      <c r="B85" s="41" t="s">
        <v>21</v>
      </c>
      <c r="F85" s="42">
        <f t="shared" ref="F85" si="37">J85</f>
        <v>0</v>
      </c>
      <c r="G85" s="42"/>
      <c r="H85" s="42"/>
      <c r="J85" s="42">
        <f t="shared" ref="J85:M85" si="38">(J84-I84)/I84</f>
        <v>0</v>
      </c>
      <c r="K85" s="42">
        <v>0</v>
      </c>
      <c r="L85" s="42">
        <f t="shared" si="38"/>
        <v>0</v>
      </c>
      <c r="M85" s="42">
        <f t="shared" si="38"/>
        <v>0</v>
      </c>
      <c r="N85" s="42"/>
      <c r="O85" s="42"/>
      <c r="P85" s="42"/>
      <c r="Q85" s="42"/>
      <c r="R85" s="42"/>
      <c r="S85" s="42"/>
      <c r="T85" s="42"/>
      <c r="U85" s="42"/>
      <c r="V85" s="42"/>
      <c r="W85" s="42"/>
      <c r="X85" s="42"/>
    </row>
    <row r="86" spans="2:24" ht="14.5" x14ac:dyDescent="0.3">
      <c r="B86" s="41"/>
      <c r="F86" s="42"/>
      <c r="G86" s="42"/>
      <c r="H86" s="42"/>
      <c r="K86" s="42"/>
      <c r="L86" s="42"/>
      <c r="M86" s="42"/>
      <c r="N86" s="42"/>
      <c r="O86" s="42"/>
      <c r="P86" s="42"/>
      <c r="Q86" s="42"/>
      <c r="R86" s="42"/>
      <c r="S86" s="42"/>
      <c r="T86" s="42"/>
      <c r="U86" s="42"/>
      <c r="V86" s="42"/>
      <c r="W86" s="42"/>
      <c r="X86" s="42"/>
    </row>
    <row r="87" spans="2:24" ht="14.5" x14ac:dyDescent="0.3">
      <c r="B87" s="41"/>
      <c r="F87" s="42"/>
      <c r="G87" s="42"/>
      <c r="H87" s="42"/>
      <c r="K87" s="42"/>
      <c r="L87" s="42"/>
      <c r="M87" s="42"/>
      <c r="N87" s="42"/>
      <c r="O87" s="42"/>
      <c r="P87" s="42"/>
      <c r="Q87" s="42"/>
      <c r="R87" s="42"/>
      <c r="S87" s="42"/>
      <c r="T87" s="42"/>
      <c r="U87" s="42"/>
      <c r="V87" s="42"/>
      <c r="W87" s="42"/>
      <c r="X87" s="42"/>
    </row>
    <row r="88" spans="2:24" ht="14.5" x14ac:dyDescent="0.3">
      <c r="B88" s="48" t="s">
        <v>42</v>
      </c>
      <c r="F88" s="66">
        <f>J88</f>
        <v>75</v>
      </c>
      <c r="G88" s="66"/>
      <c r="H88" s="66"/>
      <c r="I88" s="74"/>
      <c r="J88" s="74">
        <v>75</v>
      </c>
      <c r="K88" s="74">
        <v>104</v>
      </c>
      <c r="L88" s="74">
        <v>80</v>
      </c>
      <c r="M88" s="74">
        <v>102</v>
      </c>
      <c r="N88" s="66"/>
      <c r="O88" s="66"/>
      <c r="P88" s="42"/>
      <c r="Q88" s="42"/>
      <c r="R88" s="42"/>
      <c r="S88" s="42"/>
      <c r="T88" s="42"/>
      <c r="U88" s="42"/>
      <c r="V88" s="42"/>
      <c r="W88" s="42"/>
      <c r="X88" s="42"/>
    </row>
    <row r="89" spans="2:24" ht="14.5" x14ac:dyDescent="0.3">
      <c r="B89" s="41"/>
      <c r="F89" s="42"/>
      <c r="G89" s="42"/>
      <c r="H89" s="42"/>
      <c r="K89" s="42"/>
      <c r="L89" s="42"/>
      <c r="M89" s="42"/>
      <c r="N89" s="42"/>
      <c r="O89" s="42"/>
      <c r="P89" s="42"/>
      <c r="Q89" s="42"/>
      <c r="R89" s="42"/>
      <c r="S89" s="42"/>
      <c r="T89" s="42"/>
      <c r="U89" s="42"/>
      <c r="V89" s="42"/>
      <c r="W89" s="42"/>
      <c r="X89" s="42"/>
    </row>
    <row r="90" spans="2:24" ht="14.5" x14ac:dyDescent="0.3">
      <c r="B90" s="41"/>
      <c r="F90" s="42"/>
      <c r="G90" s="42"/>
      <c r="H90" s="42"/>
      <c r="K90" s="42"/>
      <c r="L90" s="42"/>
      <c r="M90" s="42"/>
      <c r="N90" s="42"/>
      <c r="O90" s="42"/>
      <c r="P90" s="42"/>
      <c r="Q90" s="42"/>
      <c r="R90" s="42"/>
      <c r="S90" s="42"/>
      <c r="T90" s="42"/>
      <c r="U90" s="42"/>
      <c r="V90" s="42"/>
      <c r="W90" s="42"/>
      <c r="X90" s="42"/>
    </row>
    <row r="92" spans="2:24" x14ac:dyDescent="0.3">
      <c r="B92" s="71" t="s">
        <v>17</v>
      </c>
      <c r="C92" s="49"/>
      <c r="D92" s="49"/>
      <c r="E92" s="49"/>
      <c r="F92" s="50"/>
      <c r="G92" s="50"/>
      <c r="H92" s="50"/>
      <c r="I92" s="49"/>
      <c r="J92" s="50"/>
      <c r="K92" s="50"/>
      <c r="L92" s="50"/>
      <c r="M92" s="50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1"/>
    </row>
    <row r="93" spans="2:24" x14ac:dyDescent="0.3">
      <c r="B93" s="52"/>
      <c r="C93" s="53"/>
      <c r="D93" s="53"/>
      <c r="E93" s="53"/>
      <c r="F93" s="54"/>
      <c r="G93" s="54"/>
      <c r="H93" s="54"/>
      <c r="I93" s="53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5"/>
    </row>
    <row r="94" spans="2:24" x14ac:dyDescent="0.3">
      <c r="B94" s="56" t="s">
        <v>18</v>
      </c>
      <c r="C94" s="72"/>
      <c r="D94" s="57"/>
      <c r="E94" s="58">
        <v>3.2</v>
      </c>
      <c r="F94" s="57"/>
      <c r="G94" s="57"/>
      <c r="H94" s="57"/>
      <c r="I94" s="57"/>
      <c r="J94" s="57"/>
      <c r="K94" s="57"/>
      <c r="L94" s="57"/>
      <c r="M94" s="57"/>
      <c r="N94" s="57"/>
      <c r="O94" s="57"/>
      <c r="P94" s="57"/>
      <c r="Q94" s="57"/>
      <c r="R94" s="57"/>
      <c r="S94" s="57"/>
      <c r="T94" s="57"/>
      <c r="U94" s="57"/>
      <c r="V94" s="57"/>
      <c r="W94" s="57"/>
      <c r="X94" s="59"/>
    </row>
    <row r="98" spans="2:2" x14ac:dyDescent="0.3">
      <c r="B98" s="60" t="s">
        <v>19</v>
      </c>
    </row>
    <row r="99" spans="2:2" x14ac:dyDescent="0.3">
      <c r="B99" s="60" t="s">
        <v>20</v>
      </c>
    </row>
    <row r="100" spans="2:2" x14ac:dyDescent="0.3">
      <c r="B100" s="60" t="s">
        <v>9</v>
      </c>
    </row>
  </sheetData>
  <mergeCells count="48">
    <mergeCell ref="T16:U16"/>
    <mergeCell ref="T20:U20"/>
    <mergeCell ref="L17:M17"/>
    <mergeCell ref="R17:S17"/>
    <mergeCell ref="T17:U17"/>
    <mergeCell ref="L18:M18"/>
    <mergeCell ref="R18:S18"/>
    <mergeCell ref="T18:U18"/>
    <mergeCell ref="L19:M19"/>
    <mergeCell ref="L20:M20"/>
    <mergeCell ref="R20:S20"/>
    <mergeCell ref="L16:M16"/>
    <mergeCell ref="R16:S16"/>
    <mergeCell ref="L14:M14"/>
    <mergeCell ref="R14:S14"/>
    <mergeCell ref="T14:U14"/>
    <mergeCell ref="L15:M15"/>
    <mergeCell ref="R15:S15"/>
    <mergeCell ref="T15:U15"/>
    <mergeCell ref="L12:M12"/>
    <mergeCell ref="R12:S12"/>
    <mergeCell ref="T12:U12"/>
    <mergeCell ref="L13:M13"/>
    <mergeCell ref="R13:S13"/>
    <mergeCell ref="T13:U13"/>
    <mergeCell ref="L11:M11"/>
    <mergeCell ref="R11:S11"/>
    <mergeCell ref="T11:U11"/>
    <mergeCell ref="T10:U10"/>
    <mergeCell ref="F9:G9"/>
    <mergeCell ref="L9:M9"/>
    <mergeCell ref="R9:S9"/>
    <mergeCell ref="T9:U9"/>
    <mergeCell ref="F10:G10"/>
    <mergeCell ref="L10:M10"/>
    <mergeCell ref="R10:S10"/>
    <mergeCell ref="R8:S8"/>
    <mergeCell ref="L8:M8"/>
    <mergeCell ref="T6:U6"/>
    <mergeCell ref="T8:U8"/>
    <mergeCell ref="F8:G8"/>
    <mergeCell ref="F7:G7"/>
    <mergeCell ref="L7:M7"/>
    <mergeCell ref="R7:S7"/>
    <mergeCell ref="T7:U7"/>
    <mergeCell ref="F6:G6"/>
    <mergeCell ref="L6:M6"/>
    <mergeCell ref="R6:S6"/>
  </mergeCells>
  <printOptions horizontalCentered="1"/>
  <pageMargins left="0.25" right="0.25" top="0.75" bottom="0.75" header="0.3" footer="0.3"/>
  <pageSetup scale="57" fitToHeight="0" orientation="landscape" horizontalDpi="300" verticalDpi="300" copies="10" r:id="rId1"/>
  <headerFooter>
    <oddFooter>&amp;C&amp;"Arial,Regular"Africa Portfolio - &amp;P</oddFooter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 Template</vt:lpstr>
      <vt:lpstr>P&amp;L Breakdown</vt:lpstr>
      <vt:lpstr>Current Data</vt:lpstr>
      <vt:lpstr>'Current Data'!Print_Area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Shaleen Baweja</dc:creator>
  <cp:lastModifiedBy>Keshrina Sivlal</cp:lastModifiedBy>
  <cp:lastPrinted>2023-08-10T13:08:37Z</cp:lastPrinted>
  <dcterms:created xsi:type="dcterms:W3CDTF">2019-06-07T10:02:34Z</dcterms:created>
  <dcterms:modified xsi:type="dcterms:W3CDTF">2025-08-08T15:18:01Z</dcterms:modified>
</cp:coreProperties>
</file>