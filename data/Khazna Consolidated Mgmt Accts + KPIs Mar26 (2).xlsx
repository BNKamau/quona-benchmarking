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bdallah.ayman\Downloads\"/>
    </mc:Choice>
  </mc:AlternateContent>
  <xr:revisionPtr revIDLastSave="0" documentId="8_{74EAA433-A066-44DB-A134-213A9826738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KPIs" sheetId="8" r:id="rId1"/>
    <sheet name="PL - Consolidated" sheetId="5" r:id="rId2"/>
    <sheet name="BS" sheetId="6" r:id="rId3"/>
    <sheet name="CFS" sheetId="7" r:id="rId4"/>
    <sheet name="PL - Egypt Standalone" sheetId="9" r:id="rId5"/>
  </sheets>
  <definedNames>
    <definedName name="Buildings" localSheetId="3">#REF!</definedName>
    <definedName name="Buildings" localSheetId="0">#REF!</definedName>
    <definedName name="Buildings">#REF!</definedName>
    <definedName name="CCDebt" localSheetId="3">#REF!</definedName>
    <definedName name="CCDebt" localSheetId="0">#REF!</definedName>
    <definedName name="CCDebt">#REF!</definedName>
    <definedName name="CommLoan" localSheetId="3">#REF!</definedName>
    <definedName name="CommLoan" localSheetId="0">#REF!</definedName>
    <definedName name="CommLoan">#REF!</definedName>
    <definedName name="CommMortgage" localSheetId="3">#REF!</definedName>
    <definedName name="CommMortgage" localSheetId="0">#REF!</definedName>
    <definedName name="CommMortgage">#REF!</definedName>
    <definedName name="Equipment" localSheetId="3">#REF!</definedName>
    <definedName name="Equipment" localSheetId="0">#REF!</definedName>
    <definedName name="Equipment">#REF!</definedName>
    <definedName name="Furniture" localSheetId="3">#REF!</definedName>
    <definedName name="Furniture" localSheetId="0">#REF!</definedName>
    <definedName name="Furniture">#REF!</definedName>
    <definedName name="Inventory" localSheetId="3">#REF!</definedName>
    <definedName name="Inventory" localSheetId="0">#REF!</definedName>
    <definedName name="Inventory">#REF!</definedName>
    <definedName name="Land" localSheetId="3">#REF!</definedName>
    <definedName name="Land" localSheetId="0">#REF!</definedName>
    <definedName name="Land">#REF!</definedName>
    <definedName name="LeaseImprovements" localSheetId="3">#REF!</definedName>
    <definedName name="LeaseImprovements" localSheetId="0">#REF!</definedName>
    <definedName name="LeaseImprovements">#REF!</definedName>
    <definedName name="NetIncomeY1" localSheetId="3">#REF!</definedName>
    <definedName name="NetIncomeY1" localSheetId="0">#REF!</definedName>
    <definedName name="NetIncomeY1">#REF!</definedName>
    <definedName name="NetIncomeY2" localSheetId="3">#REF!</definedName>
    <definedName name="NetIncomeY2" localSheetId="0">#REF!</definedName>
    <definedName name="NetIncomeY2">#REF!</definedName>
    <definedName name="NetIncomeY3" localSheetId="3">#REF!</definedName>
    <definedName name="NetIncomeY3" localSheetId="0">#REF!</definedName>
    <definedName name="NetIncomeY3">#REF!</definedName>
    <definedName name="OtherBankDebt" localSheetId="3">#REF!</definedName>
    <definedName name="OtherBankDebt" localSheetId="0">#REF!</definedName>
    <definedName name="OtherBankDebt">#REF!</definedName>
    <definedName name="OtherFixedAssets" localSheetId="3">#REF!</definedName>
    <definedName name="OtherFixedAssets" localSheetId="0">#REF!</definedName>
    <definedName name="OtherFixedAssets">#REF!</definedName>
    <definedName name="OtherStartUp" localSheetId="3">#REF!</definedName>
    <definedName name="OtherStartUp" localSheetId="0">#REF!</definedName>
    <definedName name="OtherStartUp">#REF!</definedName>
    <definedName name="OutsideInvest" localSheetId="3">#REF!</definedName>
    <definedName name="OutsideInvest" localSheetId="0">#REF!</definedName>
    <definedName name="OutsideInvest">#REF!</definedName>
    <definedName name="OwnerEquity" localSheetId="3">#REF!</definedName>
    <definedName name="OwnerEquity" localSheetId="0">#REF!</definedName>
    <definedName name="OwnerEquity">#REF!</definedName>
    <definedName name="TotalOperatingCapital" localSheetId="3">#REF!</definedName>
    <definedName name="TotalOperatingCapital" localSheetId="0">#REF!</definedName>
    <definedName name="TotalOperatingCapital">#REF!</definedName>
    <definedName name="VehicleLoan" localSheetId="3">#REF!</definedName>
    <definedName name="VehicleLoan" localSheetId="0">#REF!</definedName>
    <definedName name="VehicleLoan">#REF!</definedName>
    <definedName name="Vehicles" localSheetId="3">#REF!</definedName>
    <definedName name="Vehicles" localSheetId="0">#REF!</definedName>
    <definedName name="Vehicles">#REF!</definedName>
    <definedName name="Working_Capital" localSheetId="3">#REF!</definedName>
    <definedName name="Working_Capital" localSheetId="0">#REF!</definedName>
    <definedName name="Working_Capital">#REF!</definedName>
    <definedName name="Y1EndingCashBal" localSheetId="3">#REF!</definedName>
    <definedName name="Y1EndingCashBal" localSheetId="0">#REF!</definedName>
    <definedName name="Y1EndingCashBal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8" i="8" l="1"/>
  <c r="P27" i="8"/>
  <c r="P25" i="8"/>
  <c r="P24" i="8"/>
  <c r="P21" i="8"/>
  <c r="P20" i="8"/>
  <c r="P14" i="8"/>
  <c r="P11" i="8"/>
  <c r="E51" i="9" l="1"/>
  <c r="E46" i="9"/>
  <c r="E52" i="9" s="1"/>
  <c r="E38" i="9"/>
  <c r="E11" i="9"/>
  <c r="E5" i="9"/>
  <c r="E8" i="9" s="1"/>
  <c r="D30" i="7"/>
  <c r="E53" i="6"/>
  <c r="E54" i="6"/>
  <c r="E12" i="9" l="1"/>
  <c r="E13" i="9"/>
  <c r="E39" i="9"/>
  <c r="E40" i="9" s="1"/>
  <c r="E53" i="9" l="1"/>
  <c r="E55" i="9" s="1"/>
  <c r="E1" i="9" l="1"/>
  <c r="D3" i="7"/>
  <c r="D4" i="7"/>
  <c r="D5" i="7"/>
  <c r="D6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33" i="7"/>
  <c r="D34" i="7"/>
  <c r="D38" i="7"/>
  <c r="E1" i="6"/>
  <c r="D1" i="7" s="1"/>
  <c r="E15" i="6"/>
  <c r="E23" i="6"/>
  <c r="E25" i="6" s="1"/>
  <c r="E30" i="6"/>
  <c r="E34" i="6"/>
  <c r="E45" i="6"/>
  <c r="E49" i="6"/>
  <c r="E56" i="6"/>
  <c r="E5" i="5"/>
  <c r="E8" i="5" s="1"/>
  <c r="E11" i="5"/>
  <c r="E38" i="5"/>
  <c r="E46" i="5"/>
  <c r="E51" i="5"/>
  <c r="D51" i="9"/>
  <c r="D46" i="9"/>
  <c r="D38" i="9"/>
  <c r="D11" i="9"/>
  <c r="D5" i="9"/>
  <c r="D8" i="9" s="1"/>
  <c r="D12" i="9" l="1"/>
  <c r="D36" i="7"/>
  <c r="D52" i="9"/>
  <c r="E50" i="6"/>
  <c r="E57" i="6" s="1"/>
  <c r="E35" i="6"/>
  <c r="E36" i="6" s="1"/>
  <c r="E52" i="5"/>
  <c r="E12" i="5"/>
  <c r="E13" i="5" s="1"/>
  <c r="D13" i="9"/>
  <c r="D39" i="9"/>
  <c r="D40" i="9" s="1"/>
  <c r="E39" i="5" l="1"/>
  <c r="E53" i="5" s="1"/>
  <c r="E55" i="5" s="1"/>
  <c r="D2" i="7" s="1"/>
  <c r="D24" i="7" s="1"/>
  <c r="D39" i="7" s="1"/>
  <c r="D41" i="7" s="1"/>
  <c r="D42" i="7" s="1"/>
  <c r="E58" i="6"/>
  <c r="D53" i="9"/>
  <c r="D55" i="9" s="1"/>
  <c r="E40" i="5" l="1"/>
  <c r="D1" i="9"/>
  <c r="C3" i="7"/>
  <c r="C4" i="7"/>
  <c r="C5" i="7"/>
  <c r="C6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30" i="7"/>
  <c r="C33" i="7"/>
  <c r="C34" i="7"/>
  <c r="C38" i="7"/>
  <c r="D1" i="6"/>
  <c r="C1" i="7" s="1"/>
  <c r="D15" i="6"/>
  <c r="D23" i="6"/>
  <c r="D25" i="6" s="1"/>
  <c r="D30" i="6"/>
  <c r="D34" i="6"/>
  <c r="D45" i="6"/>
  <c r="D49" i="6"/>
  <c r="O11" i="8"/>
  <c r="O14" i="8" s="1"/>
  <c r="D5" i="5"/>
  <c r="D8" i="5" s="1"/>
  <c r="D11" i="5"/>
  <c r="D38" i="5"/>
  <c r="D46" i="5"/>
  <c r="D51" i="5"/>
  <c r="B38" i="7"/>
  <c r="B34" i="7"/>
  <c r="B33" i="7"/>
  <c r="B6" i="7"/>
  <c r="B5" i="7"/>
  <c r="B20" i="7"/>
  <c r="B21" i="7"/>
  <c r="B22" i="7"/>
  <c r="B23" i="7"/>
  <c r="B19" i="7"/>
  <c r="B18" i="7"/>
  <c r="B17" i="7"/>
  <c r="B16" i="7"/>
  <c r="B15" i="7"/>
  <c r="B14" i="7"/>
  <c r="B13" i="7"/>
  <c r="B12" i="7"/>
  <c r="B11" i="7"/>
  <c r="B10" i="7"/>
  <c r="B9" i="7"/>
  <c r="C36" i="7" l="1"/>
  <c r="D50" i="6"/>
  <c r="D35" i="6"/>
  <c r="D36" i="6" s="1"/>
  <c r="D52" i="5"/>
  <c r="O20" i="8"/>
  <c r="O21" i="8" s="1"/>
  <c r="D12" i="5"/>
  <c r="D39" i="5" s="1"/>
  <c r="N11" i="8"/>
  <c r="C49" i="6"/>
  <c r="C45" i="6"/>
  <c r="C34" i="6"/>
  <c r="C30" i="6"/>
  <c r="C23" i="6"/>
  <c r="C25" i="6" s="1"/>
  <c r="C35" i="6" l="1"/>
  <c r="C50" i="6"/>
  <c r="D13" i="5"/>
  <c r="O24" i="8"/>
  <c r="O23" i="8"/>
  <c r="D40" i="5"/>
  <c r="O25" i="8"/>
  <c r="D53" i="5"/>
  <c r="D55" i="5" s="1"/>
  <c r="C51" i="9"/>
  <c r="C46" i="9"/>
  <c r="C38" i="9"/>
  <c r="C11" i="9"/>
  <c r="C5" i="9"/>
  <c r="C8" i="9" s="1"/>
  <c r="C12" i="9" l="1"/>
  <c r="C2" i="7"/>
  <c r="C24" i="7" s="1"/>
  <c r="C39" i="7" s="1"/>
  <c r="C41" i="7" s="1"/>
  <c r="C42" i="7" s="1"/>
  <c r="C52" i="9"/>
  <c r="C39" i="9"/>
  <c r="C40" i="9" s="1"/>
  <c r="C13" i="9"/>
  <c r="C53" i="9" l="1"/>
  <c r="C55" i="9" s="1"/>
  <c r="M24" i="8" l="1"/>
  <c r="L24" i="8"/>
  <c r="K24" i="8"/>
  <c r="J24" i="8"/>
  <c r="I24" i="8"/>
  <c r="H24" i="8"/>
  <c r="G24" i="8"/>
  <c r="F24" i="8"/>
  <c r="E24" i="8"/>
  <c r="D24" i="8"/>
  <c r="C24" i="8"/>
  <c r="B24" i="8"/>
  <c r="C1" i="9"/>
  <c r="B51" i="5"/>
  <c r="B46" i="5"/>
  <c r="B38" i="5"/>
  <c r="B11" i="5"/>
  <c r="B5" i="5"/>
  <c r="B8" i="5" s="1"/>
  <c r="C1" i="8"/>
  <c r="D1" i="8" s="1"/>
  <c r="E1" i="8" s="1"/>
  <c r="F1" i="8" s="1"/>
  <c r="G1" i="8" s="1"/>
  <c r="H1" i="8" s="1"/>
  <c r="I1" i="8" s="1"/>
  <c r="J1" i="8" s="1"/>
  <c r="K1" i="8" s="1"/>
  <c r="L1" i="8" s="1"/>
  <c r="M1" i="8" s="1"/>
  <c r="N1" i="8" s="1"/>
  <c r="O1" i="8" s="1"/>
  <c r="P1" i="8" s="1"/>
  <c r="B49" i="6"/>
  <c r="B45" i="6"/>
  <c r="B34" i="6"/>
  <c r="B30" i="6"/>
  <c r="B23" i="6"/>
  <c r="B25" i="6" s="1"/>
  <c r="B15" i="6"/>
  <c r="B52" i="5" l="1"/>
  <c r="B12" i="5"/>
  <c r="B13" i="5" s="1"/>
  <c r="B35" i="6"/>
  <c r="B36" i="6" s="1"/>
  <c r="B50" i="6"/>
  <c r="B39" i="5" l="1"/>
  <c r="B40" i="5" s="1"/>
  <c r="B53" i="5" l="1"/>
  <c r="B55" i="5" s="1"/>
  <c r="B53" i="6" s="1"/>
  <c r="B56" i="6" s="1"/>
  <c r="B57" i="6" s="1"/>
  <c r="B51" i="9"/>
  <c r="B46" i="9"/>
  <c r="B38" i="9"/>
  <c r="B11" i="9"/>
  <c r="B5" i="9"/>
  <c r="B8" i="9" s="1"/>
  <c r="N14" i="8"/>
  <c r="B52" i="9" l="1"/>
  <c r="B12" i="9"/>
  <c r="B13" i="9" s="1"/>
  <c r="M14" i="8"/>
  <c r="B39" i="9" l="1"/>
  <c r="B40" i="9" s="1"/>
  <c r="B53" i="9"/>
  <c r="B55" i="9" s="1"/>
  <c r="L14" i="8" l="1"/>
  <c r="K14" i="8" l="1"/>
  <c r="I14" i="8" l="1"/>
  <c r="J14" i="8" l="1"/>
  <c r="H14" i="8" l="1"/>
  <c r="C46" i="5"/>
  <c r="C38" i="5" l="1"/>
  <c r="B14" i="8"/>
  <c r="G14" i="8" l="1"/>
  <c r="F14" i="8" l="1"/>
  <c r="E14" i="8"/>
  <c r="C54" i="6"/>
  <c r="D54" i="6" s="1"/>
  <c r="D14" i="8" l="1"/>
  <c r="C14" i="8"/>
  <c r="C15" i="6" l="1"/>
  <c r="C36" i="6" s="1"/>
  <c r="C51" i="5"/>
  <c r="C1" i="6" l="1"/>
  <c r="B1" i="6" s="1"/>
  <c r="C5" i="5"/>
  <c r="N20" i="8" s="1"/>
  <c r="N23" i="8" s="1"/>
  <c r="N21" i="8" l="1"/>
  <c r="N24" i="8"/>
  <c r="B4" i="7"/>
  <c r="B3" i="7"/>
  <c r="C11" i="5"/>
  <c r="C8" i="5" l="1"/>
  <c r="C12" i="5" s="1"/>
  <c r="C39" i="5" s="1"/>
  <c r="N25" i="8" s="1"/>
  <c r="C52" i="5"/>
  <c r="C13" i="5" l="1"/>
  <c r="C53" i="5"/>
  <c r="C55" i="5" s="1"/>
  <c r="C53" i="6" s="1"/>
  <c r="D53" i="6" s="1"/>
  <c r="D56" i="6" s="1"/>
  <c r="D57" i="6" s="1"/>
  <c r="D58" i="6" s="1"/>
  <c r="B2" i="7" l="1"/>
  <c r="C40" i="5"/>
  <c r="B36" i="7"/>
  <c r="B30" i="7"/>
  <c r="B24" i="7" l="1"/>
  <c r="B39" i="7" s="1"/>
  <c r="C56" i="6" l="1"/>
  <c r="C57" i="6" l="1"/>
  <c r="C58" i="6" s="1"/>
  <c r="B1" i="7" l="1"/>
  <c r="B41" i="7" l="1"/>
  <c r="B42" i="7" s="1"/>
</calcChain>
</file>

<file path=xl/sharedStrings.xml><?xml version="1.0" encoding="utf-8"?>
<sst xmlns="http://schemas.openxmlformats.org/spreadsheetml/2006/main" count="238" uniqueCount="166">
  <si>
    <t>Corporate Revenue</t>
  </si>
  <si>
    <t>Net Revenue</t>
  </si>
  <si>
    <t>Total Cost of Goods Sold</t>
  </si>
  <si>
    <t>Gross Margin</t>
  </si>
  <si>
    <t>Operating Expenses</t>
  </si>
  <si>
    <t>Medical Insurance</t>
  </si>
  <si>
    <t>CAC</t>
  </si>
  <si>
    <t>SMS Expense</t>
  </si>
  <si>
    <t>Dues and subscriptions</t>
  </si>
  <si>
    <t>Commissions and Fees</t>
  </si>
  <si>
    <t>Advertising</t>
  </si>
  <si>
    <t>Customer Service Expenses</t>
  </si>
  <si>
    <t>Tech Expense</t>
  </si>
  <si>
    <t>Web Hosting</t>
  </si>
  <si>
    <t>Leasing interest</t>
  </si>
  <si>
    <t>Leasing Depreciation</t>
  </si>
  <si>
    <t>Rent Expense</t>
  </si>
  <si>
    <t xml:space="preserve">Miscellaneous </t>
  </si>
  <si>
    <t>Total Operating Expenses</t>
  </si>
  <si>
    <t>Other Expenses &amp; Revenues</t>
  </si>
  <si>
    <t xml:space="preserve">Other Expenses </t>
  </si>
  <si>
    <t>Amortization</t>
  </si>
  <si>
    <t>Depreciation</t>
  </si>
  <si>
    <t>Revenue Stamp Tax Expenses</t>
  </si>
  <si>
    <t>Total Other Expenses</t>
  </si>
  <si>
    <t>Other Revenues</t>
  </si>
  <si>
    <t>Interest on Deposit</t>
  </si>
  <si>
    <t>Recovery of Bad debts</t>
  </si>
  <si>
    <t>Total Other Revenues</t>
  </si>
  <si>
    <t>Total Other Expenses &amp; Revenues</t>
  </si>
  <si>
    <t>Net Income Before Income Tax</t>
  </si>
  <si>
    <t>Income Tax</t>
  </si>
  <si>
    <t>Net Profit/Loss</t>
  </si>
  <si>
    <t>ASSETS</t>
  </si>
  <si>
    <t>Current Assets</t>
  </si>
  <si>
    <t>Accounts Receivable</t>
  </si>
  <si>
    <t>Prepaid Expenses</t>
  </si>
  <si>
    <t>Accrued Revenue</t>
  </si>
  <si>
    <t>Taxes (Assets)</t>
  </si>
  <si>
    <t>Total Current Assets</t>
  </si>
  <si>
    <t>Fixed Assets</t>
  </si>
  <si>
    <t>Laptops</t>
  </si>
  <si>
    <t>Machinery &amp; Equipment</t>
  </si>
  <si>
    <t>Mobile</t>
  </si>
  <si>
    <t>Office Furniture</t>
  </si>
  <si>
    <t>Total Fixed Assets</t>
  </si>
  <si>
    <t>(Less Accumulated Depreciation)</t>
  </si>
  <si>
    <t>Net Fixed Assets</t>
  </si>
  <si>
    <t>Intangible Assets</t>
  </si>
  <si>
    <t>Software</t>
  </si>
  <si>
    <t>(Less Accumulated Amortization)</t>
  </si>
  <si>
    <t>Net Intangible Assets</t>
  </si>
  <si>
    <t>ROU</t>
  </si>
  <si>
    <t>Net ROU</t>
  </si>
  <si>
    <t>Total Non-Current Assets</t>
  </si>
  <si>
    <t>Total Assets</t>
  </si>
  <si>
    <t>LIABILITIES &amp; EQUITY</t>
  </si>
  <si>
    <t>Current Liabilities</t>
  </si>
  <si>
    <t>Accounts Payable</t>
  </si>
  <si>
    <t>Taxes</t>
  </si>
  <si>
    <t>Accrued Expenses</t>
  </si>
  <si>
    <t>CF Payables</t>
  </si>
  <si>
    <t>Other Current Liabilities</t>
  </si>
  <si>
    <t>Total Current Liabilities</t>
  </si>
  <si>
    <t>Non Current Liability</t>
  </si>
  <si>
    <t>Lease Liability</t>
  </si>
  <si>
    <t>Total Non-Current Liabilities</t>
  </si>
  <si>
    <t>Total Liabilities</t>
  </si>
  <si>
    <t>Equity</t>
  </si>
  <si>
    <t>Capital</t>
  </si>
  <si>
    <t>Net Income / Loss</t>
  </si>
  <si>
    <t>Retained Earnings</t>
  </si>
  <si>
    <t>Total Equity</t>
  </si>
  <si>
    <t>Total Liabilities and Equity</t>
  </si>
  <si>
    <t>Application Testing</t>
  </si>
  <si>
    <t>Account</t>
  </si>
  <si>
    <t>Merchant Rebate Revenue</t>
  </si>
  <si>
    <t>Card Revenue</t>
  </si>
  <si>
    <t xml:space="preserve">        Discount</t>
  </si>
  <si>
    <t xml:space="preserve">         Interest Expense</t>
  </si>
  <si>
    <t xml:space="preserve">         Bad Debt Expenses (Provision)</t>
  </si>
  <si>
    <t>% of Gross Margin</t>
  </si>
  <si>
    <t>Salaries</t>
  </si>
  <si>
    <t>Card Expenses</t>
  </si>
  <si>
    <t>Consultants &amp; advisory</t>
  </si>
  <si>
    <t>Transfer Cost</t>
  </si>
  <si>
    <t>Office Expenses (Hospitality, Utilities, Delivery &amp; Telephone)</t>
  </si>
  <si>
    <t>Other Allowances (Trans, Meals &amp; Accommodation)</t>
  </si>
  <si>
    <t>Outsourced Labor Cost</t>
  </si>
  <si>
    <t>User Testing</t>
  </si>
  <si>
    <t>Depreciation &amp; Amortization</t>
  </si>
  <si>
    <t>FX Loss</t>
  </si>
  <si>
    <t>Cash</t>
  </si>
  <si>
    <t>Financial Assets</t>
  </si>
  <si>
    <t xml:space="preserve"> Loans</t>
  </si>
  <si>
    <t>Hot line Expense</t>
  </si>
  <si>
    <t>CTR</t>
  </si>
  <si>
    <t xml:space="preserve">        VAT</t>
  </si>
  <si>
    <t>CASH FLOW STATEMENT</t>
  </si>
  <si>
    <t>CFO</t>
  </si>
  <si>
    <t>Other Debtors</t>
  </si>
  <si>
    <t>Cash Flow from Operations</t>
  </si>
  <si>
    <t>CFI</t>
  </si>
  <si>
    <t>Capex</t>
  </si>
  <si>
    <t>Right of Use Assets</t>
  </si>
  <si>
    <t>Cash Flow from Investing</t>
  </si>
  <si>
    <t>CFF</t>
  </si>
  <si>
    <t>Debt</t>
  </si>
  <si>
    <t>Paid-In Capital</t>
  </si>
  <si>
    <t>Cash Flow from Financing</t>
  </si>
  <si>
    <t>Cash BoP</t>
  </si>
  <si>
    <t>Change in Cash</t>
  </si>
  <si>
    <t>Adjustment for FX Translation</t>
  </si>
  <si>
    <t>Cash EoP</t>
  </si>
  <si>
    <t>Check</t>
  </si>
  <si>
    <t>KPIs</t>
  </si>
  <si>
    <t>Users &amp; Portfolio</t>
  </si>
  <si>
    <t>Registered Users (#)</t>
  </si>
  <si>
    <t>Active Users (#)</t>
  </si>
  <si>
    <t>Repeat Users (#)</t>
  </si>
  <si>
    <t>Transaction volume (#)</t>
  </si>
  <si>
    <r>
      <t xml:space="preserve">Disbursements </t>
    </r>
    <r>
      <rPr>
        <i/>
        <sz val="9"/>
        <color theme="1"/>
        <rFont val="Arial"/>
        <family val="2"/>
      </rPr>
      <t xml:space="preserve">excl. pre-funded payroll </t>
    </r>
    <r>
      <rPr>
        <sz val="9"/>
        <color theme="1"/>
        <rFont val="Arial"/>
        <family val="2"/>
      </rPr>
      <t>(USD).</t>
    </r>
  </si>
  <si>
    <t>Total Disbursements (USD)</t>
  </si>
  <si>
    <t>Outstanding loan portfolio USD</t>
  </si>
  <si>
    <t>EOM FX Rate (USD/EGP)</t>
  </si>
  <si>
    <t>Net Defaults USD</t>
  </si>
  <si>
    <t>PAR 30 (%)</t>
  </si>
  <si>
    <t>PAR 90 (%)</t>
  </si>
  <si>
    <t>Financial KPIs</t>
  </si>
  <si>
    <t>Average FX Rate (USD/EGP)</t>
  </si>
  <si>
    <t>Monthly Revenue USD</t>
  </si>
  <si>
    <t>Monthly Credit Revenue</t>
  </si>
  <si>
    <t>Monthly Non-Credit Revenue</t>
  </si>
  <si>
    <t>ARR USD</t>
  </si>
  <si>
    <t>Operating Profit</t>
  </si>
  <si>
    <t>Team</t>
  </si>
  <si>
    <t>Full Time Employees (#)</t>
  </si>
  <si>
    <t>Full time Employees (Female)</t>
  </si>
  <si>
    <t>Full time Employees (Female Managers)</t>
  </si>
  <si>
    <t>Full time Employees (Minority/Previously Excluded)</t>
  </si>
  <si>
    <t>Full time Employees (Minority/Previously Excluded Senior Managers)</t>
  </si>
  <si>
    <t>Board of Directors (Female)</t>
  </si>
  <si>
    <t>Board of Directors (Minority/Previously Excluded)</t>
  </si>
  <si>
    <t>Gross Revenues</t>
  </si>
  <si>
    <t>Bad Debt Expense</t>
  </si>
  <si>
    <t>New Drawdowns - Unique Requesting Users (#)</t>
  </si>
  <si>
    <t>Yield</t>
  </si>
  <si>
    <t>Cards Issued</t>
  </si>
  <si>
    <t>Active Users - Outstanding Balance</t>
  </si>
  <si>
    <t>Avg Outstanding Loan Amount USD</t>
  </si>
  <si>
    <t>Leasehold Improvements</t>
  </si>
  <si>
    <t>Software Under Development</t>
  </si>
  <si>
    <t>Other Loss</t>
  </si>
  <si>
    <t>Other Gain</t>
  </si>
  <si>
    <t>Time Deposits</t>
  </si>
  <si>
    <t>Unrealized Loss/Gain</t>
  </si>
  <si>
    <t>Goodwill</t>
  </si>
  <si>
    <t>Customer Lists</t>
  </si>
  <si>
    <t>Human Capital</t>
  </si>
  <si>
    <t>License</t>
  </si>
  <si>
    <t xml:space="preserve">List of customer </t>
  </si>
  <si>
    <t xml:space="preserve">Captial Human </t>
  </si>
  <si>
    <t xml:space="preserve">License </t>
  </si>
  <si>
    <t>Other Debitors</t>
  </si>
  <si>
    <t>Taxes (Liability)</t>
  </si>
  <si>
    <t>FY2025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</si>
</sst>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[$-409]mmm\-yy;@"/>
    <numFmt numFmtId="167" formatCode="0.0%"/>
    <numFmt numFmtId="168" formatCode="_(* #,##0.0_);_(* \(#,##0.0\);_(* &quot;-&quot;??_);_(@_)"/>
    <numFmt numFmtId="169" formatCode="_(* #,##0.00_);_(* \(#,##0.00\);_(* &quot;-&quot;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9"/>
      <color theme="3"/>
      <name val="Gill Sans MT"/>
      <family val="2"/>
    </font>
    <font>
      <b/>
      <sz val="9"/>
      <name val="Gill Sans MT"/>
      <family val="2"/>
    </font>
    <font>
      <sz val="9"/>
      <name val="Gill Sans MT"/>
      <family val="2"/>
    </font>
    <font>
      <b/>
      <sz val="9"/>
      <color rgb="FFFF0000"/>
      <name val="Gill Sans MT"/>
      <family val="2"/>
    </font>
    <font>
      <b/>
      <u/>
      <sz val="9"/>
      <name val="Gill Sans MT"/>
      <family val="2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i/>
      <sz val="9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i/>
      <sz val="9"/>
      <color theme="1"/>
      <name val="Arial"/>
      <family val="2"/>
    </font>
    <font>
      <b/>
      <sz val="10"/>
      <color theme="3"/>
      <name val="Gill Sans MT"/>
      <family val="2"/>
    </font>
    <font>
      <sz val="10"/>
      <color theme="1"/>
      <name val="Calibri"/>
      <family val="2"/>
      <scheme val="minor"/>
    </font>
    <font>
      <b/>
      <sz val="10"/>
      <name val="Gill Sans MT"/>
      <family val="2"/>
    </font>
    <font>
      <sz val="10"/>
      <name val="Gill Sans MT"/>
      <family val="2"/>
    </font>
    <font>
      <b/>
      <sz val="10"/>
      <color rgb="FFFF0000"/>
      <name val="Gill Sans MT"/>
      <family val="2"/>
    </font>
    <font>
      <sz val="9"/>
      <color rgb="FF0070C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595959"/>
        <bgColor indexed="64"/>
      </patternFill>
    </fill>
    <fill>
      <patternFill patternType="solid">
        <fgColor rgb="FFCFE3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3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14">
    <xf numFmtId="0" fontId="0" fillId="0" borderId="0" xfId="0"/>
    <xf numFmtId="0" fontId="3" fillId="2" borderId="2" xfId="4" applyFont="1" applyFill="1" applyBorder="1" applyAlignment="1">
      <alignment wrapText="1"/>
    </xf>
    <xf numFmtId="43" fontId="5" fillId="2" borderId="4" xfId="1" applyFont="1" applyFill="1" applyBorder="1"/>
    <xf numFmtId="42" fontId="6" fillId="2" borderId="4" xfId="0" applyNumberFormat="1" applyFont="1" applyFill="1" applyBorder="1"/>
    <xf numFmtId="41" fontId="5" fillId="2" borderId="4" xfId="0" applyNumberFormat="1" applyFont="1" applyFill="1" applyBorder="1"/>
    <xf numFmtId="4" fontId="0" fillId="0" borderId="0" xfId="0" applyNumberFormat="1"/>
    <xf numFmtId="43" fontId="0" fillId="0" borderId="0" xfId="0" applyNumberFormat="1"/>
    <xf numFmtId="41" fontId="6" fillId="2" borderId="4" xfId="0" applyNumberFormat="1" applyFont="1" applyFill="1" applyBorder="1"/>
    <xf numFmtId="43" fontId="0" fillId="0" borderId="0" xfId="1" applyFont="1"/>
    <xf numFmtId="41" fontId="5" fillId="2" borderId="4" xfId="1" applyNumberFormat="1" applyFont="1" applyFill="1" applyBorder="1"/>
    <xf numFmtId="164" fontId="5" fillId="2" borderId="4" xfId="1" applyNumberFormat="1" applyFont="1" applyFill="1" applyBorder="1"/>
    <xf numFmtId="164" fontId="5" fillId="2" borderId="4" xfId="1" applyNumberFormat="1" applyFont="1" applyFill="1" applyBorder="1" applyProtection="1"/>
    <xf numFmtId="42" fontId="4" fillId="2" borderId="4" xfId="1" applyNumberFormat="1" applyFont="1" applyFill="1" applyBorder="1"/>
    <xf numFmtId="164" fontId="5" fillId="2" borderId="5" xfId="1" applyNumberFormat="1" applyFont="1" applyFill="1" applyBorder="1"/>
    <xf numFmtId="164" fontId="5" fillId="2" borderId="3" xfId="1" applyNumberFormat="1" applyFont="1" applyFill="1" applyBorder="1"/>
    <xf numFmtId="42" fontId="6" fillId="2" borderId="4" xfId="1" applyNumberFormat="1" applyFont="1" applyFill="1" applyBorder="1"/>
    <xf numFmtId="0" fontId="5" fillId="0" borderId="4" xfId="0" applyFont="1" applyBorder="1" applyAlignment="1">
      <alignment horizontal="left" vertical="center"/>
    </xf>
    <xf numFmtId="165" fontId="5" fillId="2" borderId="4" xfId="1" applyNumberFormat="1" applyFont="1" applyFill="1" applyBorder="1"/>
    <xf numFmtId="0" fontId="4" fillId="0" borderId="4" xfId="0" applyFont="1" applyBorder="1" applyAlignment="1">
      <alignment horizontal="left"/>
    </xf>
    <xf numFmtId="42" fontId="4" fillId="3" borderId="4" xfId="0" applyNumberFormat="1" applyFont="1" applyFill="1" applyBorder="1" applyAlignment="1">
      <alignment horizontal="left"/>
    </xf>
    <xf numFmtId="0" fontId="5" fillId="0" borderId="4" xfId="0" applyFont="1" applyBorder="1" applyAlignment="1">
      <alignment horizontal="left" indent="3"/>
    </xf>
    <xf numFmtId="165" fontId="5" fillId="2" borderId="4" xfId="0" applyNumberFormat="1" applyFont="1" applyFill="1" applyBorder="1"/>
    <xf numFmtId="0" fontId="5" fillId="0" borderId="4" xfId="0" applyFont="1" applyBorder="1" applyAlignment="1" applyProtection="1">
      <alignment horizontal="left" indent="3"/>
      <protection locked="0"/>
    </xf>
    <xf numFmtId="0" fontId="4" fillId="4" borderId="4" xfId="0" applyFont="1" applyFill="1" applyBorder="1" applyAlignment="1">
      <alignment horizontal="left"/>
    </xf>
    <xf numFmtId="0" fontId="7" fillId="0" borderId="4" xfId="0" applyFont="1" applyBorder="1" applyAlignment="1">
      <alignment horizontal="left"/>
    </xf>
    <xf numFmtId="0" fontId="5" fillId="4" borderId="4" xfId="0" applyFont="1" applyFill="1" applyBorder="1" applyAlignment="1">
      <alignment horizontal="left" indent="3"/>
    </xf>
    <xf numFmtId="164" fontId="6" fillId="2" borderId="4" xfId="2" applyNumberFormat="1" applyFont="1" applyFill="1" applyBorder="1"/>
    <xf numFmtId="0" fontId="4" fillId="0" borderId="4" xfId="0" applyFont="1" applyBorder="1"/>
    <xf numFmtId="0" fontId="4" fillId="0" borderId="3" xfId="0" applyFont="1" applyBorder="1"/>
    <xf numFmtId="40" fontId="5" fillId="0" borderId="3" xfId="1" applyNumberFormat="1" applyFont="1" applyFill="1" applyBorder="1"/>
    <xf numFmtId="0" fontId="4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 indent="3"/>
    </xf>
    <xf numFmtId="0" fontId="4" fillId="0" borderId="5" xfId="0" applyFont="1" applyBorder="1" applyAlignment="1">
      <alignment horizontal="left" vertical="center"/>
    </xf>
    <xf numFmtId="164" fontId="6" fillId="2" borderId="5" xfId="1" applyNumberFormat="1" applyFont="1" applyFill="1" applyBorder="1"/>
    <xf numFmtId="0" fontId="5" fillId="0" borderId="5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41" fontId="6" fillId="2" borderId="4" xfId="2" applyNumberFormat="1" applyFont="1" applyFill="1" applyBorder="1" applyProtection="1"/>
    <xf numFmtId="41" fontId="5" fillId="2" borderId="4" xfId="1" applyNumberFormat="1" applyFont="1" applyFill="1" applyBorder="1" applyProtection="1"/>
    <xf numFmtId="41" fontId="6" fillId="2" borderId="4" xfId="1" applyNumberFormat="1" applyFont="1" applyFill="1" applyBorder="1"/>
    <xf numFmtId="0" fontId="5" fillId="0" borderId="4" xfId="0" applyFont="1" applyBorder="1"/>
    <xf numFmtId="165" fontId="5" fillId="0" borderId="3" xfId="1" applyNumberFormat="1" applyFont="1" applyFill="1" applyBorder="1"/>
    <xf numFmtId="165" fontId="0" fillId="0" borderId="0" xfId="0" applyNumberFormat="1"/>
    <xf numFmtId="0" fontId="8" fillId="5" borderId="4" xfId="0" applyFont="1" applyFill="1" applyBorder="1" applyAlignment="1">
      <alignment horizontal="center" wrapText="1"/>
    </xf>
    <xf numFmtId="0" fontId="9" fillId="6" borderId="4" xfId="0" applyFont="1" applyFill="1" applyBorder="1" applyAlignment="1">
      <alignment wrapText="1"/>
    </xf>
    <xf numFmtId="0" fontId="10" fillId="6" borderId="4" xfId="0" applyFont="1" applyFill="1" applyBorder="1" applyAlignment="1">
      <alignment wrapText="1"/>
    </xf>
    <xf numFmtId="0" fontId="10" fillId="7" borderId="4" xfId="0" applyFont="1" applyFill="1" applyBorder="1" applyAlignment="1">
      <alignment wrapText="1"/>
    </xf>
    <xf numFmtId="3" fontId="10" fillId="7" borderId="4" xfId="0" applyNumberFormat="1" applyFont="1" applyFill="1" applyBorder="1" applyAlignment="1">
      <alignment horizontal="right" wrapText="1"/>
    </xf>
    <xf numFmtId="3" fontId="11" fillId="0" borderId="0" xfId="0" applyNumberFormat="1" applyFont="1" applyAlignment="1">
      <alignment horizontal="right" wrapText="1"/>
    </xf>
    <xf numFmtId="0" fontId="9" fillId="7" borderId="4" xfId="0" applyFont="1" applyFill="1" applyBorder="1" applyAlignment="1">
      <alignment wrapText="1"/>
    </xf>
    <xf numFmtId="3" fontId="9" fillId="7" borderId="4" xfId="0" applyNumberFormat="1" applyFont="1" applyFill="1" applyBorder="1" applyAlignment="1">
      <alignment horizontal="right" wrapText="1"/>
    </xf>
    <xf numFmtId="0" fontId="12" fillId="7" borderId="4" xfId="0" applyFont="1" applyFill="1" applyBorder="1" applyAlignment="1">
      <alignment wrapText="1"/>
    </xf>
    <xf numFmtId="0" fontId="13" fillId="0" borderId="0" xfId="0" applyFont="1"/>
    <xf numFmtId="0" fontId="14" fillId="7" borderId="4" xfId="0" applyFont="1" applyFill="1" applyBorder="1" applyAlignment="1">
      <alignment wrapText="1"/>
    </xf>
    <xf numFmtId="0" fontId="10" fillId="0" borderId="4" xfId="0" applyFont="1" applyBorder="1" applyAlignment="1">
      <alignment wrapText="1"/>
    </xf>
    <xf numFmtId="0" fontId="12" fillId="0" borderId="4" xfId="0" applyFont="1" applyBorder="1" applyAlignment="1">
      <alignment wrapText="1"/>
    </xf>
    <xf numFmtId="165" fontId="10" fillId="7" borderId="4" xfId="1" applyNumberFormat="1" applyFont="1" applyFill="1" applyBorder="1" applyAlignment="1">
      <alignment horizontal="right" wrapText="1"/>
    </xf>
    <xf numFmtId="0" fontId="10" fillId="0" borderId="4" xfId="0" applyFont="1" applyBorder="1" applyAlignment="1">
      <alignment horizontal="right" wrapText="1"/>
    </xf>
    <xf numFmtId="0" fontId="11" fillId="0" borderId="0" xfId="0" applyFont="1" applyAlignment="1">
      <alignment horizontal="right" wrapText="1"/>
    </xf>
    <xf numFmtId="166" fontId="3" fillId="8" borderId="2" xfId="4" applyNumberFormat="1" applyFont="1" applyFill="1" applyBorder="1" applyAlignment="1">
      <alignment wrapText="1"/>
    </xf>
    <xf numFmtId="3" fontId="9" fillId="0" borderId="4" xfId="0" applyNumberFormat="1" applyFont="1" applyBorder="1" applyAlignment="1">
      <alignment horizontal="right" wrapText="1"/>
    </xf>
    <xf numFmtId="0" fontId="4" fillId="9" borderId="4" xfId="0" applyFont="1" applyFill="1" applyBorder="1" applyAlignment="1">
      <alignment horizontal="left"/>
    </xf>
    <xf numFmtId="42" fontId="6" fillId="9" borderId="4" xfId="0" applyNumberFormat="1" applyFont="1" applyFill="1" applyBorder="1"/>
    <xf numFmtId="0" fontId="4" fillId="10" borderId="4" xfId="0" applyFont="1" applyFill="1" applyBorder="1" applyAlignment="1">
      <alignment horizontal="left"/>
    </xf>
    <xf numFmtId="9" fontId="6" fillId="9" borderId="4" xfId="3" applyFont="1" applyFill="1" applyBorder="1"/>
    <xf numFmtId="3" fontId="10" fillId="0" borderId="4" xfId="0" applyNumberFormat="1" applyFont="1" applyBorder="1" applyAlignment="1">
      <alignment horizontal="right" wrapText="1"/>
    </xf>
    <xf numFmtId="168" fontId="5" fillId="0" borderId="4" xfId="1" applyNumberFormat="1" applyFont="1" applyBorder="1"/>
    <xf numFmtId="0" fontId="15" fillId="2" borderId="2" xfId="4" applyFont="1" applyFill="1" applyBorder="1" applyAlignment="1">
      <alignment wrapText="1"/>
    </xf>
    <xf numFmtId="166" fontId="15" fillId="8" borderId="2" xfId="4" applyNumberFormat="1" applyFont="1" applyFill="1" applyBorder="1" applyAlignment="1">
      <alignment wrapText="1"/>
    </xf>
    <xf numFmtId="0" fontId="16" fillId="0" borderId="0" xfId="0" applyFont="1"/>
    <xf numFmtId="0" fontId="17" fillId="0" borderId="4" xfId="0" applyFont="1" applyBorder="1" applyAlignment="1">
      <alignment horizontal="left" vertical="center"/>
    </xf>
    <xf numFmtId="41" fontId="18" fillId="0" borderId="4" xfId="1" applyNumberFormat="1" applyFont="1" applyFill="1" applyBorder="1"/>
    <xf numFmtId="41" fontId="18" fillId="2" borderId="4" xfId="1" applyNumberFormat="1" applyFont="1" applyFill="1" applyBorder="1"/>
    <xf numFmtId="0" fontId="18" fillId="0" borderId="4" xfId="0" applyFont="1" applyBorder="1" applyAlignment="1">
      <alignment horizontal="left" vertical="center"/>
    </xf>
    <xf numFmtId="164" fontId="18" fillId="2" borderId="4" xfId="1" applyNumberFormat="1" applyFont="1" applyFill="1" applyBorder="1"/>
    <xf numFmtId="164" fontId="18" fillId="2" borderId="4" xfId="1" applyNumberFormat="1" applyFont="1" applyFill="1" applyBorder="1" applyProtection="1"/>
    <xf numFmtId="0" fontId="18" fillId="0" borderId="4" xfId="0" applyFont="1" applyBorder="1" applyAlignment="1">
      <alignment horizontal="left" vertical="center" indent="3"/>
    </xf>
    <xf numFmtId="41" fontId="17" fillId="0" borderId="4" xfId="1" applyNumberFormat="1" applyFont="1" applyFill="1" applyBorder="1"/>
    <xf numFmtId="41" fontId="17" fillId="2" borderId="4" xfId="1" applyNumberFormat="1" applyFont="1" applyFill="1" applyBorder="1"/>
    <xf numFmtId="44" fontId="19" fillId="2" borderId="4" xfId="2" applyFont="1" applyFill="1" applyBorder="1"/>
    <xf numFmtId="42" fontId="17" fillId="2" borderId="4" xfId="1" applyNumberFormat="1" applyFont="1" applyFill="1" applyBorder="1"/>
    <xf numFmtId="0" fontId="18" fillId="0" borderId="4" xfId="0" applyFont="1" applyBorder="1"/>
    <xf numFmtId="42" fontId="18" fillId="0" borderId="4" xfId="0" applyNumberFormat="1" applyFont="1" applyBorder="1"/>
    <xf numFmtId="44" fontId="16" fillId="0" borderId="0" xfId="0" applyNumberFormat="1" applyFont="1"/>
    <xf numFmtId="167" fontId="14" fillId="7" borderId="4" xfId="3" applyNumberFormat="1" applyFont="1" applyFill="1" applyBorder="1" applyAlignment="1">
      <alignment horizontal="right" wrapText="1"/>
    </xf>
    <xf numFmtId="9" fontId="5" fillId="2" borderId="4" xfId="3" applyFont="1" applyFill="1" applyBorder="1"/>
    <xf numFmtId="166" fontId="3" fillId="11" borderId="2" xfId="4" applyNumberFormat="1" applyFont="1" applyFill="1" applyBorder="1" applyAlignment="1">
      <alignment wrapText="1"/>
    </xf>
    <xf numFmtId="42" fontId="5" fillId="2" borderId="4" xfId="0" applyNumberFormat="1" applyFont="1" applyFill="1" applyBorder="1"/>
    <xf numFmtId="165" fontId="5" fillId="0" borderId="4" xfId="1" applyNumberFormat="1" applyFont="1" applyFill="1" applyBorder="1"/>
    <xf numFmtId="166" fontId="8" fillId="12" borderId="4" xfId="0" applyNumberFormat="1" applyFont="1" applyFill="1" applyBorder="1" applyAlignment="1">
      <alignment horizontal="center" wrapText="1"/>
    </xf>
    <xf numFmtId="0" fontId="20" fillId="7" borderId="4" xfId="0" applyFont="1" applyFill="1" applyBorder="1" applyAlignment="1">
      <alignment wrapText="1"/>
    </xf>
    <xf numFmtId="3" fontId="20" fillId="7" borderId="4" xfId="0" applyNumberFormat="1" applyFont="1" applyFill="1" applyBorder="1" applyAlignment="1">
      <alignment horizontal="right" wrapText="1"/>
    </xf>
    <xf numFmtId="165" fontId="11" fillId="0" borderId="0" xfId="0" applyNumberFormat="1" applyFont="1" applyAlignment="1">
      <alignment horizontal="right" wrapText="1"/>
    </xf>
    <xf numFmtId="43" fontId="11" fillId="7" borderId="0" xfId="1" applyFont="1" applyFill="1" applyAlignment="1">
      <alignment horizontal="right" wrapText="1"/>
    </xf>
    <xf numFmtId="4" fontId="10" fillId="7" borderId="4" xfId="0" applyNumberFormat="1" applyFont="1" applyFill="1" applyBorder="1" applyAlignment="1">
      <alignment horizontal="right" wrapText="1"/>
    </xf>
    <xf numFmtId="2" fontId="12" fillId="0" borderId="4" xfId="0" applyNumberFormat="1" applyFont="1" applyBorder="1" applyAlignment="1">
      <alignment wrapText="1"/>
    </xf>
    <xf numFmtId="3" fontId="0" fillId="0" borderId="0" xfId="0" applyNumberFormat="1"/>
    <xf numFmtId="165" fontId="0" fillId="0" borderId="0" xfId="1" applyNumberFormat="1" applyFont="1"/>
    <xf numFmtId="3" fontId="13" fillId="0" borderId="0" xfId="0" applyNumberFormat="1" applyFont="1"/>
    <xf numFmtId="3" fontId="20" fillId="0" borderId="4" xfId="0" applyNumberFormat="1" applyFont="1" applyBorder="1" applyAlignment="1">
      <alignment horizontal="right" wrapText="1"/>
    </xf>
    <xf numFmtId="3" fontId="20" fillId="0" borderId="5" xfId="0" applyNumberFormat="1" applyFont="1" applyBorder="1" applyAlignment="1">
      <alignment horizontal="right" wrapText="1"/>
    </xf>
    <xf numFmtId="43" fontId="0" fillId="0" borderId="0" xfId="1" applyFont="1" applyFill="1" applyBorder="1"/>
    <xf numFmtId="43" fontId="0" fillId="0" borderId="0" xfId="1" applyFont="1" applyBorder="1"/>
    <xf numFmtId="43" fontId="6" fillId="2" borderId="0" xfId="1" applyFont="1" applyFill="1" applyBorder="1"/>
    <xf numFmtId="3" fontId="10" fillId="0" borderId="6" xfId="0" applyNumberFormat="1" applyFont="1" applyBorder="1" applyAlignment="1">
      <alignment horizontal="right" wrapText="1"/>
    </xf>
    <xf numFmtId="0" fontId="11" fillId="0" borderId="4" xfId="0" applyFont="1" applyBorder="1"/>
    <xf numFmtId="4" fontId="10" fillId="0" borderId="4" xfId="0" applyNumberFormat="1" applyFont="1" applyBorder="1" applyAlignment="1">
      <alignment horizontal="right" wrapText="1"/>
    </xf>
    <xf numFmtId="167" fontId="14" fillId="0" borderId="4" xfId="3" applyNumberFormat="1" applyFont="1" applyFill="1" applyBorder="1" applyAlignment="1">
      <alignment horizontal="right" wrapText="1"/>
    </xf>
    <xf numFmtId="165" fontId="10" fillId="0" borderId="4" xfId="1" applyNumberFormat="1" applyFont="1" applyFill="1" applyBorder="1" applyAlignment="1">
      <alignment horizontal="right" wrapText="1"/>
    </xf>
    <xf numFmtId="165" fontId="5" fillId="0" borderId="7" xfId="1" applyNumberFormat="1" applyFont="1" applyFill="1" applyBorder="1"/>
    <xf numFmtId="169" fontId="0" fillId="0" borderId="0" xfId="0" applyNumberFormat="1"/>
    <xf numFmtId="10" fontId="10" fillId="0" borderId="4" xfId="0" applyNumberFormat="1" applyFont="1" applyBorder="1" applyAlignment="1">
      <alignment horizontal="right" wrapText="1"/>
    </xf>
    <xf numFmtId="10" fontId="10" fillId="0" borderId="3" xfId="0" applyNumberFormat="1" applyFont="1" applyBorder="1" applyAlignment="1">
      <alignment horizontal="right" wrapText="1"/>
    </xf>
    <xf numFmtId="165" fontId="5" fillId="0" borderId="7" xfId="1" applyNumberFormat="1" applyFont="1" applyFill="1" applyBorder="1" applyAlignment="1">
      <alignment horizontal="right"/>
    </xf>
    <xf numFmtId="166" fontId="3" fillId="11" borderId="2" xfId="4" applyNumberFormat="1" applyFont="1" applyFill="1" applyBorder="1" applyAlignment="1">
      <alignment horizontal="right" wrapText="1"/>
    </xf>
  </cellXfs>
  <cellStyles count="5">
    <cellStyle name="Comma" xfId="1" builtinId="3"/>
    <cellStyle name="Currency" xfId="2" builtinId="4"/>
    <cellStyle name="Heading 1" xfId="4" builtinId="16"/>
    <cellStyle name="Normal" xfId="0" builtinId="0"/>
    <cellStyle name="Percent" xfId="3" builtinId="5"/>
  </cellStyles>
  <dxfs count="6">
    <dxf>
      <font>
        <color theme="0" tint="-0.24994659260841701"/>
      </font>
    </dxf>
    <dxf>
      <font>
        <color theme="0" tint="-0.24994659260841701"/>
      </font>
    </dxf>
    <dxf>
      <fill>
        <patternFill>
          <bgColor rgb="FFFFD200"/>
        </patternFill>
      </fill>
    </dxf>
    <dxf>
      <fill>
        <patternFill patternType="none">
          <bgColor indexed="65"/>
        </patternFill>
      </fill>
    </dxf>
    <dxf>
      <font>
        <color theme="0" tint="-0.34998626667073579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0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F5BBC-8C89-4ACD-91B3-C69C69999B8B}">
  <dimension ref="A1:Q45"/>
  <sheetViews>
    <sheetView showGridLines="0" tabSelected="1" zoomScaleNormal="100" workbookViewId="0">
      <pane xSplit="1" ySplit="1" topLeftCell="K6" activePane="bottomRight" state="frozen"/>
      <selection pane="topRight" activeCell="B1" sqref="B1"/>
      <selection pane="bottomLeft" activeCell="A2" sqref="A2"/>
      <selection pane="bottomRight" activeCell="P30" sqref="P30"/>
    </sheetView>
  </sheetViews>
  <sheetFormatPr defaultRowHeight="14.5" x14ac:dyDescent="0.35"/>
  <cols>
    <col min="1" max="1" width="41.08984375" customWidth="1"/>
    <col min="2" max="8" width="13.453125" customWidth="1"/>
    <col min="9" max="9" width="14.54296875" customWidth="1"/>
    <col min="10" max="10" width="14.6328125" bestFit="1" customWidth="1"/>
    <col min="11" max="16" width="14.6328125" customWidth="1"/>
    <col min="17" max="17" width="10.81640625" bestFit="1" customWidth="1"/>
  </cols>
  <sheetData>
    <row r="1" spans="1:17" x14ac:dyDescent="0.35">
      <c r="A1" s="42" t="s">
        <v>115</v>
      </c>
      <c r="B1" s="88">
        <v>45688</v>
      </c>
      <c r="C1" s="88">
        <f>EOMONTH(B1,1)</f>
        <v>45716</v>
      </c>
      <c r="D1" s="88">
        <f t="shared" ref="D1:P1" si="0">EOMONTH(C1,1)</f>
        <v>45747</v>
      </c>
      <c r="E1" s="88">
        <f t="shared" si="0"/>
        <v>45777</v>
      </c>
      <c r="F1" s="88">
        <f t="shared" si="0"/>
        <v>45808</v>
      </c>
      <c r="G1" s="88">
        <f t="shared" si="0"/>
        <v>45838</v>
      </c>
      <c r="H1" s="88">
        <f t="shared" si="0"/>
        <v>45869</v>
      </c>
      <c r="I1" s="88">
        <f t="shared" si="0"/>
        <v>45900</v>
      </c>
      <c r="J1" s="88">
        <f t="shared" si="0"/>
        <v>45930</v>
      </c>
      <c r="K1" s="88">
        <f t="shared" si="0"/>
        <v>45961</v>
      </c>
      <c r="L1" s="88">
        <f t="shared" si="0"/>
        <v>45991</v>
      </c>
      <c r="M1" s="88">
        <f t="shared" si="0"/>
        <v>46022</v>
      </c>
      <c r="N1" s="88">
        <f t="shared" si="0"/>
        <v>46053</v>
      </c>
      <c r="O1" s="88">
        <f t="shared" si="0"/>
        <v>46081</v>
      </c>
      <c r="P1" s="88">
        <f t="shared" si="0"/>
        <v>46112</v>
      </c>
    </row>
    <row r="2" spans="1:17" x14ac:dyDescent="0.35">
      <c r="A2" s="43" t="s">
        <v>116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</row>
    <row r="3" spans="1:17" x14ac:dyDescent="0.35">
      <c r="A3" s="45" t="s">
        <v>117</v>
      </c>
      <c r="B3" s="46">
        <v>494297</v>
      </c>
      <c r="C3" s="46">
        <v>504031</v>
      </c>
      <c r="D3" s="46">
        <v>513981</v>
      </c>
      <c r="E3" s="64">
        <v>522500</v>
      </c>
      <c r="F3" s="64">
        <v>538436</v>
      </c>
      <c r="G3" s="64">
        <v>543695</v>
      </c>
      <c r="H3" s="64">
        <v>552633</v>
      </c>
      <c r="I3" s="64">
        <v>559897</v>
      </c>
      <c r="J3" s="64">
        <v>567121</v>
      </c>
      <c r="K3" s="64">
        <v>573478</v>
      </c>
      <c r="L3" s="64">
        <v>579855</v>
      </c>
      <c r="M3" s="64">
        <v>584965</v>
      </c>
      <c r="N3" s="64">
        <v>591016</v>
      </c>
      <c r="O3" s="64">
        <v>596742</v>
      </c>
      <c r="P3" s="64">
        <v>600172</v>
      </c>
    </row>
    <row r="4" spans="1:17" x14ac:dyDescent="0.35">
      <c r="A4" s="45" t="s">
        <v>118</v>
      </c>
      <c r="B4" s="64">
        <v>226146</v>
      </c>
      <c r="C4" s="64">
        <v>231773</v>
      </c>
      <c r="D4" s="64">
        <v>236870</v>
      </c>
      <c r="E4" s="64">
        <v>241746</v>
      </c>
      <c r="F4" s="64">
        <v>247892</v>
      </c>
      <c r="G4" s="64">
        <v>248511</v>
      </c>
      <c r="H4" s="64">
        <v>252520</v>
      </c>
      <c r="I4" s="64">
        <v>255609</v>
      </c>
      <c r="J4" s="64">
        <v>258711</v>
      </c>
      <c r="K4" s="64">
        <v>261795</v>
      </c>
      <c r="L4" s="64">
        <v>265348</v>
      </c>
      <c r="M4" s="64">
        <v>267784</v>
      </c>
      <c r="N4" s="64">
        <v>273948</v>
      </c>
      <c r="O4" s="64">
        <v>276036</v>
      </c>
      <c r="P4" s="64">
        <v>276453</v>
      </c>
    </row>
    <row r="5" spans="1:17" x14ac:dyDescent="0.35">
      <c r="A5" s="45" t="s">
        <v>145</v>
      </c>
      <c r="B5" s="46">
        <v>42683</v>
      </c>
      <c r="C5" s="46">
        <v>43134</v>
      </c>
      <c r="D5" s="46">
        <v>43821</v>
      </c>
      <c r="E5" s="64">
        <v>40160</v>
      </c>
      <c r="F5" s="64">
        <v>39726</v>
      </c>
      <c r="G5" s="64">
        <v>17845</v>
      </c>
      <c r="H5" s="64">
        <v>30709</v>
      </c>
      <c r="I5" s="64">
        <v>30976</v>
      </c>
      <c r="J5" s="64">
        <v>31051</v>
      </c>
      <c r="K5" s="64">
        <v>29324</v>
      </c>
      <c r="L5" s="64">
        <v>28620</v>
      </c>
      <c r="M5" s="64">
        <v>28047</v>
      </c>
      <c r="N5" s="64">
        <v>28830</v>
      </c>
      <c r="O5" s="64">
        <v>27628</v>
      </c>
      <c r="P5" s="64">
        <v>28083</v>
      </c>
    </row>
    <row r="6" spans="1:17" x14ac:dyDescent="0.35">
      <c r="A6" s="45" t="s">
        <v>119</v>
      </c>
      <c r="B6" s="46">
        <v>38934</v>
      </c>
      <c r="C6" s="46">
        <v>39521</v>
      </c>
      <c r="D6" s="46">
        <v>40272</v>
      </c>
      <c r="E6" s="64">
        <v>37102</v>
      </c>
      <c r="F6" s="64">
        <v>34752</v>
      </c>
      <c r="G6" s="64">
        <v>16769</v>
      </c>
      <c r="H6" s="64">
        <v>28742</v>
      </c>
      <c r="I6" s="64">
        <v>29008</v>
      </c>
      <c r="J6" s="64">
        <v>29335</v>
      </c>
      <c r="K6" s="64">
        <v>27605</v>
      </c>
      <c r="L6" s="64">
        <v>27090</v>
      </c>
      <c r="M6" s="64">
        <v>26638</v>
      </c>
      <c r="N6" s="64">
        <v>27083</v>
      </c>
      <c r="O6" s="64">
        <v>25590</v>
      </c>
      <c r="P6" s="64">
        <v>26866</v>
      </c>
    </row>
    <row r="7" spans="1:17" x14ac:dyDescent="0.35">
      <c r="A7" s="89" t="s">
        <v>147</v>
      </c>
      <c r="B7" s="90">
        <v>5122</v>
      </c>
      <c r="C7" s="90">
        <v>4899</v>
      </c>
      <c r="D7" s="90">
        <v>3252</v>
      </c>
      <c r="E7" s="98">
        <v>4760</v>
      </c>
      <c r="F7" s="98">
        <v>6403</v>
      </c>
      <c r="G7" s="98">
        <v>3374</v>
      </c>
      <c r="H7" s="98">
        <v>5999</v>
      </c>
      <c r="I7" s="98">
        <v>4623</v>
      </c>
      <c r="J7" s="98">
        <v>4392</v>
      </c>
      <c r="K7" s="98">
        <v>3462</v>
      </c>
      <c r="L7" s="98">
        <v>3505</v>
      </c>
      <c r="M7" s="98">
        <v>2180</v>
      </c>
      <c r="N7" s="98">
        <v>3744</v>
      </c>
      <c r="O7" s="98">
        <v>3864</v>
      </c>
      <c r="P7" s="98">
        <v>2187</v>
      </c>
    </row>
    <row r="8" spans="1:17" x14ac:dyDescent="0.35">
      <c r="A8" s="45" t="s">
        <v>120</v>
      </c>
      <c r="B8" s="46">
        <v>103802</v>
      </c>
      <c r="C8" s="46">
        <v>98457</v>
      </c>
      <c r="D8" s="46">
        <v>99541</v>
      </c>
      <c r="E8" s="64">
        <v>85519</v>
      </c>
      <c r="F8" s="64">
        <v>83805</v>
      </c>
      <c r="G8" s="64">
        <v>36808</v>
      </c>
      <c r="H8" s="64">
        <v>68162</v>
      </c>
      <c r="I8" s="64">
        <v>69070</v>
      </c>
      <c r="J8" s="64">
        <v>67892</v>
      </c>
      <c r="K8" s="64">
        <v>64241</v>
      </c>
      <c r="L8" s="64">
        <v>61358</v>
      </c>
      <c r="M8" s="64">
        <v>61470</v>
      </c>
      <c r="N8" s="64">
        <v>62474</v>
      </c>
      <c r="O8" s="64">
        <v>56834</v>
      </c>
      <c r="P8" s="64">
        <v>59121</v>
      </c>
    </row>
    <row r="9" spans="1:17" x14ac:dyDescent="0.35">
      <c r="A9" s="45" t="s">
        <v>121</v>
      </c>
      <c r="B9" s="46">
        <v>2034325.96</v>
      </c>
      <c r="C9" s="46">
        <v>2434497.19</v>
      </c>
      <c r="D9" s="46">
        <v>3067014.66</v>
      </c>
      <c r="E9" s="46">
        <v>2290037.73</v>
      </c>
      <c r="F9" s="46">
        <v>3760153.5</v>
      </c>
      <c r="G9" s="46">
        <v>932695.52</v>
      </c>
      <c r="H9" s="46">
        <v>1491979.29</v>
      </c>
      <c r="I9" s="46">
        <v>1508302.21</v>
      </c>
      <c r="J9" s="46">
        <v>1523537.43</v>
      </c>
      <c r="K9" s="46">
        <v>1430445.19</v>
      </c>
      <c r="L9" s="46">
        <v>1371618.98</v>
      </c>
      <c r="M9" s="46">
        <v>1384192.58</v>
      </c>
      <c r="N9" s="46">
        <v>1509027</v>
      </c>
      <c r="O9" s="46">
        <v>1615851.3559322034</v>
      </c>
      <c r="P9" s="46">
        <v>1431445.2797538936</v>
      </c>
      <c r="Q9" s="95"/>
    </row>
    <row r="10" spans="1:17" x14ac:dyDescent="0.35">
      <c r="A10" s="45" t="s">
        <v>122</v>
      </c>
      <c r="B10" s="46">
        <v>4756632.07</v>
      </c>
      <c r="C10" s="46">
        <v>6256569.5</v>
      </c>
      <c r="D10" s="46">
        <v>7169230.4800000004</v>
      </c>
      <c r="E10" s="46">
        <v>5467515.1799999997</v>
      </c>
      <c r="F10" s="46">
        <v>6581188.3300000001</v>
      </c>
      <c r="G10" s="46">
        <v>7066495.9800000004</v>
      </c>
      <c r="H10" s="46">
        <v>6642667.1900000004</v>
      </c>
      <c r="I10" s="46">
        <v>6875077.5999999996</v>
      </c>
      <c r="J10" s="46">
        <v>6855507.8799999999</v>
      </c>
      <c r="K10" s="46">
        <v>6726503.7199999997</v>
      </c>
      <c r="L10" s="46">
        <v>6829381.1900000004</v>
      </c>
      <c r="M10" s="46">
        <v>7991266.4299999997</v>
      </c>
      <c r="N10" s="46">
        <v>6087382</v>
      </c>
      <c r="O10" s="46">
        <v>4999903.0508474577</v>
      </c>
      <c r="P10" s="46">
        <v>5161476.2161122859</v>
      </c>
      <c r="Q10" s="95"/>
    </row>
    <row r="11" spans="1:17" x14ac:dyDescent="0.35">
      <c r="A11" s="48" t="s">
        <v>123</v>
      </c>
      <c r="B11" s="59">
        <v>11061300.563904533</v>
      </c>
      <c r="C11" s="59">
        <v>11639440.519841468</v>
      </c>
      <c r="D11" s="59">
        <v>12389537.603292715</v>
      </c>
      <c r="E11" s="59">
        <v>13117178.399697702</v>
      </c>
      <c r="F11" s="59">
        <v>15154151.651879543</v>
      </c>
      <c r="G11" s="59">
        <v>14238202.25012929</v>
      </c>
      <c r="H11" s="59">
        <v>14078837.642971825</v>
      </c>
      <c r="I11" s="59">
        <v>13734581.910415545</v>
      </c>
      <c r="J11" s="59">
        <v>13548324.361105917</v>
      </c>
      <c r="K11" s="59">
        <v>13241065.484187564</v>
      </c>
      <c r="L11" s="59">
        <v>12817594.614791134</v>
      </c>
      <c r="M11" s="59">
        <v>12199560.715093087</v>
      </c>
      <c r="N11" s="59">
        <f>BS!C5</f>
        <v>12205653.365493111</v>
      </c>
      <c r="O11" s="59">
        <f>BS!D5</f>
        <v>12003091.181120481</v>
      </c>
      <c r="P11" s="59">
        <f>BS!E5</f>
        <v>10289265.808796242</v>
      </c>
      <c r="Q11" s="96"/>
    </row>
    <row r="12" spans="1:17" s="51" customFormat="1" x14ac:dyDescent="0.35">
      <c r="A12" s="50" t="s">
        <v>124</v>
      </c>
      <c r="B12" s="93">
        <v>50.24</v>
      </c>
      <c r="C12" s="93">
        <v>50.66</v>
      </c>
      <c r="D12" s="93">
        <v>50.58</v>
      </c>
      <c r="E12" s="105">
        <v>50.81</v>
      </c>
      <c r="F12" s="105">
        <v>49.74</v>
      </c>
      <c r="G12" s="105">
        <v>49.6</v>
      </c>
      <c r="H12" s="105">
        <v>48.68</v>
      </c>
      <c r="I12" s="105">
        <v>48.48</v>
      </c>
      <c r="J12" s="105">
        <v>47.87</v>
      </c>
      <c r="K12" s="105">
        <v>47.22</v>
      </c>
      <c r="L12" s="105">
        <v>47.578949999999999</v>
      </c>
      <c r="M12" s="105">
        <v>47.68</v>
      </c>
      <c r="N12" s="105">
        <v>46.91</v>
      </c>
      <c r="O12" s="105">
        <v>47.93</v>
      </c>
      <c r="P12" s="105">
        <v>54.59</v>
      </c>
    </row>
    <row r="13" spans="1:17" s="51" customFormat="1" x14ac:dyDescent="0.35">
      <c r="A13" s="89" t="s">
        <v>148</v>
      </c>
      <c r="B13" s="90">
        <v>99096</v>
      </c>
      <c r="C13" s="90">
        <v>100196</v>
      </c>
      <c r="D13" s="90">
        <v>100800</v>
      </c>
      <c r="E13" s="90">
        <v>104050</v>
      </c>
      <c r="F13" s="90">
        <v>109045</v>
      </c>
      <c r="G13" s="90">
        <v>103374</v>
      </c>
      <c r="H13" s="90">
        <v>102580</v>
      </c>
      <c r="I13" s="98">
        <v>100534</v>
      </c>
      <c r="J13" s="98">
        <v>100156</v>
      </c>
      <c r="K13" s="98">
        <v>99104</v>
      </c>
      <c r="L13" s="98">
        <v>98455</v>
      </c>
      <c r="M13" s="98">
        <v>96504</v>
      </c>
      <c r="N13" s="98">
        <v>95897</v>
      </c>
      <c r="O13" s="98">
        <v>95956</v>
      </c>
      <c r="P13" s="98">
        <v>94320</v>
      </c>
      <c r="Q13" s="97"/>
    </row>
    <row r="14" spans="1:17" s="51" customFormat="1" x14ac:dyDescent="0.35">
      <c r="A14" s="89" t="s">
        <v>149</v>
      </c>
      <c r="B14" s="90">
        <f t="shared" ref="B14:H14" si="1">B11/B13</f>
        <v>111.62206914410807</v>
      </c>
      <c r="C14" s="90">
        <f t="shared" si="1"/>
        <v>116.16671843029131</v>
      </c>
      <c r="D14" s="90">
        <f t="shared" si="1"/>
        <v>122.91207939774519</v>
      </c>
      <c r="E14" s="90">
        <f t="shared" si="1"/>
        <v>126.06610667657571</v>
      </c>
      <c r="F14" s="90">
        <f t="shared" si="1"/>
        <v>138.97154066559258</v>
      </c>
      <c r="G14" s="90">
        <f t="shared" si="1"/>
        <v>137.73484870595402</v>
      </c>
      <c r="H14" s="90">
        <f t="shared" si="1"/>
        <v>137.24739367295598</v>
      </c>
      <c r="I14" s="99">
        <f>I11/I13</f>
        <v>136.61628812556492</v>
      </c>
      <c r="J14" s="99">
        <f t="shared" ref="J14:L14" si="2">J11/J13</f>
        <v>135.27221894949795</v>
      </c>
      <c r="K14" s="99">
        <f t="shared" si="2"/>
        <v>133.6077805556543</v>
      </c>
      <c r="L14" s="99">
        <f t="shared" si="2"/>
        <v>130.1873405595565</v>
      </c>
      <c r="M14" s="99">
        <f t="shared" ref="M14:N14" si="3">M11/M13</f>
        <v>126.41507828787498</v>
      </c>
      <c r="N14" s="99">
        <f t="shared" si="3"/>
        <v>127.27878208383069</v>
      </c>
      <c r="O14" s="99">
        <f t="shared" ref="O14:P14" si="4">O11/O13</f>
        <v>125.08953250573681</v>
      </c>
      <c r="P14" s="99">
        <f>P11/P13</f>
        <v>109.08890806611791</v>
      </c>
    </row>
    <row r="15" spans="1:17" x14ac:dyDescent="0.35">
      <c r="A15" s="45" t="s">
        <v>125</v>
      </c>
      <c r="B15" s="64">
        <v>11881.87</v>
      </c>
      <c r="C15" s="64">
        <v>5744.77</v>
      </c>
      <c r="D15" s="64">
        <v>18870.7</v>
      </c>
      <c r="E15" s="64">
        <v>12523.69</v>
      </c>
      <c r="F15" s="64">
        <v>14399.5</v>
      </c>
      <c r="G15" s="64">
        <v>17821.75</v>
      </c>
      <c r="H15" s="103">
        <v>2576.1799999999998</v>
      </c>
      <c r="I15" s="64">
        <v>457.34</v>
      </c>
      <c r="J15" s="64">
        <v>3322.4</v>
      </c>
      <c r="K15" s="64">
        <v>2531.36</v>
      </c>
      <c r="L15" s="64">
        <v>-553.13</v>
      </c>
      <c r="M15" s="64">
        <v>75794.47</v>
      </c>
      <c r="N15" s="64">
        <v>-46963</v>
      </c>
      <c r="O15" s="64">
        <v>95.61440677966101</v>
      </c>
      <c r="P15" s="64">
        <v>700.4999038646414</v>
      </c>
    </row>
    <row r="16" spans="1:17" x14ac:dyDescent="0.35">
      <c r="A16" s="45" t="s">
        <v>126</v>
      </c>
      <c r="B16" s="110">
        <v>7.1999999999999998E-3</v>
      </c>
      <c r="C16" s="110">
        <v>7.7999999999999996E-3</v>
      </c>
      <c r="D16" s="110">
        <v>8.0999999999999996E-3</v>
      </c>
      <c r="E16" s="110">
        <v>8.0000000000000002E-3</v>
      </c>
      <c r="F16" s="110">
        <v>7.4999999999999997E-3</v>
      </c>
      <c r="G16" s="110">
        <v>7.7999999999999996E-3</v>
      </c>
      <c r="H16" s="110">
        <v>9.9000000000000008E-3</v>
      </c>
      <c r="I16" s="111">
        <v>8.9999999999999993E-3</v>
      </c>
      <c r="J16" s="111">
        <v>8.6E-3</v>
      </c>
      <c r="K16" s="111">
        <v>8.3999999999999995E-3</v>
      </c>
      <c r="L16" s="111">
        <v>8.0999999999999996E-3</v>
      </c>
      <c r="M16" s="111">
        <v>7.7999999999999996E-3</v>
      </c>
      <c r="N16" s="111">
        <v>9.9000000000000008E-3</v>
      </c>
      <c r="O16" s="111">
        <v>8.8000000000000005E-3</v>
      </c>
      <c r="P16" s="111">
        <v>9.9000000000000008E-3</v>
      </c>
    </row>
    <row r="17" spans="1:16" x14ac:dyDescent="0.35">
      <c r="A17" s="53" t="s">
        <v>127</v>
      </c>
      <c r="B17" s="110">
        <v>3.3999999999999998E-3</v>
      </c>
      <c r="C17" s="110">
        <v>3.8E-3</v>
      </c>
      <c r="D17" s="110">
        <v>4.3E-3</v>
      </c>
      <c r="E17" s="110">
        <v>4.3E-3</v>
      </c>
      <c r="F17" s="110">
        <v>4.1999999999999997E-3</v>
      </c>
      <c r="G17" s="110">
        <v>4.4999999999999997E-3</v>
      </c>
      <c r="H17" s="110">
        <v>5.0000000000000001E-3</v>
      </c>
      <c r="I17" s="110">
        <v>4.8999999999999998E-3</v>
      </c>
      <c r="J17" s="110">
        <v>5.4000000000000003E-3</v>
      </c>
      <c r="K17" s="110">
        <v>5.1999999999999998E-3</v>
      </c>
      <c r="L17" s="110">
        <v>5.3E-3</v>
      </c>
      <c r="M17" s="110">
        <v>4.4000000000000003E-3</v>
      </c>
      <c r="N17" s="110">
        <v>5.0000000000000001E-3</v>
      </c>
      <c r="O17" s="110">
        <v>4.3E-3</v>
      </c>
      <c r="P17" s="110">
        <v>6.1999999999999998E-3</v>
      </c>
    </row>
    <row r="18" spans="1:16" x14ac:dyDescent="0.35">
      <c r="A18" s="43" t="s">
        <v>128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</row>
    <row r="19" spans="1:16" x14ac:dyDescent="0.35">
      <c r="A19" s="50" t="s">
        <v>129</v>
      </c>
      <c r="B19" s="54">
        <v>50.42</v>
      </c>
      <c r="C19" s="94">
        <v>50.5</v>
      </c>
      <c r="D19" s="94">
        <v>50.62</v>
      </c>
      <c r="E19" s="94">
        <v>51.07</v>
      </c>
      <c r="F19" s="94">
        <v>50.22</v>
      </c>
      <c r="G19" s="94">
        <v>50.03</v>
      </c>
      <c r="H19" s="94">
        <v>49.25</v>
      </c>
      <c r="I19" s="104">
        <v>48.48</v>
      </c>
      <c r="J19" s="105">
        <v>48.22</v>
      </c>
      <c r="K19" s="105">
        <v>47.58</v>
      </c>
      <c r="L19" s="105">
        <v>47.392040476190495</v>
      </c>
      <c r="M19" s="105">
        <v>47.57</v>
      </c>
      <c r="N19" s="105">
        <v>47.25</v>
      </c>
      <c r="O19" s="105">
        <v>47.2</v>
      </c>
      <c r="P19" s="105">
        <v>52.01</v>
      </c>
    </row>
    <row r="20" spans="1:16" x14ac:dyDescent="0.35">
      <c r="A20" s="45" t="s">
        <v>130</v>
      </c>
      <c r="B20" s="46">
        <v>745050</v>
      </c>
      <c r="C20" s="46">
        <v>794773</v>
      </c>
      <c r="D20" s="46">
        <v>970779</v>
      </c>
      <c r="E20" s="46">
        <v>835694</v>
      </c>
      <c r="F20" s="46">
        <v>985554</v>
      </c>
      <c r="G20" s="46">
        <v>814277</v>
      </c>
      <c r="H20" s="46">
        <v>816611</v>
      </c>
      <c r="I20" s="46">
        <v>808339</v>
      </c>
      <c r="J20" s="46">
        <v>791822.05</v>
      </c>
      <c r="K20" s="46">
        <v>788082.44</v>
      </c>
      <c r="L20" s="46">
        <v>776560.51</v>
      </c>
      <c r="M20" s="46">
        <v>773913.75</v>
      </c>
      <c r="N20" s="46">
        <f>'PL - Consolidated'!C5</f>
        <v>759509.94000000006</v>
      </c>
      <c r="O20" s="46">
        <f>'PL - Consolidated'!D5</f>
        <v>761899.95</v>
      </c>
      <c r="P20" s="46">
        <f>'PL - Consolidated'!E5</f>
        <v>646844.03999999992</v>
      </c>
    </row>
    <row r="21" spans="1:16" s="51" customFormat="1" x14ac:dyDescent="0.35">
      <c r="A21" s="52" t="s">
        <v>146</v>
      </c>
      <c r="B21" s="83">
        <v>6.8170984055323666E-2</v>
      </c>
      <c r="C21" s="83">
        <v>7.0021766872542052E-2</v>
      </c>
      <c r="D21" s="83">
        <v>8.080068948628083E-2</v>
      </c>
      <c r="E21" s="106">
        <v>6.5527369333004126E-2</v>
      </c>
      <c r="F21" s="106">
        <v>6.9721091876610616E-2</v>
      </c>
      <c r="G21" s="106">
        <v>5.5407403075964458E-2</v>
      </c>
      <c r="H21" s="106">
        <v>5.7676296892808426E-2</v>
      </c>
      <c r="I21" s="106">
        <v>5.8125826524020714E-2</v>
      </c>
      <c r="J21" s="106">
        <v>5.8045286093770916E-2</v>
      </c>
      <c r="K21" s="106">
        <v>5.8835415405211623E-2</v>
      </c>
      <c r="L21" s="106">
        <v>5.9600954696088559E-2</v>
      </c>
      <c r="M21" s="106">
        <v>6.1870643547991398E-2</v>
      </c>
      <c r="N21" s="106">
        <f>N20/AVERAGE(BS!B5:C5)</f>
        <v>6.2241612590825272E-2</v>
      </c>
      <c r="O21" s="106">
        <f>O20/AVERAGE(BS!C5:D5)</f>
        <v>6.2944193453152636E-2</v>
      </c>
      <c r="P21" s="106">
        <f>P20/AVERAGE(BS!D5:E5)</f>
        <v>5.8032808311169637E-2</v>
      </c>
    </row>
    <row r="22" spans="1:16" x14ac:dyDescent="0.35">
      <c r="A22" s="53" t="s">
        <v>131</v>
      </c>
      <c r="B22" s="46">
        <v>691975</v>
      </c>
      <c r="C22" s="46">
        <v>736166</v>
      </c>
      <c r="D22" s="46">
        <v>870916</v>
      </c>
      <c r="E22" s="64">
        <v>779896</v>
      </c>
      <c r="F22" s="64">
        <v>897696</v>
      </c>
      <c r="G22" s="64">
        <v>789359</v>
      </c>
      <c r="H22" s="64">
        <v>784734</v>
      </c>
      <c r="I22" s="64">
        <v>773040</v>
      </c>
      <c r="J22" s="64">
        <v>760350.15</v>
      </c>
      <c r="K22" s="64">
        <v>756243.61</v>
      </c>
      <c r="L22" s="64">
        <v>743422.73</v>
      </c>
      <c r="M22" s="64">
        <v>727680.51</v>
      </c>
      <c r="N22" s="64">
        <v>724327.09</v>
      </c>
      <c r="O22" s="64">
        <v>715425.42</v>
      </c>
      <c r="P22" s="64">
        <v>620759.21</v>
      </c>
    </row>
    <row r="23" spans="1:16" x14ac:dyDescent="0.35">
      <c r="A23" s="53" t="s">
        <v>132</v>
      </c>
      <c r="B23" s="46">
        <v>53075</v>
      </c>
      <c r="C23" s="46">
        <v>58607</v>
      </c>
      <c r="D23" s="46">
        <v>99863</v>
      </c>
      <c r="E23" s="64">
        <v>55799</v>
      </c>
      <c r="F23" s="64">
        <v>87858</v>
      </c>
      <c r="G23" s="64">
        <v>24919</v>
      </c>
      <c r="H23" s="64">
        <v>31877</v>
      </c>
      <c r="I23" s="64">
        <v>34070</v>
      </c>
      <c r="J23" s="64">
        <v>29156.65</v>
      </c>
      <c r="K23" s="64">
        <v>31838.83</v>
      </c>
      <c r="L23" s="64">
        <v>33137.78</v>
      </c>
      <c r="M23" s="64">
        <v>46233.24</v>
      </c>
      <c r="N23" s="64">
        <f>N20-N22</f>
        <v>35182.850000000093</v>
      </c>
      <c r="O23" s="64">
        <f>O20-O22</f>
        <v>46474.529999999912</v>
      </c>
      <c r="P23" s="64">
        <v>26084.81</v>
      </c>
    </row>
    <row r="24" spans="1:16" x14ac:dyDescent="0.35">
      <c r="A24" s="48" t="s">
        <v>133</v>
      </c>
      <c r="B24" s="49">
        <f>B20*12</f>
        <v>8940600</v>
      </c>
      <c r="C24" s="49">
        <f t="shared" ref="C24:N24" si="5">C20*12</f>
        <v>9537276</v>
      </c>
      <c r="D24" s="49">
        <f t="shared" si="5"/>
        <v>11649348</v>
      </c>
      <c r="E24" s="59">
        <f t="shared" si="5"/>
        <v>10028328</v>
      </c>
      <c r="F24" s="59">
        <f t="shared" si="5"/>
        <v>11826648</v>
      </c>
      <c r="G24" s="59">
        <f t="shared" si="5"/>
        <v>9771324</v>
      </c>
      <c r="H24" s="59">
        <f t="shared" si="5"/>
        <v>9799332</v>
      </c>
      <c r="I24" s="59">
        <f t="shared" si="5"/>
        <v>9700068</v>
      </c>
      <c r="J24" s="59">
        <f t="shared" si="5"/>
        <v>9501864.6000000015</v>
      </c>
      <c r="K24" s="59">
        <f t="shared" si="5"/>
        <v>9456989.2799999993</v>
      </c>
      <c r="L24" s="59">
        <f t="shared" si="5"/>
        <v>9318726.120000001</v>
      </c>
      <c r="M24" s="59">
        <f t="shared" si="5"/>
        <v>9286965</v>
      </c>
      <c r="N24" s="59">
        <f t="shared" si="5"/>
        <v>9114119.2800000012</v>
      </c>
      <c r="O24" s="59">
        <f t="shared" ref="O24:P24" si="6">O20*12</f>
        <v>9142799.3999999985</v>
      </c>
      <c r="P24" s="59">
        <f t="shared" si="6"/>
        <v>7762128.4799999986</v>
      </c>
    </row>
    <row r="25" spans="1:16" x14ac:dyDescent="0.35">
      <c r="A25" s="53" t="s">
        <v>134</v>
      </c>
      <c r="B25" s="55">
        <v>-377388.1265540137</v>
      </c>
      <c r="C25" s="55">
        <v>-223886.36622325203</v>
      </c>
      <c r="D25" s="55">
        <v>-178402.62017718237</v>
      </c>
      <c r="E25" s="107">
        <v>-195184.85503784544</v>
      </c>
      <c r="F25" s="107">
        <v>-286199.21677998878</v>
      </c>
      <c r="G25" s="107">
        <v>-175204.63862659165</v>
      </c>
      <c r="H25" s="107">
        <v>-288182.97535986925</v>
      </c>
      <c r="I25" s="107">
        <v>-308458.22217269224</v>
      </c>
      <c r="J25" s="107">
        <v>-285954.10681645601</v>
      </c>
      <c r="K25" s="107">
        <v>-372683.21970898134</v>
      </c>
      <c r="L25" s="107">
        <v>-433063.2037150166</v>
      </c>
      <c r="M25" s="107">
        <v>-261404.93468693597</v>
      </c>
      <c r="N25" s="107">
        <f>'PL - Consolidated'!C39</f>
        <v>-360974.61927025166</v>
      </c>
      <c r="O25" s="107">
        <f>'PL - Consolidated'!D39</f>
        <v>-261553.7338214835</v>
      </c>
      <c r="P25" s="107">
        <f>'PL - Consolidated'!E39</f>
        <v>-361897.6660581067</v>
      </c>
    </row>
    <row r="26" spans="1:16" x14ac:dyDescent="0.35">
      <c r="A26" s="43" t="s">
        <v>135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</row>
    <row r="27" spans="1:16" x14ac:dyDescent="0.35">
      <c r="A27" s="45" t="s">
        <v>136</v>
      </c>
      <c r="B27" s="53">
        <v>345</v>
      </c>
      <c r="C27" s="53">
        <v>345</v>
      </c>
      <c r="D27" s="53">
        <v>348</v>
      </c>
      <c r="E27" s="53">
        <v>354</v>
      </c>
      <c r="F27" s="53">
        <v>353</v>
      </c>
      <c r="G27" s="53">
        <v>355</v>
      </c>
      <c r="H27" s="53">
        <v>361</v>
      </c>
      <c r="I27" s="53">
        <v>359</v>
      </c>
      <c r="J27" s="53">
        <v>375</v>
      </c>
      <c r="K27" s="53">
        <v>377</v>
      </c>
      <c r="L27" s="53">
        <v>381</v>
      </c>
      <c r="M27" s="53">
        <v>386</v>
      </c>
      <c r="N27" s="53">
        <v>383</v>
      </c>
      <c r="O27" s="53">
        <v>376</v>
      </c>
      <c r="P27" s="53">
        <f>368+1+4</f>
        <v>373</v>
      </c>
    </row>
    <row r="28" spans="1:16" x14ac:dyDescent="0.35">
      <c r="A28" s="45" t="s">
        <v>137</v>
      </c>
      <c r="B28" s="53">
        <v>142</v>
      </c>
      <c r="C28" s="53">
        <v>141</v>
      </c>
      <c r="D28" s="53">
        <v>142</v>
      </c>
      <c r="E28" s="53">
        <v>141</v>
      </c>
      <c r="F28" s="53">
        <v>140</v>
      </c>
      <c r="G28" s="53">
        <v>138</v>
      </c>
      <c r="H28" s="53">
        <v>143</v>
      </c>
      <c r="I28" s="53">
        <v>140</v>
      </c>
      <c r="J28" s="53">
        <v>141</v>
      </c>
      <c r="K28" s="53">
        <v>144</v>
      </c>
      <c r="L28" s="53">
        <v>152</v>
      </c>
      <c r="M28" s="53">
        <v>152</v>
      </c>
      <c r="N28" s="53">
        <v>149</v>
      </c>
      <c r="O28" s="53">
        <v>146</v>
      </c>
      <c r="P28" s="53">
        <f>P27-224-5</f>
        <v>144</v>
      </c>
    </row>
    <row r="29" spans="1:16" x14ac:dyDescent="0.35">
      <c r="A29" s="45" t="s">
        <v>138</v>
      </c>
      <c r="B29" s="56">
        <v>17</v>
      </c>
      <c r="C29" s="56">
        <v>18</v>
      </c>
      <c r="D29" s="56">
        <v>18</v>
      </c>
      <c r="E29" s="56">
        <v>18</v>
      </c>
      <c r="F29" s="56">
        <v>18</v>
      </c>
      <c r="G29" s="56">
        <v>20</v>
      </c>
      <c r="H29" s="56">
        <v>18</v>
      </c>
      <c r="I29" s="56">
        <v>20</v>
      </c>
      <c r="J29" s="56">
        <v>19</v>
      </c>
      <c r="K29" s="56">
        <v>19</v>
      </c>
      <c r="L29" s="56">
        <v>25</v>
      </c>
      <c r="M29" s="56">
        <v>25</v>
      </c>
      <c r="N29" s="56">
        <v>25</v>
      </c>
      <c r="O29" s="56">
        <v>25</v>
      </c>
      <c r="P29" s="56">
        <v>25</v>
      </c>
    </row>
    <row r="30" spans="1:16" x14ac:dyDescent="0.35">
      <c r="A30" s="45" t="s">
        <v>139</v>
      </c>
      <c r="B30" s="56">
        <v>17</v>
      </c>
      <c r="C30" s="56">
        <v>14</v>
      </c>
      <c r="D30" s="56">
        <v>14</v>
      </c>
      <c r="E30" s="56">
        <v>14</v>
      </c>
      <c r="F30" s="56">
        <v>14</v>
      </c>
      <c r="G30" s="56">
        <v>16</v>
      </c>
      <c r="H30" s="56">
        <v>17</v>
      </c>
      <c r="I30" s="56">
        <v>19</v>
      </c>
      <c r="J30" s="56">
        <v>18</v>
      </c>
      <c r="K30" s="56">
        <v>19</v>
      </c>
      <c r="L30" s="56">
        <v>17</v>
      </c>
      <c r="M30" s="56">
        <v>18</v>
      </c>
      <c r="N30" s="56">
        <v>17</v>
      </c>
      <c r="O30" s="56">
        <v>15</v>
      </c>
      <c r="P30" s="56">
        <v>16</v>
      </c>
    </row>
    <row r="31" spans="1:16" ht="24" x14ac:dyDescent="0.35">
      <c r="A31" s="45" t="s">
        <v>140</v>
      </c>
      <c r="B31" s="53">
        <v>2</v>
      </c>
      <c r="C31" s="53">
        <v>2</v>
      </c>
      <c r="D31" s="53">
        <v>2</v>
      </c>
      <c r="E31" s="53">
        <v>2</v>
      </c>
      <c r="F31" s="53">
        <v>2</v>
      </c>
      <c r="G31" s="53">
        <v>4</v>
      </c>
      <c r="H31" s="53">
        <v>4</v>
      </c>
      <c r="I31" s="53">
        <v>4</v>
      </c>
      <c r="J31" s="53">
        <v>4</v>
      </c>
      <c r="K31" s="53">
        <v>4</v>
      </c>
      <c r="L31" s="53">
        <v>4</v>
      </c>
      <c r="M31" s="53">
        <v>4</v>
      </c>
      <c r="N31" s="53">
        <v>4</v>
      </c>
      <c r="O31" s="53">
        <v>4</v>
      </c>
      <c r="P31" s="53">
        <v>4</v>
      </c>
    </row>
    <row r="32" spans="1:16" x14ac:dyDescent="0.35">
      <c r="A32" s="45" t="s">
        <v>141</v>
      </c>
      <c r="B32" s="53">
        <v>1</v>
      </c>
      <c r="C32" s="53">
        <v>1</v>
      </c>
      <c r="D32" s="53">
        <v>1</v>
      </c>
      <c r="E32" s="53">
        <v>1</v>
      </c>
      <c r="F32" s="53">
        <v>1</v>
      </c>
      <c r="G32" s="53">
        <v>1</v>
      </c>
      <c r="H32" s="53">
        <v>1</v>
      </c>
      <c r="I32" s="53">
        <v>1</v>
      </c>
      <c r="J32" s="53">
        <v>1</v>
      </c>
      <c r="K32" s="53">
        <v>1</v>
      </c>
      <c r="L32" s="53">
        <v>1</v>
      </c>
      <c r="M32" s="53">
        <v>1</v>
      </c>
      <c r="N32" s="53">
        <v>1</v>
      </c>
      <c r="O32" s="53">
        <v>1</v>
      </c>
      <c r="P32" s="53">
        <v>1</v>
      </c>
    </row>
    <row r="33" spans="1:16" x14ac:dyDescent="0.35">
      <c r="A33" s="45" t="s">
        <v>142</v>
      </c>
      <c r="B33" s="53">
        <v>0</v>
      </c>
      <c r="C33" s="53">
        <v>0</v>
      </c>
      <c r="D33" s="53">
        <v>0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</row>
    <row r="35" spans="1:16" x14ac:dyDescent="0.35">
      <c r="B35" s="91"/>
      <c r="C35" s="91"/>
      <c r="D35" s="91"/>
      <c r="E35" s="91"/>
      <c r="F35" s="91"/>
      <c r="G35" s="91"/>
      <c r="H35" s="91"/>
      <c r="I35" s="95"/>
      <c r="J35" s="95"/>
      <c r="K35" s="95"/>
      <c r="L35" s="95"/>
      <c r="M35" s="95"/>
      <c r="N35" s="95"/>
      <c r="O35" s="95"/>
      <c r="P35" s="95"/>
    </row>
    <row r="36" spans="1:16" x14ac:dyDescent="0.35">
      <c r="B36" s="41"/>
      <c r="C36" s="41"/>
      <c r="D36" s="41"/>
      <c r="E36" s="41"/>
      <c r="F36" s="41"/>
      <c r="G36" s="41"/>
      <c r="H36" s="41"/>
      <c r="I36" s="41"/>
      <c r="J36" s="95"/>
      <c r="K36" s="95"/>
      <c r="L36" s="95"/>
      <c r="M36" s="95"/>
      <c r="N36" s="95"/>
      <c r="O36" s="95"/>
      <c r="P36" s="95"/>
    </row>
    <row r="37" spans="1:16" x14ac:dyDescent="0.35">
      <c r="B37" s="92"/>
      <c r="C37" s="92"/>
      <c r="D37" s="92"/>
      <c r="E37" s="92"/>
      <c r="F37" s="92"/>
      <c r="G37" s="92"/>
      <c r="H37" s="92"/>
    </row>
    <row r="38" spans="1:16" x14ac:dyDescent="0.35">
      <c r="B38" s="47"/>
      <c r="C38" s="47"/>
      <c r="D38" s="47"/>
      <c r="E38" s="47"/>
      <c r="I38" s="95"/>
      <c r="J38" s="95"/>
    </row>
    <row r="39" spans="1:16" x14ac:dyDescent="0.35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 x14ac:dyDescent="0.35"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</row>
    <row r="41" spans="1:16" x14ac:dyDescent="0.35"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</row>
    <row r="43" spans="1:16" x14ac:dyDescent="0.35">
      <c r="B43" s="57"/>
      <c r="C43" s="57"/>
      <c r="D43" s="57"/>
      <c r="E43" s="57"/>
      <c r="F43" s="57"/>
      <c r="G43" s="57"/>
      <c r="H43" s="57"/>
    </row>
    <row r="44" spans="1:16" x14ac:dyDescent="0.35">
      <c r="B44" s="47"/>
      <c r="C44" s="47"/>
      <c r="D44" s="47"/>
      <c r="E44" s="47"/>
      <c r="F44" s="47"/>
      <c r="G44" s="47"/>
      <c r="H44" s="47"/>
    </row>
    <row r="45" spans="1:16" x14ac:dyDescent="0.35">
      <c r="B45" s="41"/>
      <c r="C45" s="41"/>
      <c r="D45" s="41"/>
      <c r="E45" s="41"/>
      <c r="F45" s="41"/>
      <c r="G45" s="41"/>
      <c r="H45" s="4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C4C29-0B5C-496A-8E38-E32DE5FB1BE8}">
  <dimension ref="A1:H105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" sqref="E2:E55"/>
    </sheetView>
  </sheetViews>
  <sheetFormatPr defaultRowHeight="14.5" x14ac:dyDescent="0.35"/>
  <cols>
    <col min="1" max="1" width="46" customWidth="1"/>
    <col min="2" max="2" width="16.1796875" customWidth="1"/>
    <col min="3" max="5" width="13.453125" customWidth="1"/>
    <col min="6" max="6" width="9.1796875" bestFit="1" customWidth="1"/>
    <col min="8" max="8" width="11.81640625" bestFit="1" customWidth="1"/>
  </cols>
  <sheetData>
    <row r="1" spans="1:8" ht="16.5" thickBot="1" x14ac:dyDescent="0.55000000000000004">
      <c r="A1" s="1" t="s">
        <v>75</v>
      </c>
      <c r="B1" s="113" t="s">
        <v>165</v>
      </c>
      <c r="C1" s="58">
        <v>46053</v>
      </c>
      <c r="D1" s="58">
        <v>46081</v>
      </c>
      <c r="E1" s="58">
        <v>46112</v>
      </c>
    </row>
    <row r="2" spans="1:8" ht="16.5" thickTop="1" x14ac:dyDescent="0.5">
      <c r="A2" s="16" t="s">
        <v>0</v>
      </c>
      <c r="B2" s="40">
        <v>9311479</v>
      </c>
      <c r="C2" s="40">
        <v>724718.43</v>
      </c>
      <c r="D2" s="40">
        <v>746541</v>
      </c>
      <c r="E2" s="40">
        <v>621111.31999999995</v>
      </c>
    </row>
    <row r="3" spans="1:8" ht="16" x14ac:dyDescent="0.5">
      <c r="A3" s="16" t="s">
        <v>76</v>
      </c>
      <c r="B3" s="40">
        <v>183219.21</v>
      </c>
      <c r="C3" s="40">
        <v>683.41</v>
      </c>
      <c r="D3" s="40">
        <v>669.08</v>
      </c>
      <c r="E3" s="40">
        <v>137.08000000000001</v>
      </c>
    </row>
    <row r="4" spans="1:8" ht="16" x14ac:dyDescent="0.5">
      <c r="A4" s="16" t="s">
        <v>77</v>
      </c>
      <c r="B4" s="40">
        <v>406757.54</v>
      </c>
      <c r="C4" s="40">
        <v>34108.1</v>
      </c>
      <c r="D4" s="40">
        <v>14689.87</v>
      </c>
      <c r="E4" s="40">
        <v>25595.64</v>
      </c>
    </row>
    <row r="5" spans="1:8" ht="16" x14ac:dyDescent="0.5">
      <c r="A5" s="60" t="s">
        <v>143</v>
      </c>
      <c r="B5" s="61">
        <f t="shared" ref="B5:C5" si="0">SUM(B2:B4)</f>
        <v>9901455.75</v>
      </c>
      <c r="C5" s="61">
        <f t="shared" si="0"/>
        <v>759509.94000000006</v>
      </c>
      <c r="D5" s="61">
        <f t="shared" ref="D5:E5" si="1">SUM(D2:D4)</f>
        <v>761899.95</v>
      </c>
      <c r="E5" s="61">
        <f t="shared" si="1"/>
        <v>646844.03999999992</v>
      </c>
    </row>
    <row r="6" spans="1:8" ht="16" x14ac:dyDescent="0.5">
      <c r="A6" s="16" t="s">
        <v>97</v>
      </c>
      <c r="B6" s="40">
        <v>-1091360.6262300001</v>
      </c>
      <c r="C6" s="40">
        <v>-86646.148149999994</v>
      </c>
      <c r="D6" s="40">
        <v>-85913.015660000005</v>
      </c>
      <c r="E6" s="40">
        <v>-80771</v>
      </c>
    </row>
    <row r="7" spans="1:8" ht="16" x14ac:dyDescent="0.5">
      <c r="A7" s="16" t="s">
        <v>78</v>
      </c>
      <c r="B7" s="40">
        <v>-1765196</v>
      </c>
      <c r="C7" s="40">
        <v>-124095</v>
      </c>
      <c r="D7" s="40">
        <v>-116404</v>
      </c>
      <c r="E7" s="40">
        <v>-77213.818339999998</v>
      </c>
    </row>
    <row r="8" spans="1:8" ht="16" x14ac:dyDescent="0.5">
      <c r="A8" s="18" t="s">
        <v>1</v>
      </c>
      <c r="B8" s="3">
        <f t="shared" ref="B8:C8" si="2">SUM(B5:B7)</f>
        <v>7044899.1237700004</v>
      </c>
      <c r="C8" s="3">
        <f t="shared" si="2"/>
        <v>548768.79185000004</v>
      </c>
      <c r="D8" s="3">
        <f t="shared" ref="D8:E8" si="3">SUM(D5:D7)</f>
        <v>559582.93433999992</v>
      </c>
      <c r="E8" s="3">
        <f t="shared" si="3"/>
        <v>488859.22165999992</v>
      </c>
    </row>
    <row r="9" spans="1:8" ht="16" x14ac:dyDescent="0.5">
      <c r="A9" s="16" t="s">
        <v>79</v>
      </c>
      <c r="B9" s="40">
        <v>-1585753.9164658098</v>
      </c>
      <c r="C9" s="17">
        <v>-145819.9816</v>
      </c>
      <c r="D9" s="17">
        <v>-113162.94</v>
      </c>
      <c r="E9" s="17">
        <v>-101629.74138879252</v>
      </c>
    </row>
    <row r="10" spans="1:8" ht="16" x14ac:dyDescent="0.5">
      <c r="A10" s="16" t="s">
        <v>80</v>
      </c>
      <c r="B10" s="40">
        <v>-81460.892454863977</v>
      </c>
      <c r="C10" s="17">
        <v>-17526.938434108972</v>
      </c>
      <c r="D10" s="17">
        <v>-9743.23</v>
      </c>
      <c r="E10" s="17">
        <v>-14413.845723310025</v>
      </c>
    </row>
    <row r="11" spans="1:8" ht="16" x14ac:dyDescent="0.5">
      <c r="A11" s="19" t="s">
        <v>2</v>
      </c>
      <c r="B11" s="3">
        <f t="shared" ref="B11" si="4">SUM(B9:B10)</f>
        <v>-1667214.8089206738</v>
      </c>
      <c r="C11" s="3">
        <f t="shared" ref="C11:D11" si="5">SUM(C9:C10)</f>
        <v>-163346.92003410897</v>
      </c>
      <c r="D11" s="3">
        <f t="shared" si="5"/>
        <v>-122906.17</v>
      </c>
      <c r="E11" s="3">
        <f t="shared" ref="E11" si="6">SUM(E9:E10)</f>
        <v>-116043.58711210254</v>
      </c>
    </row>
    <row r="12" spans="1:8" ht="16" x14ac:dyDescent="0.5">
      <c r="A12" s="18" t="s">
        <v>3</v>
      </c>
      <c r="B12" s="3">
        <f t="shared" ref="B12" si="7">B8+B11</f>
        <v>5377684.3148493264</v>
      </c>
      <c r="C12" s="3">
        <f t="shared" ref="C12:D12" si="8">C8+C11</f>
        <v>385421.87181589106</v>
      </c>
      <c r="D12" s="3">
        <f t="shared" si="8"/>
        <v>436676.76433999994</v>
      </c>
      <c r="E12" s="3">
        <f t="shared" ref="E12" si="9">E8+E11</f>
        <v>372815.63454789738</v>
      </c>
    </row>
    <row r="13" spans="1:8" ht="16" x14ac:dyDescent="0.5">
      <c r="A13" s="60" t="s">
        <v>81</v>
      </c>
      <c r="B13" s="63">
        <f t="shared" ref="B13:C13" si="10">B12/B5</f>
        <v>0.54312057243192002</v>
      </c>
      <c r="C13" s="63">
        <f t="shared" si="10"/>
        <v>0.50746126089658683</v>
      </c>
      <c r="D13" s="63">
        <f t="shared" ref="D13:E13" si="11">D12/D5</f>
        <v>0.57314187294539132</v>
      </c>
      <c r="E13" s="63">
        <f t="shared" si="11"/>
        <v>0.57636093322881576</v>
      </c>
    </row>
    <row r="14" spans="1:8" ht="16" x14ac:dyDescent="0.5">
      <c r="A14" s="18" t="s">
        <v>4</v>
      </c>
      <c r="B14" s="86"/>
      <c r="C14" s="86"/>
      <c r="D14" s="86"/>
      <c r="E14" s="86"/>
    </row>
    <row r="15" spans="1:8" ht="16" x14ac:dyDescent="0.5">
      <c r="A15" s="20" t="s">
        <v>82</v>
      </c>
      <c r="B15" s="40">
        <v>-5687573.6969518401</v>
      </c>
      <c r="C15" s="17">
        <v>-525229.66606925032</v>
      </c>
      <c r="D15" s="17">
        <v>-475082.17</v>
      </c>
      <c r="E15" s="17">
        <v>-520969.08085676818</v>
      </c>
      <c r="F15" s="41"/>
      <c r="H15" s="100"/>
    </row>
    <row r="16" spans="1:8" ht="16" x14ac:dyDescent="0.5">
      <c r="A16" s="20" t="s">
        <v>10</v>
      </c>
      <c r="B16" s="40">
        <v>-29061.216995818097</v>
      </c>
      <c r="C16" s="17">
        <v>-519.00650005102773</v>
      </c>
      <c r="D16" s="17">
        <v>-517.92999999999995</v>
      </c>
      <c r="E16" s="17">
        <v>-430.8897751365003</v>
      </c>
      <c r="F16" s="41"/>
      <c r="H16" s="101"/>
    </row>
    <row r="17" spans="1:8" ht="16" x14ac:dyDescent="0.5">
      <c r="A17" s="20" t="s">
        <v>13</v>
      </c>
      <c r="B17" s="40">
        <v>-262466.7211786391</v>
      </c>
      <c r="C17" s="21">
        <v>-26769.107019677343</v>
      </c>
      <c r="D17" s="21">
        <v>-25987.05</v>
      </c>
      <c r="E17" s="21">
        <v>-24896.551164362128</v>
      </c>
      <c r="F17" s="41"/>
      <c r="H17" s="101"/>
    </row>
    <row r="18" spans="1:8" ht="16" x14ac:dyDescent="0.5">
      <c r="A18" s="20" t="s">
        <v>6</v>
      </c>
      <c r="B18" s="40">
        <v>-2941.2566014647264</v>
      </c>
      <c r="C18" s="17">
        <v>-111.91318591857839</v>
      </c>
      <c r="D18" s="17">
        <v>-315.64</v>
      </c>
      <c r="E18" s="17">
        <v>-69.335936795851964</v>
      </c>
      <c r="G18" s="101"/>
      <c r="H18" s="101"/>
    </row>
    <row r="19" spans="1:8" ht="16" x14ac:dyDescent="0.5">
      <c r="A19" s="20" t="s">
        <v>83</v>
      </c>
      <c r="B19" s="40">
        <v>-579424.47227854992</v>
      </c>
      <c r="C19" s="17">
        <v>-52848.730136185499</v>
      </c>
      <c r="D19" s="17">
        <v>-59934.21</v>
      </c>
      <c r="E19" s="17">
        <v>-47611.761247681541</v>
      </c>
      <c r="F19" s="41"/>
      <c r="H19" s="101"/>
    </row>
    <row r="20" spans="1:8" ht="16" x14ac:dyDescent="0.5">
      <c r="A20" s="22" t="s">
        <v>7</v>
      </c>
      <c r="B20" s="40">
        <v>-48704.536997121068</v>
      </c>
      <c r="C20" s="17">
        <v>-1485.1658592356362</v>
      </c>
      <c r="D20" s="17">
        <v>-2973.58</v>
      </c>
      <c r="E20" s="17">
        <v>-1367.5630970724749</v>
      </c>
      <c r="F20" s="41"/>
      <c r="H20" s="100"/>
    </row>
    <row r="21" spans="1:8" ht="16" x14ac:dyDescent="0.5">
      <c r="A21" s="20" t="s">
        <v>12</v>
      </c>
      <c r="B21" s="40">
        <v>-152934.16516325567</v>
      </c>
      <c r="C21" s="17">
        <v>-16318.670304299834</v>
      </c>
      <c r="D21" s="17">
        <v>-21529.16</v>
      </c>
      <c r="E21" s="17">
        <v>-23439.504701242342</v>
      </c>
      <c r="H21" s="100"/>
    </row>
    <row r="22" spans="1:8" ht="16" x14ac:dyDescent="0.5">
      <c r="A22" s="20" t="s">
        <v>8</v>
      </c>
      <c r="B22" s="40">
        <v>-182598.65805002654</v>
      </c>
      <c r="C22" s="87">
        <v>-15279.254743931311</v>
      </c>
      <c r="D22" s="87">
        <v>-15573.42</v>
      </c>
      <c r="E22" s="87">
        <v>-14259.604022923966</v>
      </c>
      <c r="F22" s="41"/>
      <c r="H22" s="100"/>
    </row>
    <row r="23" spans="1:8" ht="16" x14ac:dyDescent="0.5">
      <c r="A23" s="20" t="s">
        <v>9</v>
      </c>
      <c r="B23" s="40">
        <v>-177117.00725959995</v>
      </c>
      <c r="C23" s="17">
        <v>-3810.5402788235474</v>
      </c>
      <c r="D23" s="17">
        <v>-7343.77</v>
      </c>
      <c r="E23" s="17">
        <v>-2655.1764813110717</v>
      </c>
      <c r="F23" s="41"/>
      <c r="H23" s="100"/>
    </row>
    <row r="24" spans="1:8" ht="16" x14ac:dyDescent="0.5">
      <c r="A24" s="20" t="s">
        <v>5</v>
      </c>
      <c r="B24" s="40">
        <v>-143130.53192014334</v>
      </c>
      <c r="C24" s="17">
        <v>-12921.398555776303</v>
      </c>
      <c r="D24" s="17">
        <v>-12932.22</v>
      </c>
      <c r="E24" s="17">
        <v>-10981.341992376296</v>
      </c>
      <c r="F24" s="41"/>
      <c r="H24" s="100"/>
    </row>
    <row r="25" spans="1:8" ht="16" x14ac:dyDescent="0.5">
      <c r="A25" s="20" t="s">
        <v>11</v>
      </c>
      <c r="B25" s="40">
        <v>-167253.77904623808</v>
      </c>
      <c r="C25" s="17">
        <v>-14389.126770512596</v>
      </c>
      <c r="D25" s="17">
        <v>-14459.54</v>
      </c>
      <c r="E25" s="17">
        <v>-8894.5997140325253</v>
      </c>
      <c r="H25" s="100"/>
    </row>
    <row r="26" spans="1:8" ht="16" x14ac:dyDescent="0.5">
      <c r="A26" s="20" t="s">
        <v>17</v>
      </c>
      <c r="B26" s="40">
        <v>-20218.743083479567</v>
      </c>
      <c r="C26" s="17">
        <v>-3646.8215310133937</v>
      </c>
      <c r="D26" s="17">
        <v>-3641.5093146249937</v>
      </c>
      <c r="E26" s="17">
        <v>-4928.7273774321238</v>
      </c>
      <c r="F26" s="41"/>
      <c r="H26" s="100"/>
    </row>
    <row r="27" spans="1:8" ht="16" x14ac:dyDescent="0.5">
      <c r="A27" s="20" t="s">
        <v>14</v>
      </c>
      <c r="B27" s="40">
        <v>-56774.770195632533</v>
      </c>
      <c r="C27" s="17">
        <v>-4525.8407333784753</v>
      </c>
      <c r="D27" s="17">
        <v>-4494.4126291532793</v>
      </c>
      <c r="E27" s="17">
        <v>-4162.8073662858023</v>
      </c>
      <c r="F27" s="41"/>
      <c r="H27" s="100"/>
    </row>
    <row r="28" spans="1:8" ht="16" x14ac:dyDescent="0.5">
      <c r="A28" s="20" t="s">
        <v>15</v>
      </c>
      <c r="B28" s="40">
        <v>-88201.940753094736</v>
      </c>
      <c r="C28" s="17">
        <v>-9988.9549917974527</v>
      </c>
      <c r="D28" s="17">
        <v>-9995.3803077479788</v>
      </c>
      <c r="E28" s="17">
        <v>-9451.8275875098225</v>
      </c>
      <c r="F28" s="41"/>
      <c r="H28" s="100"/>
    </row>
    <row r="29" spans="1:8" ht="16" x14ac:dyDescent="0.5">
      <c r="A29" s="20" t="s">
        <v>16</v>
      </c>
      <c r="B29" s="40">
        <v>-4835.4078625991842</v>
      </c>
      <c r="C29" s="17">
        <v>-1053.4188406008398</v>
      </c>
      <c r="D29" s="17">
        <v>-1054.5713948542002</v>
      </c>
      <c r="E29" s="17">
        <v>-860.9308291831037</v>
      </c>
      <c r="F29" s="41"/>
      <c r="H29" s="100"/>
    </row>
    <row r="30" spans="1:8" ht="16" x14ac:dyDescent="0.5">
      <c r="A30" s="22" t="s">
        <v>84</v>
      </c>
      <c r="B30" s="40">
        <v>-758291.59887444717</v>
      </c>
      <c r="C30" s="17">
        <v>-25301.394096978023</v>
      </c>
      <c r="D30" s="17">
        <v>-21220.70566125281</v>
      </c>
      <c r="E30" s="17">
        <v>-37279.975805502705</v>
      </c>
      <c r="F30" s="41"/>
      <c r="H30" s="100"/>
    </row>
    <row r="31" spans="1:8" ht="16" x14ac:dyDescent="0.5">
      <c r="A31" s="22" t="s">
        <v>74</v>
      </c>
      <c r="B31" s="40">
        <v>-5636.5730024961176</v>
      </c>
      <c r="C31" s="17">
        <v>-2415.5301414528867</v>
      </c>
      <c r="D31" s="17">
        <v>-0.21186768354680063</v>
      </c>
      <c r="E31" s="17">
        <v>-1.9227935883486402</v>
      </c>
      <c r="F31" s="41"/>
      <c r="H31" s="100"/>
    </row>
    <row r="32" spans="1:8" ht="16" x14ac:dyDescent="0.5">
      <c r="A32" s="22" t="s">
        <v>85</v>
      </c>
      <c r="B32" s="40">
        <v>-7899.8079988106838</v>
      </c>
      <c r="C32" s="17">
        <v>-307.12402513804676</v>
      </c>
      <c r="D32" s="17">
        <v>-301.93400186308878</v>
      </c>
      <c r="E32" s="17">
        <v>-566.7461331597583</v>
      </c>
      <c r="F32" s="41"/>
      <c r="H32" s="100"/>
    </row>
    <row r="33" spans="1:8" ht="16" x14ac:dyDescent="0.5">
      <c r="A33" s="22" t="s">
        <v>86</v>
      </c>
      <c r="B33" s="40">
        <v>-83798.12856874241</v>
      </c>
      <c r="C33" s="17">
        <v>-6364.974831761032</v>
      </c>
      <c r="D33" s="17">
        <v>-7977.1962938655761</v>
      </c>
      <c r="E33" s="17">
        <v>-6048.7445201467572</v>
      </c>
      <c r="F33" s="41"/>
      <c r="H33" s="100"/>
    </row>
    <row r="34" spans="1:8" ht="16" x14ac:dyDescent="0.5">
      <c r="A34" s="22" t="s">
        <v>87</v>
      </c>
      <c r="B34" s="40">
        <v>-289069.03901157167</v>
      </c>
      <c r="C34" s="17">
        <v>-22113.07317251281</v>
      </c>
      <c r="D34" s="17">
        <v>-11823.789600800785</v>
      </c>
      <c r="E34" s="17">
        <v>-14347.659319136774</v>
      </c>
      <c r="H34" s="101"/>
    </row>
    <row r="35" spans="1:8" ht="16" x14ac:dyDescent="0.5">
      <c r="A35" s="22" t="s">
        <v>88</v>
      </c>
      <c r="B35" s="40">
        <v>-9066.9589035142199</v>
      </c>
      <c r="C35" s="17">
        <v>0</v>
      </c>
      <c r="D35" s="17">
        <v>-699.1633557044421</v>
      </c>
      <c r="E35" s="17">
        <v>-1269.0437683101025</v>
      </c>
      <c r="F35" s="41"/>
      <c r="H35" s="101"/>
    </row>
    <row r="36" spans="1:8" ht="16" x14ac:dyDescent="0.5">
      <c r="A36" s="22" t="s">
        <v>89</v>
      </c>
      <c r="B36" s="40">
        <v>-1076.9384788365462</v>
      </c>
      <c r="C36" s="17">
        <v>0</v>
      </c>
      <c r="D36" s="17">
        <v>-127.12061012808037</v>
      </c>
      <c r="E36" s="17">
        <v>0</v>
      </c>
      <c r="F36" s="41"/>
      <c r="H36" s="101"/>
    </row>
    <row r="37" spans="1:8" ht="16" x14ac:dyDescent="0.5">
      <c r="A37" s="22" t="s">
        <v>95</v>
      </c>
      <c r="B37" s="40">
        <v>-5620.8515322305047</v>
      </c>
      <c r="C37" s="17">
        <v>-996.77929784775449</v>
      </c>
      <c r="D37" s="17">
        <v>-245.81312380466903</v>
      </c>
      <c r="E37" s="17">
        <v>-219.50611604588076</v>
      </c>
      <c r="F37" s="41"/>
      <c r="H37" s="101"/>
    </row>
    <row r="38" spans="1:8" ht="16" x14ac:dyDescent="0.5">
      <c r="A38" s="23" t="s">
        <v>18</v>
      </c>
      <c r="B38" s="3">
        <f t="shared" ref="B38" si="12">(SUM(B15:B37))</f>
        <v>-8763696.8007081505</v>
      </c>
      <c r="C38" s="3">
        <f t="shared" ref="C38:D38" si="13">(SUM(C15:C37))</f>
        <v>-746396.49108614272</v>
      </c>
      <c r="D38" s="3">
        <f t="shared" si="13"/>
        <v>-698230.49816148344</v>
      </c>
      <c r="E38" s="3">
        <f t="shared" ref="E38" si="14">(SUM(E15:E37))</f>
        <v>-734713.30060600408</v>
      </c>
      <c r="F38" s="41"/>
      <c r="H38" s="101"/>
    </row>
    <row r="39" spans="1:8" ht="16" x14ac:dyDescent="0.5">
      <c r="A39" s="62" t="s">
        <v>134</v>
      </c>
      <c r="B39" s="61">
        <f t="shared" ref="B39" si="15">B12+B38</f>
        <v>-3386012.4858588241</v>
      </c>
      <c r="C39" s="61">
        <f t="shared" ref="C39:D39" si="16">C12+C38</f>
        <v>-360974.61927025166</v>
      </c>
      <c r="D39" s="61">
        <f t="shared" si="16"/>
        <v>-261553.7338214835</v>
      </c>
      <c r="E39" s="61">
        <f t="shared" ref="E39" si="17">E12+E38</f>
        <v>-361897.6660581067</v>
      </c>
      <c r="F39" s="41"/>
      <c r="H39" s="101"/>
    </row>
    <row r="40" spans="1:8" ht="16" x14ac:dyDescent="0.5">
      <c r="A40" s="24" t="s">
        <v>19</v>
      </c>
      <c r="B40" s="84">
        <f t="shared" ref="B40" si="18">B39/B5</f>
        <v>-0.3419711779107657</v>
      </c>
      <c r="C40" s="84">
        <f t="shared" ref="C40:D40" si="19">C39/C5</f>
        <v>-0.47527306788144424</v>
      </c>
      <c r="D40" s="84">
        <f t="shared" si="19"/>
        <v>-0.34329144374072151</v>
      </c>
      <c r="E40" s="84">
        <f t="shared" ref="E40" si="20">E39/E5</f>
        <v>-0.55948210647207441</v>
      </c>
      <c r="F40" s="41"/>
      <c r="H40" s="101"/>
    </row>
    <row r="41" spans="1:8" ht="16" x14ac:dyDescent="0.5">
      <c r="A41" s="18" t="s">
        <v>20</v>
      </c>
      <c r="B41" s="2"/>
      <c r="C41" s="2"/>
      <c r="D41" s="2"/>
      <c r="E41" s="2"/>
      <c r="F41" s="41"/>
      <c r="H41" s="101"/>
    </row>
    <row r="42" spans="1:8" ht="16" x14ac:dyDescent="0.5">
      <c r="A42" s="25" t="s">
        <v>90</v>
      </c>
      <c r="B42" s="40">
        <v>-57024.993592524217</v>
      </c>
      <c r="C42" s="17">
        <v>-7407.9305588669031</v>
      </c>
      <c r="D42" s="17">
        <v>-7405.0994494016213</v>
      </c>
      <c r="E42" s="17">
        <v>-6865.9248942151098</v>
      </c>
      <c r="F42" s="41"/>
      <c r="H42" s="101"/>
    </row>
    <row r="43" spans="1:8" ht="16" x14ac:dyDescent="0.5">
      <c r="A43" s="25" t="s">
        <v>91</v>
      </c>
      <c r="B43" s="40">
        <v>553466.60557421006</v>
      </c>
      <c r="C43" s="17">
        <v>141802.70543167999</v>
      </c>
      <c r="D43" s="17">
        <v>-185573.06896215401</v>
      </c>
      <c r="E43" s="17">
        <v>-1074972.53957875</v>
      </c>
      <c r="F43" s="41"/>
      <c r="H43" s="102"/>
    </row>
    <row r="44" spans="1:8" ht="16" x14ac:dyDescent="0.5">
      <c r="A44" s="25" t="s">
        <v>152</v>
      </c>
      <c r="B44" s="40">
        <v>-916582.05</v>
      </c>
      <c r="C44" s="17">
        <v>0</v>
      </c>
      <c r="D44" s="17">
        <v>0</v>
      </c>
      <c r="E44" s="17">
        <v>-98978.76</v>
      </c>
      <c r="F44" s="41"/>
    </row>
    <row r="45" spans="1:8" ht="16" x14ac:dyDescent="0.5">
      <c r="A45" s="25" t="s">
        <v>23</v>
      </c>
      <c r="B45" s="40">
        <v>-17304.547738380672</v>
      </c>
      <c r="C45" s="17">
        <v>-1286.4818597266319</v>
      </c>
      <c r="D45" s="17">
        <v>-1411.3940745270002</v>
      </c>
      <c r="E45" s="17">
        <v>-1162.4023671511868</v>
      </c>
      <c r="F45" s="41"/>
    </row>
    <row r="46" spans="1:8" ht="16" x14ac:dyDescent="0.5">
      <c r="A46" s="23" t="s">
        <v>24</v>
      </c>
      <c r="B46" s="26">
        <f t="shared" ref="B46:C46" si="21">SUM(B42:B45)</f>
        <v>-437444.98575669486</v>
      </c>
      <c r="C46" s="26">
        <f t="shared" si="21"/>
        <v>133108.29301308646</v>
      </c>
      <c r="D46" s="26">
        <f t="shared" ref="D46:E46" si="22">SUM(D42:D45)</f>
        <v>-194389.56248608264</v>
      </c>
      <c r="E46" s="26">
        <f t="shared" si="22"/>
        <v>-1181979.6268401162</v>
      </c>
      <c r="F46" s="41"/>
    </row>
    <row r="47" spans="1:8" ht="16" x14ac:dyDescent="0.5">
      <c r="A47" s="23" t="s">
        <v>25</v>
      </c>
      <c r="B47" s="4"/>
      <c r="C47" s="4"/>
      <c r="D47" s="4"/>
      <c r="E47" s="4"/>
    </row>
    <row r="48" spans="1:8" ht="16" x14ac:dyDescent="0.5">
      <c r="A48" s="25" t="s">
        <v>26</v>
      </c>
      <c r="B48" s="40">
        <v>110140.2869720656</v>
      </c>
      <c r="C48" s="4">
        <v>6477.3017304024543</v>
      </c>
      <c r="D48" s="4">
        <v>5331.7953559237067</v>
      </c>
      <c r="E48" s="4">
        <v>4156.1752879275591</v>
      </c>
    </row>
    <row r="49" spans="1:5" ht="16" x14ac:dyDescent="0.5">
      <c r="A49" s="25" t="s">
        <v>27</v>
      </c>
      <c r="B49" s="40">
        <v>31876.976515526658</v>
      </c>
      <c r="C49" s="4">
        <v>1091.6191621936978</v>
      </c>
      <c r="D49" s="4">
        <v>196.40134264788418</v>
      </c>
      <c r="E49" s="4">
        <v>1136.6594297522986</v>
      </c>
    </row>
    <row r="50" spans="1:5" ht="16" x14ac:dyDescent="0.5">
      <c r="A50" s="25" t="s">
        <v>153</v>
      </c>
      <c r="B50" s="40">
        <v>367988.10820472229</v>
      </c>
      <c r="C50" s="4">
        <v>211.63613070835552</v>
      </c>
      <c r="D50" s="4">
        <v>211.86768354680063</v>
      </c>
      <c r="E50" s="4">
        <v>576.8380765045921</v>
      </c>
    </row>
    <row r="51" spans="1:5" ht="16" x14ac:dyDescent="0.5">
      <c r="A51" s="23" t="s">
        <v>28</v>
      </c>
      <c r="B51" s="7">
        <f t="shared" ref="B51" si="23">SUM(B48:B50)</f>
        <v>510005.37169231451</v>
      </c>
      <c r="C51" s="7">
        <f t="shared" ref="C51:D51" si="24">SUM(C48:C50)</f>
        <v>7780.5570233045073</v>
      </c>
      <c r="D51" s="7">
        <f t="shared" si="24"/>
        <v>5740.0643821183912</v>
      </c>
      <c r="E51" s="7">
        <f t="shared" ref="E51" si="25">SUM(E48:E50)</f>
        <v>5869.6727941844501</v>
      </c>
    </row>
    <row r="52" spans="1:5" ht="16" x14ac:dyDescent="0.5">
      <c r="A52" s="23" t="s">
        <v>29</v>
      </c>
      <c r="B52" s="7">
        <f t="shared" ref="B52" si="26">B51+B46</f>
        <v>72560.385935619648</v>
      </c>
      <c r="C52" s="7">
        <f t="shared" ref="C52:D52" si="27">C51+C46</f>
        <v>140888.85003639097</v>
      </c>
      <c r="D52" s="7">
        <f t="shared" si="27"/>
        <v>-188649.49810396426</v>
      </c>
      <c r="E52" s="7">
        <f t="shared" ref="E52" si="28">E51+E46</f>
        <v>-1176109.9540459318</v>
      </c>
    </row>
    <row r="53" spans="1:5" ht="16" x14ac:dyDescent="0.5">
      <c r="A53" s="18" t="s">
        <v>30</v>
      </c>
      <c r="B53" s="7">
        <f t="shared" ref="B53" si="29">B52+B39</f>
        <v>-3313452.0999232046</v>
      </c>
      <c r="C53" s="7">
        <f t="shared" ref="C53:D53" si="30">C52+C39</f>
        <v>-220085.76923386069</v>
      </c>
      <c r="D53" s="7">
        <f t="shared" si="30"/>
        <v>-450203.23192544776</v>
      </c>
      <c r="E53" s="7">
        <f t="shared" ref="E53" si="31">E52+E39</f>
        <v>-1538007.6201040386</v>
      </c>
    </row>
    <row r="54" spans="1:5" ht="16" x14ac:dyDescent="0.5">
      <c r="A54" s="27" t="s">
        <v>31</v>
      </c>
      <c r="B54" s="40">
        <v>-100614.32</v>
      </c>
      <c r="C54" s="4">
        <v>0</v>
      </c>
      <c r="D54" s="4">
        <v>0</v>
      </c>
      <c r="E54" s="4">
        <v>0</v>
      </c>
    </row>
    <row r="55" spans="1:5" ht="16" x14ac:dyDescent="0.5">
      <c r="A55" s="27" t="s">
        <v>32</v>
      </c>
      <c r="B55" s="7">
        <f t="shared" ref="B55:C55" si="32">B53+B54</f>
        <v>-3414066.4199232045</v>
      </c>
      <c r="C55" s="7">
        <f t="shared" si="32"/>
        <v>-220085.76923386069</v>
      </c>
      <c r="D55" s="7">
        <f t="shared" ref="D55:E55" si="33">D53+D54</f>
        <v>-450203.23192544776</v>
      </c>
      <c r="E55" s="7">
        <f t="shared" si="33"/>
        <v>-1538007.6201040386</v>
      </c>
    </row>
    <row r="56" spans="1:5" x14ac:dyDescent="0.35">
      <c r="B56" s="109"/>
      <c r="C56" s="6"/>
      <c r="D56" s="6"/>
      <c r="E56" s="6"/>
    </row>
    <row r="57" spans="1:5" x14ac:dyDescent="0.35">
      <c r="B57" s="8"/>
      <c r="C57" s="8"/>
      <c r="D57" s="8"/>
      <c r="E57" s="8"/>
    </row>
    <row r="58" spans="1:5" x14ac:dyDescent="0.35">
      <c r="B58" s="96"/>
      <c r="C58" s="96"/>
      <c r="D58" s="96"/>
      <c r="E58" s="96"/>
    </row>
    <row r="59" spans="1:5" x14ac:dyDescent="0.35">
      <c r="C59" s="6"/>
      <c r="D59" s="6"/>
      <c r="E59" s="6"/>
    </row>
    <row r="60" spans="1:5" x14ac:dyDescent="0.35">
      <c r="C60" s="6"/>
      <c r="D60" s="6"/>
      <c r="E60" s="6"/>
    </row>
    <row r="61" spans="1:5" x14ac:dyDescent="0.35">
      <c r="B61" s="6"/>
      <c r="C61" s="6"/>
      <c r="D61" s="6"/>
      <c r="E61" s="6"/>
    </row>
    <row r="62" spans="1:5" x14ac:dyDescent="0.35">
      <c r="C62" s="6"/>
      <c r="D62" s="6"/>
      <c r="E62" s="6"/>
    </row>
    <row r="63" spans="1:5" x14ac:dyDescent="0.35">
      <c r="C63" s="6"/>
      <c r="D63" s="6"/>
      <c r="E63" s="6"/>
    </row>
    <row r="64" spans="1:5" x14ac:dyDescent="0.35">
      <c r="C64" s="6"/>
      <c r="D64" s="6"/>
      <c r="E64" s="6"/>
    </row>
    <row r="65" spans="3:5" x14ac:dyDescent="0.35">
      <c r="C65" s="6"/>
      <c r="D65" s="6"/>
      <c r="E65" s="6"/>
    </row>
    <row r="66" spans="3:5" x14ac:dyDescent="0.35">
      <c r="C66" s="6"/>
      <c r="D66" s="6"/>
      <c r="E66" s="6"/>
    </row>
    <row r="67" spans="3:5" x14ac:dyDescent="0.35">
      <c r="C67" s="6"/>
      <c r="D67" s="6"/>
      <c r="E67" s="6"/>
    </row>
    <row r="68" spans="3:5" x14ac:dyDescent="0.35">
      <c r="C68" s="6"/>
      <c r="D68" s="6"/>
      <c r="E68" s="6"/>
    </row>
    <row r="69" spans="3:5" x14ac:dyDescent="0.35">
      <c r="C69" s="6"/>
      <c r="D69" s="6"/>
      <c r="E69" s="6"/>
    </row>
    <row r="70" spans="3:5" x14ac:dyDescent="0.35">
      <c r="C70" s="6"/>
      <c r="D70" s="6"/>
      <c r="E70" s="6"/>
    </row>
    <row r="71" spans="3:5" x14ac:dyDescent="0.35">
      <c r="C71" s="6"/>
      <c r="D71" s="6"/>
      <c r="E71" s="6"/>
    </row>
    <row r="72" spans="3:5" x14ac:dyDescent="0.35">
      <c r="C72" s="6"/>
      <c r="D72" s="6"/>
      <c r="E72" s="6"/>
    </row>
    <row r="73" spans="3:5" x14ac:dyDescent="0.35">
      <c r="C73" s="6"/>
      <c r="D73" s="6"/>
      <c r="E73" s="6"/>
    </row>
    <row r="74" spans="3:5" x14ac:dyDescent="0.35">
      <c r="C74" s="6"/>
      <c r="D74" s="6"/>
      <c r="E74" s="6"/>
    </row>
    <row r="75" spans="3:5" x14ac:dyDescent="0.35">
      <c r="C75" s="6"/>
      <c r="D75" s="6"/>
      <c r="E75" s="6"/>
    </row>
    <row r="76" spans="3:5" x14ac:dyDescent="0.35">
      <c r="C76" s="6"/>
      <c r="D76" s="6"/>
      <c r="E76" s="6"/>
    </row>
    <row r="77" spans="3:5" x14ac:dyDescent="0.35">
      <c r="C77" s="6"/>
      <c r="D77" s="6"/>
      <c r="E77" s="6"/>
    </row>
    <row r="78" spans="3:5" x14ac:dyDescent="0.35">
      <c r="C78" s="6"/>
      <c r="D78" s="6"/>
      <c r="E78" s="6"/>
    </row>
    <row r="79" spans="3:5" x14ac:dyDescent="0.35">
      <c r="C79" s="6"/>
      <c r="D79" s="6"/>
      <c r="E79" s="6"/>
    </row>
    <row r="80" spans="3:5" x14ac:dyDescent="0.35">
      <c r="C80" s="6"/>
      <c r="D80" s="6"/>
      <c r="E80" s="6"/>
    </row>
    <row r="81" spans="3:5" x14ac:dyDescent="0.35">
      <c r="C81" s="6"/>
      <c r="D81" s="6"/>
      <c r="E81" s="6"/>
    </row>
    <row r="82" spans="3:5" x14ac:dyDescent="0.35">
      <c r="C82" s="6"/>
      <c r="D82" s="6"/>
      <c r="E82" s="6"/>
    </row>
    <row r="83" spans="3:5" x14ac:dyDescent="0.35">
      <c r="C83" s="6"/>
      <c r="D83" s="6"/>
      <c r="E83" s="6"/>
    </row>
    <row r="84" spans="3:5" x14ac:dyDescent="0.35">
      <c r="C84" s="6"/>
      <c r="D84" s="6"/>
      <c r="E84" s="6"/>
    </row>
    <row r="85" spans="3:5" x14ac:dyDescent="0.35">
      <c r="C85" s="6"/>
      <c r="D85" s="6"/>
      <c r="E85" s="6"/>
    </row>
    <row r="86" spans="3:5" x14ac:dyDescent="0.35">
      <c r="C86" s="6"/>
      <c r="D86" s="6"/>
      <c r="E86" s="6"/>
    </row>
    <row r="87" spans="3:5" x14ac:dyDescent="0.35">
      <c r="C87" s="6"/>
      <c r="D87" s="6"/>
      <c r="E87" s="6"/>
    </row>
    <row r="88" spans="3:5" x14ac:dyDescent="0.35">
      <c r="C88" s="6"/>
      <c r="D88" s="6"/>
      <c r="E88" s="6"/>
    </row>
    <row r="89" spans="3:5" x14ac:dyDescent="0.35">
      <c r="C89" s="6"/>
      <c r="D89" s="6"/>
      <c r="E89" s="6"/>
    </row>
    <row r="90" spans="3:5" x14ac:dyDescent="0.35">
      <c r="C90" s="6"/>
      <c r="D90" s="6"/>
      <c r="E90" s="6"/>
    </row>
    <row r="91" spans="3:5" x14ac:dyDescent="0.35">
      <c r="C91" s="6"/>
      <c r="D91" s="6"/>
      <c r="E91" s="6"/>
    </row>
    <row r="92" spans="3:5" x14ac:dyDescent="0.35">
      <c r="C92" s="6"/>
      <c r="D92" s="6"/>
      <c r="E92" s="6"/>
    </row>
    <row r="93" spans="3:5" x14ac:dyDescent="0.35">
      <c r="C93" s="6"/>
      <c r="D93" s="6"/>
      <c r="E93" s="6"/>
    </row>
    <row r="94" spans="3:5" x14ac:dyDescent="0.35">
      <c r="C94" s="6"/>
      <c r="D94" s="6"/>
      <c r="E94" s="6"/>
    </row>
    <row r="95" spans="3:5" x14ac:dyDescent="0.35">
      <c r="C95" s="6"/>
      <c r="D95" s="6"/>
      <c r="E95" s="6"/>
    </row>
    <row r="96" spans="3:5" x14ac:dyDescent="0.35">
      <c r="C96" s="6"/>
      <c r="D96" s="6"/>
      <c r="E96" s="6"/>
    </row>
    <row r="97" spans="3:5" x14ac:dyDescent="0.35">
      <c r="C97" s="6"/>
      <c r="D97" s="6"/>
      <c r="E97" s="6"/>
    </row>
    <row r="98" spans="3:5" x14ac:dyDescent="0.35">
      <c r="C98" s="6"/>
      <c r="D98" s="6"/>
      <c r="E98" s="6"/>
    </row>
    <row r="99" spans="3:5" x14ac:dyDescent="0.35">
      <c r="C99" s="6"/>
      <c r="D99" s="6"/>
      <c r="E99" s="6"/>
    </row>
    <row r="100" spans="3:5" x14ac:dyDescent="0.35">
      <c r="C100" s="6"/>
      <c r="D100" s="6"/>
      <c r="E100" s="6"/>
    </row>
    <row r="101" spans="3:5" x14ac:dyDescent="0.35">
      <c r="C101" s="6"/>
      <c r="D101" s="6"/>
      <c r="E101" s="6"/>
    </row>
    <row r="102" spans="3:5" x14ac:dyDescent="0.35">
      <c r="C102" s="6"/>
      <c r="D102" s="6"/>
      <c r="E102" s="6"/>
    </row>
    <row r="103" spans="3:5" x14ac:dyDescent="0.35">
      <c r="C103" s="6"/>
      <c r="D103" s="6"/>
      <c r="E103" s="6"/>
    </row>
    <row r="104" spans="3:5" x14ac:dyDescent="0.35">
      <c r="C104" s="6"/>
      <c r="D104" s="6"/>
      <c r="E104" s="6"/>
    </row>
    <row r="105" spans="3:5" x14ac:dyDescent="0.35">
      <c r="C105" s="6"/>
      <c r="D105" s="6"/>
      <c r="E105" s="6"/>
    </row>
  </sheetData>
  <pageMargins left="0.7" right="0.7" top="0.75" bottom="0.75" header="0.3" footer="0.3"/>
  <pageSetup orientation="portrait" r:id="rId1"/>
  <ignoredErrors>
    <ignoredError sqref="C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FBD96-731F-4B52-B858-86FDCD22A8A3}">
  <dimension ref="A1:E109"/>
  <sheetViews>
    <sheetView showGridLines="0" zoomScale="95" zoomScaleNormal="90" workbookViewId="0">
      <pane xSplit="1" ySplit="1" topLeftCell="C2" activePane="bottomRight" state="frozen"/>
      <selection activeCell="J3" sqref="J3"/>
      <selection pane="topRight" activeCell="J3" sqref="J3"/>
      <selection pane="bottomLeft" activeCell="J3" sqref="J3"/>
      <selection pane="bottomRight" activeCell="E14" sqref="E14"/>
    </sheetView>
  </sheetViews>
  <sheetFormatPr defaultRowHeight="14.5" x14ac:dyDescent="0.35"/>
  <cols>
    <col min="1" max="1" width="29.6328125" customWidth="1"/>
    <col min="2" max="5" width="14.81640625" customWidth="1"/>
  </cols>
  <sheetData>
    <row r="1" spans="1:5" ht="16.5" thickBot="1" x14ac:dyDescent="0.55000000000000004">
      <c r="A1" s="1" t="s">
        <v>33</v>
      </c>
      <c r="B1" s="85">
        <f>EOMONTH(C1,-1)</f>
        <v>46022</v>
      </c>
      <c r="C1" s="58">
        <f>'PL - Consolidated'!C1</f>
        <v>46053</v>
      </c>
      <c r="D1" s="58">
        <f>'PL - Consolidated'!D1</f>
        <v>46081</v>
      </c>
      <c r="E1" s="58">
        <f>'PL - Consolidated'!E1</f>
        <v>46112</v>
      </c>
    </row>
    <row r="2" spans="1:5" ht="16.5" thickTop="1" x14ac:dyDescent="0.5">
      <c r="A2" s="28" t="s">
        <v>34</v>
      </c>
      <c r="B2" s="29"/>
      <c r="C2" s="29"/>
      <c r="D2" s="29"/>
      <c r="E2" s="29"/>
    </row>
    <row r="3" spans="1:5" ht="16" x14ac:dyDescent="0.5">
      <c r="A3" s="20" t="s">
        <v>92</v>
      </c>
      <c r="B3" s="9">
        <v>4671257.7717661392</v>
      </c>
      <c r="C3" s="9">
        <v>4537433.8524786457</v>
      </c>
      <c r="D3" s="9">
        <v>4091707.1042752424</v>
      </c>
      <c r="E3" s="9">
        <v>4957634.9441323169</v>
      </c>
    </row>
    <row r="4" spans="1:5" ht="16" x14ac:dyDescent="0.5">
      <c r="A4" s="20" t="s">
        <v>154</v>
      </c>
      <c r="B4" s="9">
        <v>1000000</v>
      </c>
      <c r="C4" s="9">
        <v>0</v>
      </c>
      <c r="D4" s="9">
        <v>0</v>
      </c>
      <c r="E4" s="9"/>
    </row>
    <row r="5" spans="1:5" ht="16" x14ac:dyDescent="0.5">
      <c r="A5" s="20" t="s">
        <v>35</v>
      </c>
      <c r="B5" s="9">
        <v>12199560.715093087</v>
      </c>
      <c r="C5" s="9">
        <v>12205653.365493111</v>
      </c>
      <c r="D5" s="9">
        <v>12003091.181120481</v>
      </c>
      <c r="E5" s="9">
        <v>10289265.808796242</v>
      </c>
    </row>
    <row r="6" spans="1:5" ht="16" x14ac:dyDescent="0.5">
      <c r="A6" s="20" t="s">
        <v>156</v>
      </c>
      <c r="B6" s="9">
        <v>577598.7598382252</v>
      </c>
      <c r="C6" s="9">
        <v>586905.03950736753</v>
      </c>
      <c r="D6" s="9">
        <v>574529.73708343203</v>
      </c>
      <c r="E6" s="9">
        <v>504351.18523735431</v>
      </c>
    </row>
    <row r="7" spans="1:5" ht="16" x14ac:dyDescent="0.5">
      <c r="A7" s="20" t="s">
        <v>157</v>
      </c>
      <c r="B7" s="9">
        <v>23707.542499454597</v>
      </c>
      <c r="C7" s="9">
        <v>24089.518771061892</v>
      </c>
      <c r="D7" s="9">
        <v>23581.574453035264</v>
      </c>
      <c r="E7" s="9">
        <v>20701.095622182067</v>
      </c>
    </row>
    <row r="8" spans="1:5" ht="16" x14ac:dyDescent="0.5">
      <c r="A8" s="20" t="s">
        <v>158</v>
      </c>
      <c r="B8" s="9">
        <v>15516.391448086057</v>
      </c>
      <c r="C8" s="9">
        <v>15766.391774112069</v>
      </c>
      <c r="D8" s="9">
        <v>15433.946398446767</v>
      </c>
      <c r="E8" s="9">
        <v>13548.696710569096</v>
      </c>
    </row>
    <row r="9" spans="1:5" ht="16" x14ac:dyDescent="0.5">
      <c r="A9" s="20" t="s">
        <v>159</v>
      </c>
      <c r="B9" s="9">
        <v>339947.32668781152</v>
      </c>
      <c r="C9" s="9">
        <v>345424.56298904622</v>
      </c>
      <c r="D9" s="9">
        <v>338141.04496842518</v>
      </c>
      <c r="E9" s="9">
        <v>296837.26672350994</v>
      </c>
    </row>
    <row r="10" spans="1:5" ht="16" x14ac:dyDescent="0.5">
      <c r="A10" s="20" t="s">
        <v>93</v>
      </c>
      <c r="B10" s="9">
        <v>303506.11606168916</v>
      </c>
      <c r="C10" s="9">
        <v>305505.47433353291</v>
      </c>
      <c r="D10" s="9">
        <v>279735.39196487906</v>
      </c>
      <c r="E10" s="9">
        <v>247831.8118749948</v>
      </c>
    </row>
    <row r="11" spans="1:5" ht="16" x14ac:dyDescent="0.5">
      <c r="A11" s="20" t="s">
        <v>36</v>
      </c>
      <c r="B11" s="9">
        <v>193112.51659419778</v>
      </c>
      <c r="C11" s="9">
        <v>192694.15749042085</v>
      </c>
      <c r="D11" s="9">
        <v>143786.20962660442</v>
      </c>
      <c r="E11" s="9">
        <v>307049.68464749027</v>
      </c>
    </row>
    <row r="12" spans="1:5" ht="16" x14ac:dyDescent="0.5">
      <c r="A12" s="20" t="s">
        <v>37</v>
      </c>
      <c r="B12" s="9">
        <v>364177.37066547776</v>
      </c>
      <c r="C12" s="9">
        <v>386146.85174219008</v>
      </c>
      <c r="D12" s="9">
        <v>392089.84061949397</v>
      </c>
      <c r="E12" s="9">
        <v>360745.42782721145</v>
      </c>
    </row>
    <row r="13" spans="1:5" ht="16" x14ac:dyDescent="0.5">
      <c r="A13" s="20" t="s">
        <v>38</v>
      </c>
      <c r="B13" s="9">
        <v>51447.274840150494</v>
      </c>
      <c r="C13" s="9">
        <v>82310.231001850712</v>
      </c>
      <c r="D13" s="9">
        <v>83161.57316124221</v>
      </c>
      <c r="E13" s="9">
        <v>97391.360599702719</v>
      </c>
    </row>
    <row r="14" spans="1:5" ht="16" x14ac:dyDescent="0.5">
      <c r="A14" s="20" t="s">
        <v>100</v>
      </c>
      <c r="B14" s="9">
        <v>970062.17070572195</v>
      </c>
      <c r="C14" s="9">
        <v>1000554.2860014344</v>
      </c>
      <c r="D14" s="9">
        <v>1010360.0753431228</v>
      </c>
      <c r="E14" s="9">
        <v>983501.9764964052</v>
      </c>
    </row>
    <row r="15" spans="1:5" ht="16" x14ac:dyDescent="0.5">
      <c r="A15" s="18" t="s">
        <v>39</v>
      </c>
      <c r="B15" s="15">
        <f>SUM(B3:B14)</f>
        <v>20709893.956200033</v>
      </c>
      <c r="C15" s="15">
        <f>SUM(C3:C14)</f>
        <v>19682483.731582768</v>
      </c>
      <c r="D15" s="15">
        <f>SUM(D3:D14)</f>
        <v>18955617.679014403</v>
      </c>
      <c r="E15" s="15">
        <f>SUM(E3:E14)</f>
        <v>18078859.258667983</v>
      </c>
    </row>
    <row r="16" spans="1:5" ht="16" x14ac:dyDescent="0.5">
      <c r="A16" s="16"/>
      <c r="B16" s="10"/>
      <c r="C16" s="10"/>
      <c r="D16" s="10"/>
      <c r="E16" s="10"/>
    </row>
    <row r="17" spans="1:5" ht="16" x14ac:dyDescent="0.5">
      <c r="A17" s="30" t="s">
        <v>40</v>
      </c>
      <c r="B17" s="11"/>
      <c r="C17" s="11"/>
      <c r="D17" s="11"/>
      <c r="E17" s="11"/>
    </row>
    <row r="18" spans="1:5" ht="16" x14ac:dyDescent="0.5">
      <c r="A18" s="31" t="s">
        <v>41</v>
      </c>
      <c r="B18" s="9">
        <v>242740.52187836621</v>
      </c>
      <c r="C18" s="9">
        <v>246568.03689068358</v>
      </c>
      <c r="D18" s="9">
        <v>242312.67490988097</v>
      </c>
      <c r="E18" s="9">
        <v>213450.55509887019</v>
      </c>
    </row>
    <row r="19" spans="1:5" ht="16" x14ac:dyDescent="0.5">
      <c r="A19" s="31" t="s">
        <v>42</v>
      </c>
      <c r="B19" s="9">
        <v>15567.278671552234</v>
      </c>
      <c r="C19" s="9">
        <v>15779.277902293892</v>
      </c>
      <c r="D19" s="9">
        <v>15497.370313008407</v>
      </c>
      <c r="E19" s="9">
        <v>13898.793907251908</v>
      </c>
    </row>
    <row r="20" spans="1:5" ht="16" x14ac:dyDescent="0.5">
      <c r="A20" s="31" t="s">
        <v>43</v>
      </c>
      <c r="B20" s="9">
        <v>10126.685713806241</v>
      </c>
      <c r="C20" s="9">
        <v>10289.857988607117</v>
      </c>
      <c r="D20" s="9">
        <v>10072.878415301973</v>
      </c>
      <c r="E20" s="9">
        <v>8842.4807970758993</v>
      </c>
    </row>
    <row r="21" spans="1:5" ht="16" x14ac:dyDescent="0.5">
      <c r="A21" s="31" t="s">
        <v>44</v>
      </c>
      <c r="B21" s="9">
        <v>57104.161892535369</v>
      </c>
      <c r="C21" s="9">
        <v>57826.184577819629</v>
      </c>
      <c r="D21" s="9">
        <v>56866.069421241744</v>
      </c>
      <c r="E21" s="9">
        <v>51421.670283195403</v>
      </c>
    </row>
    <row r="22" spans="1:5" ht="16" x14ac:dyDescent="0.5">
      <c r="A22" s="31" t="s">
        <v>150</v>
      </c>
      <c r="B22" s="9">
        <v>40577.788812368861</v>
      </c>
      <c r="C22" s="9">
        <v>40852.434436146839</v>
      </c>
      <c r="D22" s="9">
        <v>40487.222329309487</v>
      </c>
      <c r="E22" s="9">
        <v>38416.261917897587</v>
      </c>
    </row>
    <row r="23" spans="1:5" ht="16" x14ac:dyDescent="0.5">
      <c r="A23" s="30" t="s">
        <v>45</v>
      </c>
      <c r="B23" s="26">
        <f t="shared" ref="B23:C23" si="0">SUM(B18:B22)</f>
        <v>366116.4369686289</v>
      </c>
      <c r="C23" s="26">
        <f t="shared" si="0"/>
        <v>371315.79179555108</v>
      </c>
      <c r="D23" s="26">
        <f t="shared" ref="D23:E23" si="1">SUM(D18:D22)</f>
        <v>365236.21538874262</v>
      </c>
      <c r="E23" s="26">
        <f t="shared" si="1"/>
        <v>326029.76200429094</v>
      </c>
    </row>
    <row r="24" spans="1:5" ht="16" x14ac:dyDescent="0.5">
      <c r="A24" s="16" t="s">
        <v>46</v>
      </c>
      <c r="B24" s="9">
        <v>192910.95486963386</v>
      </c>
      <c r="C24" s="9">
        <v>200235.6337085831</v>
      </c>
      <c r="D24" s="9">
        <v>193467.96694445077</v>
      </c>
      <c r="E24" s="9">
        <v>181468.06061064897</v>
      </c>
    </row>
    <row r="25" spans="1:5" ht="16" x14ac:dyDescent="0.5">
      <c r="A25" s="30" t="s">
        <v>47</v>
      </c>
      <c r="B25" s="26">
        <f t="shared" ref="B25:C25" si="2">B23-B24</f>
        <v>173205.48209899504</v>
      </c>
      <c r="C25" s="26">
        <f t="shared" si="2"/>
        <v>171080.15808696797</v>
      </c>
      <c r="D25" s="26">
        <f t="shared" ref="D25:E25" si="3">D23-D24</f>
        <v>171768.24844429185</v>
      </c>
      <c r="E25" s="26">
        <f t="shared" si="3"/>
        <v>144561.70139364197</v>
      </c>
    </row>
    <row r="26" spans="1:5" ht="16" x14ac:dyDescent="0.5">
      <c r="A26" s="30" t="s">
        <v>48</v>
      </c>
      <c r="B26" s="12"/>
      <c r="C26" s="12"/>
      <c r="D26" s="12"/>
      <c r="E26" s="12"/>
    </row>
    <row r="27" spans="1:5" ht="16" x14ac:dyDescent="0.5">
      <c r="A27" s="16" t="s">
        <v>49</v>
      </c>
      <c r="B27" s="17">
        <v>199358.15670677478</v>
      </c>
      <c r="C27" s="17">
        <v>202570.23617942998</v>
      </c>
      <c r="D27" s="17">
        <v>198298.88379653156</v>
      </c>
      <c r="E27" s="17">
        <v>174076.76333993048</v>
      </c>
    </row>
    <row r="28" spans="1:5" ht="16" x14ac:dyDescent="0.5">
      <c r="A28" s="16" t="s">
        <v>151</v>
      </c>
      <c r="B28" s="17">
        <v>69237.28792226754</v>
      </c>
      <c r="C28" s="17">
        <v>232812.29009690345</v>
      </c>
      <c r="D28" s="17">
        <v>231328.77637733603</v>
      </c>
      <c r="E28" s="17">
        <v>240434.87383642231</v>
      </c>
    </row>
    <row r="29" spans="1:5" ht="16" x14ac:dyDescent="0.5">
      <c r="A29" s="16" t="s">
        <v>50</v>
      </c>
      <c r="B29" s="17">
        <v>85516.130414636558</v>
      </c>
      <c r="C29" s="17">
        <v>89979.164316353723</v>
      </c>
      <c r="D29" s="17">
        <v>91101.999049921287</v>
      </c>
      <c r="E29" s="17">
        <v>82625.14905181319</v>
      </c>
    </row>
    <row r="30" spans="1:5" ht="16" x14ac:dyDescent="0.5">
      <c r="A30" s="30" t="s">
        <v>51</v>
      </c>
      <c r="B30" s="15">
        <f t="shared" ref="B30:C30" si="4">B27+B28-B29</f>
        <v>183079.31421440572</v>
      </c>
      <c r="C30" s="15">
        <f t="shared" si="4"/>
        <v>345403.36195997969</v>
      </c>
      <c r="D30" s="15">
        <f t="shared" ref="D30:E30" si="5">D27+D28-D29</f>
        <v>338525.66112394631</v>
      </c>
      <c r="E30" s="15">
        <f t="shared" si="5"/>
        <v>331886.48812453961</v>
      </c>
    </row>
    <row r="31" spans="1:5" ht="16" x14ac:dyDescent="0.5">
      <c r="A31" s="30" t="s">
        <v>52</v>
      </c>
      <c r="B31" s="12"/>
      <c r="C31" s="12"/>
      <c r="D31" s="12"/>
      <c r="E31" s="12"/>
    </row>
    <row r="32" spans="1:5" ht="16" x14ac:dyDescent="0.5">
      <c r="A32" s="31" t="s">
        <v>52</v>
      </c>
      <c r="B32" s="17">
        <v>448040.65875737957</v>
      </c>
      <c r="C32" s="17">
        <v>453668.19857094582</v>
      </c>
      <c r="D32" s="17">
        <v>446184.93470767362</v>
      </c>
      <c r="E32" s="17">
        <v>403750.57144630427</v>
      </c>
    </row>
    <row r="33" spans="1:5" ht="16" x14ac:dyDescent="0.5">
      <c r="A33" s="31" t="s">
        <v>50</v>
      </c>
      <c r="B33" s="17">
        <v>170219.75757834493</v>
      </c>
      <c r="C33" s="17">
        <v>182595.53830901458</v>
      </c>
      <c r="D33" s="17">
        <v>189259.04004764018</v>
      </c>
      <c r="E33" s="17">
        <v>179362.58126294284</v>
      </c>
    </row>
    <row r="34" spans="1:5" ht="16" x14ac:dyDescent="0.5">
      <c r="A34" s="32" t="s">
        <v>53</v>
      </c>
      <c r="B34" s="33">
        <f t="shared" ref="B34:C34" si="6">B32-B33</f>
        <v>277820.90117903461</v>
      </c>
      <c r="C34" s="33">
        <f t="shared" si="6"/>
        <v>271072.66026193125</v>
      </c>
      <c r="D34" s="33">
        <f t="shared" ref="D34:E34" si="7">D32-D33</f>
        <v>256925.89466003343</v>
      </c>
      <c r="E34" s="33">
        <f t="shared" si="7"/>
        <v>224387.99018336143</v>
      </c>
    </row>
    <row r="35" spans="1:5" ht="16" x14ac:dyDescent="0.5">
      <c r="A35" s="32" t="s">
        <v>54</v>
      </c>
      <c r="B35" s="33">
        <f t="shared" ref="B35:C35" si="8">B34+B30+B25</f>
        <v>634105.69749243534</v>
      </c>
      <c r="C35" s="33">
        <f t="shared" si="8"/>
        <v>787556.180308879</v>
      </c>
      <c r="D35" s="33">
        <f t="shared" ref="D35:E35" si="9">D34+D30+D25</f>
        <v>767219.80422827159</v>
      </c>
      <c r="E35" s="33">
        <f t="shared" si="9"/>
        <v>700836.17970154306</v>
      </c>
    </row>
    <row r="36" spans="1:5" ht="16" x14ac:dyDescent="0.5">
      <c r="A36" s="32" t="s">
        <v>55</v>
      </c>
      <c r="B36" s="33">
        <f t="shared" ref="B36:C36" si="10">B35+B15</f>
        <v>21343999.653692469</v>
      </c>
      <c r="C36" s="33">
        <f t="shared" si="10"/>
        <v>20470039.911891647</v>
      </c>
      <c r="D36" s="33">
        <f t="shared" ref="D36:E36" si="11">D35+D15</f>
        <v>19722837.483242676</v>
      </c>
      <c r="E36" s="33">
        <f t="shared" si="11"/>
        <v>18779695.438369527</v>
      </c>
    </row>
    <row r="37" spans="1:5" ht="16" x14ac:dyDescent="0.5">
      <c r="A37" s="34"/>
      <c r="B37" s="13"/>
      <c r="C37" s="13"/>
      <c r="D37" s="13"/>
      <c r="E37" s="13"/>
    </row>
    <row r="38" spans="1:5" ht="16.5" thickBot="1" x14ac:dyDescent="0.55000000000000004">
      <c r="A38" s="1" t="s">
        <v>56</v>
      </c>
      <c r="B38" s="1"/>
      <c r="C38" s="1"/>
      <c r="D38" s="1"/>
      <c r="E38" s="1"/>
    </row>
    <row r="39" spans="1:5" ht="16.5" thickTop="1" x14ac:dyDescent="0.5">
      <c r="A39" s="35" t="s">
        <v>57</v>
      </c>
      <c r="B39" s="14"/>
      <c r="C39" s="14"/>
      <c r="D39" s="14"/>
      <c r="E39" s="14"/>
    </row>
    <row r="40" spans="1:5" ht="16" x14ac:dyDescent="0.5">
      <c r="A40" s="31" t="s">
        <v>58</v>
      </c>
      <c r="B40" s="9">
        <v>437573.993449156</v>
      </c>
      <c r="C40" s="9">
        <v>582692.99861939671</v>
      </c>
      <c r="D40" s="9">
        <v>438298.13442758168</v>
      </c>
      <c r="E40" s="9">
        <v>551636.58175673778</v>
      </c>
    </row>
    <row r="41" spans="1:5" ht="16" x14ac:dyDescent="0.5">
      <c r="A41" s="31" t="s">
        <v>59</v>
      </c>
      <c r="B41" s="9">
        <v>2260204.0214354489</v>
      </c>
      <c r="C41" s="9">
        <v>2352033.6973697776</v>
      </c>
      <c r="D41" s="9">
        <v>2459434.4043988525</v>
      </c>
      <c r="E41" s="9">
        <v>2187735.7193227937</v>
      </c>
    </row>
    <row r="42" spans="1:5" ht="16" x14ac:dyDescent="0.5">
      <c r="A42" s="31" t="s">
        <v>60</v>
      </c>
      <c r="B42" s="9">
        <v>264893.73580895807</v>
      </c>
      <c r="C42" s="9">
        <v>112650.51363101786</v>
      </c>
      <c r="D42" s="9">
        <v>128689.27562514096</v>
      </c>
      <c r="E42" s="9">
        <v>138934.46193077107</v>
      </c>
    </row>
    <row r="43" spans="1:5" ht="16" x14ac:dyDescent="0.5">
      <c r="A43" s="31" t="s">
        <v>61</v>
      </c>
      <c r="B43" s="9">
        <v>589726.82999945781</v>
      </c>
      <c r="C43" s="9">
        <v>616205.42510164529</v>
      </c>
      <c r="D43" s="9">
        <v>628127.53597484378</v>
      </c>
      <c r="E43" s="9">
        <v>560319.09045866237</v>
      </c>
    </row>
    <row r="44" spans="1:5" ht="16" x14ac:dyDescent="0.5">
      <c r="A44" s="31" t="s">
        <v>62</v>
      </c>
      <c r="B44" s="9">
        <v>2441612.8372257464</v>
      </c>
      <c r="C44" s="9">
        <v>2083781.4898560036</v>
      </c>
      <c r="D44" s="9">
        <v>2108306.6411571638</v>
      </c>
      <c r="E44" s="9">
        <v>2127740.9618874234</v>
      </c>
    </row>
    <row r="45" spans="1:5" ht="16" x14ac:dyDescent="0.5">
      <c r="A45" s="30" t="s">
        <v>63</v>
      </c>
      <c r="B45" s="36">
        <f>SUM(B40:B44)</f>
        <v>5994011.4179187678</v>
      </c>
      <c r="C45" s="36">
        <f>SUM(C40:C44)</f>
        <v>5747364.1245778408</v>
      </c>
      <c r="D45" s="36">
        <f>SUM(D40:D44)</f>
        <v>5762855.991583582</v>
      </c>
      <c r="E45" s="36">
        <f>SUM(E40:E44)</f>
        <v>5566366.8153563878</v>
      </c>
    </row>
    <row r="46" spans="1:5" ht="16" x14ac:dyDescent="0.5">
      <c r="A46" s="30" t="s">
        <v>64</v>
      </c>
      <c r="B46" s="9"/>
      <c r="C46" s="9"/>
      <c r="D46" s="9"/>
      <c r="E46" s="9"/>
    </row>
    <row r="47" spans="1:5" ht="16" x14ac:dyDescent="0.5">
      <c r="A47" s="31" t="s">
        <v>94</v>
      </c>
      <c r="B47" s="37">
        <v>7784229.0800000001</v>
      </c>
      <c r="C47" s="37">
        <v>7309493.9199999999</v>
      </c>
      <c r="D47" s="37">
        <v>7109293.9199999999</v>
      </c>
      <c r="E47" s="37">
        <v>8304685.8200000003</v>
      </c>
    </row>
    <row r="48" spans="1:5" ht="16" x14ac:dyDescent="0.5">
      <c r="A48" s="31" t="s">
        <v>65</v>
      </c>
      <c r="B48" s="37">
        <v>328516.14176901075</v>
      </c>
      <c r="C48" s="37">
        <v>311533.16969926184</v>
      </c>
      <c r="D48" s="37">
        <v>310434.58061993436</v>
      </c>
      <c r="E48" s="37">
        <v>258278.29537927848</v>
      </c>
    </row>
    <row r="49" spans="1:5" ht="16" x14ac:dyDescent="0.5">
      <c r="A49" s="30" t="s">
        <v>66</v>
      </c>
      <c r="B49" s="36">
        <f t="shared" ref="B49" si="12">B47+B48</f>
        <v>8112745.2217690106</v>
      </c>
      <c r="C49" s="36">
        <f t="shared" ref="C49:D49" si="13">C47+C48</f>
        <v>7621027.0896992618</v>
      </c>
      <c r="D49" s="36">
        <f t="shared" si="13"/>
        <v>7419728.5006199339</v>
      </c>
      <c r="E49" s="36">
        <f t="shared" ref="E49" si="14">E47+E48</f>
        <v>8562964.1153792795</v>
      </c>
    </row>
    <row r="50" spans="1:5" ht="16" x14ac:dyDescent="0.5">
      <c r="A50" s="30" t="s">
        <v>67</v>
      </c>
      <c r="B50" s="36">
        <f t="shared" ref="B50" si="15">B49+B45</f>
        <v>14106756.639687778</v>
      </c>
      <c r="C50" s="36">
        <f t="shared" ref="C50:D50" si="16">C49+C45</f>
        <v>13368391.214277104</v>
      </c>
      <c r="D50" s="36">
        <f t="shared" si="16"/>
        <v>13182584.492203515</v>
      </c>
      <c r="E50" s="36">
        <f t="shared" ref="E50" si="17">E49+E45</f>
        <v>14129330.930735666</v>
      </c>
    </row>
    <row r="51" spans="1:5" ht="16" x14ac:dyDescent="0.5">
      <c r="A51" s="30" t="s">
        <v>68</v>
      </c>
      <c r="B51" s="11"/>
      <c r="C51" s="11"/>
      <c r="D51" s="11"/>
      <c r="E51" s="11"/>
    </row>
    <row r="52" spans="1:5" ht="16" x14ac:dyDescent="0.5">
      <c r="A52" s="31" t="s">
        <v>69</v>
      </c>
      <c r="B52" s="9">
        <v>43570633</v>
      </c>
      <c r="C52" s="9">
        <v>43570633</v>
      </c>
      <c r="D52" s="9">
        <v>43570633</v>
      </c>
      <c r="E52" s="9">
        <v>43570633</v>
      </c>
    </row>
    <row r="53" spans="1:5" ht="16" x14ac:dyDescent="0.5">
      <c r="A53" s="31" t="s">
        <v>70</v>
      </c>
      <c r="B53" s="9">
        <f>'PL - Consolidated'!B55</f>
        <v>-3414066.4199232045</v>
      </c>
      <c r="C53" s="9">
        <f>'PL - Consolidated'!C55</f>
        <v>-220085.76923386069</v>
      </c>
      <c r="D53" s="9">
        <f>C53+'PL - Consolidated'!D55</f>
        <v>-670289.00115930848</v>
      </c>
      <c r="E53" s="9">
        <f>D53+'PL - Consolidated'!E55</f>
        <v>-2208296.6212633471</v>
      </c>
    </row>
    <row r="54" spans="1:5" ht="16" x14ac:dyDescent="0.5">
      <c r="A54" s="31" t="s">
        <v>71</v>
      </c>
      <c r="B54" s="9">
        <v>-25266798.035071764</v>
      </c>
      <c r="C54" s="9">
        <f>SUM(B53:B54)</f>
        <v>-28680864.454994969</v>
      </c>
      <c r="D54" s="9">
        <f>C54</f>
        <v>-28680864.454994969</v>
      </c>
      <c r="E54" s="9">
        <f>D54</f>
        <v>-28680864.454994969</v>
      </c>
    </row>
    <row r="55" spans="1:5" ht="16" x14ac:dyDescent="0.5">
      <c r="A55" s="31" t="s">
        <v>96</v>
      </c>
      <c r="B55" s="9">
        <v>-7652525.5310003385</v>
      </c>
      <c r="C55" s="9">
        <v>-7568034.0781566296</v>
      </c>
      <c r="D55" s="9">
        <v>-7679226.55280656</v>
      </c>
      <c r="E55" s="9">
        <v>-8031107.4161078203</v>
      </c>
    </row>
    <row r="56" spans="1:5" ht="16" x14ac:dyDescent="0.5">
      <c r="A56" s="30" t="s">
        <v>72</v>
      </c>
      <c r="B56" s="38">
        <f t="shared" ref="B56" si="18">SUM(B52:B55)</f>
        <v>7237243.0140046962</v>
      </c>
      <c r="C56" s="38">
        <f t="shared" ref="C56:D56" si="19">SUM(C52:C55)</f>
        <v>7101648.6976145413</v>
      </c>
      <c r="D56" s="38">
        <f t="shared" si="19"/>
        <v>6540252.9910391606</v>
      </c>
      <c r="E56" s="38">
        <f t="shared" ref="E56" si="20">SUM(E52:E55)</f>
        <v>4650364.507633863</v>
      </c>
    </row>
    <row r="57" spans="1:5" ht="16" x14ac:dyDescent="0.5">
      <c r="A57" s="18" t="s">
        <v>73</v>
      </c>
      <c r="B57" s="38">
        <f t="shared" ref="B57" si="21">B56+B50</f>
        <v>21343999.653692476</v>
      </c>
      <c r="C57" s="38">
        <f t="shared" ref="C57:D57" si="22">C56+C50</f>
        <v>20470039.911891647</v>
      </c>
      <c r="D57" s="38">
        <f t="shared" si="22"/>
        <v>19722837.483242676</v>
      </c>
      <c r="E57" s="38">
        <f t="shared" ref="E57" si="23">E56+E50</f>
        <v>18779695.438369527</v>
      </c>
    </row>
    <row r="58" spans="1:5" ht="16" x14ac:dyDescent="0.5">
      <c r="A58" s="39"/>
      <c r="B58" s="65">
        <v>0</v>
      </c>
      <c r="C58" s="65">
        <f>C57-C36</f>
        <v>0</v>
      </c>
      <c r="D58" s="65">
        <f>D57-D36</f>
        <v>0</v>
      </c>
      <c r="E58" s="65">
        <f>E57-E36</f>
        <v>0</v>
      </c>
    </row>
    <row r="59" spans="1:5" x14ac:dyDescent="0.35">
      <c r="B59" s="41"/>
      <c r="C59" s="41"/>
      <c r="D59" s="41"/>
      <c r="E59" s="41"/>
    </row>
    <row r="60" spans="1:5" x14ac:dyDescent="0.35">
      <c r="B60" s="5"/>
      <c r="C60" s="5"/>
      <c r="D60" s="5"/>
      <c r="E60" s="5"/>
    </row>
    <row r="61" spans="1:5" x14ac:dyDescent="0.35">
      <c r="B61" s="6"/>
      <c r="C61" s="6"/>
      <c r="D61" s="6"/>
      <c r="E61" s="6"/>
    </row>
    <row r="62" spans="1:5" x14ac:dyDescent="0.35">
      <c r="B62" s="6"/>
      <c r="C62" s="6"/>
      <c r="D62" s="6"/>
      <c r="E62" s="6"/>
    </row>
    <row r="63" spans="1:5" x14ac:dyDescent="0.35">
      <c r="B63" s="6"/>
      <c r="C63" s="6"/>
      <c r="D63" s="6"/>
      <c r="E63" s="6"/>
    </row>
    <row r="64" spans="1:5" x14ac:dyDescent="0.35">
      <c r="B64" s="6"/>
      <c r="C64" s="6"/>
      <c r="D64" s="6"/>
      <c r="E64" s="6"/>
    </row>
    <row r="65" spans="2:5" x14ac:dyDescent="0.35">
      <c r="B65" s="6"/>
      <c r="C65" s="6"/>
      <c r="D65" s="6"/>
      <c r="E65" s="6"/>
    </row>
    <row r="66" spans="2:5" x14ac:dyDescent="0.35">
      <c r="B66" s="6"/>
      <c r="C66" s="6"/>
      <c r="D66" s="6"/>
      <c r="E66" s="6"/>
    </row>
    <row r="67" spans="2:5" x14ac:dyDescent="0.35">
      <c r="B67" s="6"/>
      <c r="C67" s="6"/>
      <c r="D67" s="6"/>
      <c r="E67" s="6"/>
    </row>
    <row r="68" spans="2:5" x14ac:dyDescent="0.35">
      <c r="B68" s="6"/>
      <c r="C68" s="6"/>
      <c r="D68" s="6"/>
      <c r="E68" s="6"/>
    </row>
    <row r="69" spans="2:5" x14ac:dyDescent="0.35">
      <c r="B69" s="6"/>
      <c r="C69" s="6"/>
      <c r="D69" s="6"/>
      <c r="E69" s="6"/>
    </row>
    <row r="70" spans="2:5" x14ac:dyDescent="0.35">
      <c r="B70" s="6"/>
      <c r="C70" s="6"/>
      <c r="D70" s="6"/>
      <c r="E70" s="6"/>
    </row>
    <row r="71" spans="2:5" x14ac:dyDescent="0.35">
      <c r="B71" s="6"/>
      <c r="C71" s="6"/>
      <c r="D71" s="6"/>
      <c r="E71" s="6"/>
    </row>
    <row r="72" spans="2:5" x14ac:dyDescent="0.35">
      <c r="B72" s="6"/>
      <c r="C72" s="6"/>
      <c r="D72" s="6"/>
      <c r="E72" s="6"/>
    </row>
    <row r="73" spans="2:5" x14ac:dyDescent="0.35">
      <c r="B73" s="6"/>
      <c r="C73" s="6"/>
      <c r="D73" s="6"/>
      <c r="E73" s="6"/>
    </row>
    <row r="74" spans="2:5" x14ac:dyDescent="0.35">
      <c r="B74" s="6"/>
      <c r="C74" s="6"/>
      <c r="D74" s="6"/>
      <c r="E74" s="6"/>
    </row>
    <row r="75" spans="2:5" x14ac:dyDescent="0.35">
      <c r="B75" s="6"/>
      <c r="C75" s="6"/>
      <c r="D75" s="6"/>
      <c r="E75" s="6"/>
    </row>
    <row r="76" spans="2:5" x14ac:dyDescent="0.35">
      <c r="B76" s="6"/>
      <c r="C76" s="6"/>
      <c r="D76" s="6"/>
      <c r="E76" s="6"/>
    </row>
    <row r="77" spans="2:5" x14ac:dyDescent="0.35">
      <c r="B77" s="6"/>
      <c r="C77" s="6"/>
      <c r="D77" s="6"/>
      <c r="E77" s="6"/>
    </row>
    <row r="78" spans="2:5" x14ac:dyDescent="0.35">
      <c r="B78" s="6"/>
      <c r="C78" s="6"/>
      <c r="D78" s="6"/>
      <c r="E78" s="6"/>
    </row>
    <row r="79" spans="2:5" x14ac:dyDescent="0.35">
      <c r="B79" s="6"/>
      <c r="C79" s="6"/>
      <c r="D79" s="6"/>
      <c r="E79" s="6"/>
    </row>
    <row r="80" spans="2:5" x14ac:dyDescent="0.35">
      <c r="B80" s="6"/>
      <c r="C80" s="6"/>
      <c r="D80" s="6"/>
      <c r="E80" s="6"/>
    </row>
    <row r="81" spans="2:5" x14ac:dyDescent="0.35">
      <c r="B81" s="6"/>
      <c r="C81" s="6"/>
      <c r="D81" s="6"/>
      <c r="E81" s="6"/>
    </row>
    <row r="82" spans="2:5" x14ac:dyDescent="0.35">
      <c r="B82" s="6"/>
      <c r="C82" s="6"/>
      <c r="D82" s="6"/>
      <c r="E82" s="6"/>
    </row>
    <row r="83" spans="2:5" x14ac:dyDescent="0.35">
      <c r="B83" s="6"/>
      <c r="C83" s="6"/>
      <c r="D83" s="6"/>
      <c r="E83" s="6"/>
    </row>
    <row r="84" spans="2:5" x14ac:dyDescent="0.35">
      <c r="B84" s="6"/>
      <c r="C84" s="6"/>
      <c r="D84" s="6"/>
      <c r="E84" s="6"/>
    </row>
    <row r="85" spans="2:5" x14ac:dyDescent="0.35">
      <c r="B85" s="6"/>
      <c r="C85" s="6"/>
      <c r="D85" s="6"/>
      <c r="E85" s="6"/>
    </row>
    <row r="86" spans="2:5" x14ac:dyDescent="0.35">
      <c r="B86" s="6"/>
      <c r="C86" s="6"/>
      <c r="D86" s="6"/>
      <c r="E86" s="6"/>
    </row>
    <row r="87" spans="2:5" x14ac:dyDescent="0.35">
      <c r="B87" s="6"/>
      <c r="C87" s="6"/>
      <c r="D87" s="6"/>
      <c r="E87" s="6"/>
    </row>
    <row r="88" spans="2:5" x14ac:dyDescent="0.35">
      <c r="B88" s="6"/>
      <c r="C88" s="6"/>
      <c r="D88" s="6"/>
      <c r="E88" s="6"/>
    </row>
    <row r="89" spans="2:5" x14ac:dyDescent="0.35">
      <c r="B89" s="6"/>
      <c r="C89" s="6"/>
      <c r="D89" s="6"/>
      <c r="E89" s="6"/>
    </row>
    <row r="90" spans="2:5" x14ac:dyDescent="0.35">
      <c r="B90" s="6"/>
      <c r="C90" s="6"/>
      <c r="D90" s="6"/>
      <c r="E90" s="6"/>
    </row>
    <row r="91" spans="2:5" x14ac:dyDescent="0.35">
      <c r="B91" s="6"/>
      <c r="C91" s="6"/>
      <c r="D91" s="6"/>
      <c r="E91" s="6"/>
    </row>
    <row r="92" spans="2:5" x14ac:dyDescent="0.35">
      <c r="B92" s="6"/>
      <c r="C92" s="6"/>
      <c r="D92" s="6"/>
      <c r="E92" s="6"/>
    </row>
    <row r="93" spans="2:5" x14ac:dyDescent="0.35">
      <c r="B93" s="6"/>
      <c r="C93" s="6"/>
      <c r="D93" s="6"/>
      <c r="E93" s="6"/>
    </row>
    <row r="94" spans="2:5" x14ac:dyDescent="0.35">
      <c r="B94" s="6"/>
      <c r="C94" s="6"/>
      <c r="D94" s="6"/>
      <c r="E94" s="6"/>
    </row>
    <row r="95" spans="2:5" x14ac:dyDescent="0.35">
      <c r="B95" s="6"/>
      <c r="C95" s="6"/>
      <c r="D95" s="6"/>
      <c r="E95" s="6"/>
    </row>
    <row r="96" spans="2:5" x14ac:dyDescent="0.35">
      <c r="B96" s="6"/>
      <c r="C96" s="6"/>
      <c r="D96" s="6"/>
      <c r="E96" s="6"/>
    </row>
    <row r="97" spans="2:5" x14ac:dyDescent="0.35">
      <c r="B97" s="6"/>
      <c r="C97" s="6"/>
      <c r="D97" s="6"/>
      <c r="E97" s="6"/>
    </row>
    <row r="98" spans="2:5" x14ac:dyDescent="0.35">
      <c r="B98" s="6"/>
      <c r="C98" s="6"/>
      <c r="D98" s="6"/>
      <c r="E98" s="6"/>
    </row>
    <row r="99" spans="2:5" x14ac:dyDescent="0.35">
      <c r="B99" s="6"/>
      <c r="C99" s="6"/>
      <c r="D99" s="6"/>
      <c r="E99" s="6"/>
    </row>
    <row r="100" spans="2:5" x14ac:dyDescent="0.35">
      <c r="B100" s="6"/>
      <c r="C100" s="6"/>
      <c r="D100" s="6"/>
      <c r="E100" s="6"/>
    </row>
    <row r="101" spans="2:5" x14ac:dyDescent="0.35">
      <c r="B101" s="6"/>
      <c r="C101" s="6"/>
      <c r="D101" s="6"/>
      <c r="E101" s="6"/>
    </row>
    <row r="102" spans="2:5" x14ac:dyDescent="0.35">
      <c r="B102" s="6"/>
      <c r="C102" s="6"/>
      <c r="D102" s="6"/>
      <c r="E102" s="6"/>
    </row>
    <row r="103" spans="2:5" x14ac:dyDescent="0.35">
      <c r="B103" s="6"/>
      <c r="C103" s="6"/>
      <c r="D103" s="6"/>
      <c r="E103" s="6"/>
    </row>
    <row r="104" spans="2:5" x14ac:dyDescent="0.35">
      <c r="B104" s="6"/>
      <c r="C104" s="6"/>
      <c r="D104" s="6"/>
      <c r="E104" s="6"/>
    </row>
    <row r="105" spans="2:5" x14ac:dyDescent="0.35">
      <c r="B105" s="6"/>
      <c r="C105" s="6"/>
      <c r="D105" s="6"/>
      <c r="E105" s="6"/>
    </row>
    <row r="106" spans="2:5" x14ac:dyDescent="0.35">
      <c r="B106" s="6"/>
      <c r="C106" s="6"/>
      <c r="D106" s="6"/>
      <c r="E106" s="6"/>
    </row>
    <row r="107" spans="2:5" x14ac:dyDescent="0.35">
      <c r="B107" s="6"/>
      <c r="C107" s="6"/>
      <c r="D107" s="6"/>
      <c r="E107" s="6"/>
    </row>
    <row r="108" spans="2:5" x14ac:dyDescent="0.35">
      <c r="B108" s="6"/>
      <c r="C108" s="6"/>
      <c r="D108" s="6"/>
      <c r="E108" s="6"/>
    </row>
    <row r="109" spans="2:5" x14ac:dyDescent="0.35">
      <c r="B109" s="6"/>
      <c r="C109" s="6"/>
      <c r="D109" s="6"/>
      <c r="E109" s="6"/>
    </row>
  </sheetData>
  <conditionalFormatting sqref="B15:B16 C16 B3:C15 B17:C46 D3:E46 B49:E57">
    <cfRule type="expression" dxfId="5" priority="3" stopIfTrue="1">
      <formula>ISERROR(B3)</formula>
    </cfRule>
  </conditionalFormatting>
  <conditionalFormatting sqref="B45:E45 B49:E50">
    <cfRule type="cellIs" dxfId="4" priority="216" stopIfTrue="1" operator="equal">
      <formula>#DIV/0!</formula>
    </cfRule>
    <cfRule type="notContainsBlanks" dxfId="3" priority="217" stopIfTrue="1">
      <formula>LEN(TRIM(B45))&gt;0</formula>
    </cfRule>
    <cfRule type="containsBlanks" dxfId="2" priority="218" stopIfTrue="1">
      <formula>LEN(TRIM(B45))=0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1714E-FD5D-48CA-8ECF-1BDD08E146F2}">
  <dimension ref="A1:D43"/>
  <sheetViews>
    <sheetView showGridLines="0" zoomScale="90" zoomScaleNormal="90" workbookViewId="0">
      <pane xSplit="1" ySplit="1" topLeftCell="B21" activePane="bottomRight" state="frozen"/>
      <selection activeCell="J3" sqref="J3"/>
      <selection pane="topRight" activeCell="J3" sqref="J3"/>
      <selection pane="bottomLeft" activeCell="J3" sqref="J3"/>
      <selection pane="bottomRight" activeCell="D39" sqref="D39"/>
    </sheetView>
  </sheetViews>
  <sheetFormatPr defaultColWidth="8.81640625" defaultRowHeight="13" x14ac:dyDescent="0.3"/>
  <cols>
    <col min="1" max="1" width="31.08984375" style="68" bestFit="1" customWidth="1"/>
    <col min="2" max="4" width="15.1796875" style="68" customWidth="1"/>
    <col min="5" max="16384" width="8.81640625" style="68"/>
  </cols>
  <sheetData>
    <row r="1" spans="1:4" ht="16.5" thickBot="1" x14ac:dyDescent="0.55000000000000004">
      <c r="A1" s="66" t="s">
        <v>98</v>
      </c>
      <c r="B1" s="67">
        <f>BS!C1</f>
        <v>46053</v>
      </c>
      <c r="C1" s="67">
        <f>BS!D1</f>
        <v>46081</v>
      </c>
      <c r="D1" s="67">
        <f>BS!E1</f>
        <v>46112</v>
      </c>
    </row>
    <row r="2" spans="1:4" ht="16.5" thickTop="1" x14ac:dyDescent="0.5">
      <c r="A2" s="69" t="s">
        <v>32</v>
      </c>
      <c r="B2" s="70">
        <f>'PL - Consolidated'!C55</f>
        <v>-220085.76923386069</v>
      </c>
      <c r="C2" s="70">
        <f>'PL - Consolidated'!D55</f>
        <v>-450203.23192544776</v>
      </c>
      <c r="D2" s="70">
        <f>'PL - Consolidated'!E55</f>
        <v>-1538007.6201040386</v>
      </c>
    </row>
    <row r="3" spans="1:4" ht="16" x14ac:dyDescent="0.5">
      <c r="A3" s="69" t="s">
        <v>22</v>
      </c>
      <c r="B3" s="71">
        <f>-'PL - Consolidated'!C42</f>
        <v>7407.9305588669031</v>
      </c>
      <c r="C3" s="71">
        <f>-'PL - Consolidated'!D42</f>
        <v>7405.0994494016213</v>
      </c>
      <c r="D3" s="71">
        <f>-'PL - Consolidated'!E42</f>
        <v>6865.9248942151098</v>
      </c>
    </row>
    <row r="4" spans="1:4" ht="16" x14ac:dyDescent="0.5">
      <c r="A4" s="69" t="s">
        <v>21</v>
      </c>
      <c r="B4" s="71">
        <f>-'PL - Consolidated'!C28</f>
        <v>9988.9549917974527</v>
      </c>
      <c r="C4" s="71">
        <f>-'PL - Consolidated'!D28</f>
        <v>9995.3803077479788</v>
      </c>
      <c r="D4" s="71">
        <f>-'PL - Consolidated'!E28</f>
        <v>9451.8275875098225</v>
      </c>
    </row>
    <row r="5" spans="1:4" ht="16" x14ac:dyDescent="0.5">
      <c r="A5" s="69" t="s">
        <v>144</v>
      </c>
      <c r="B5" s="71">
        <f>-'PL - Consolidated'!C10</f>
        <v>17526.938434108972</v>
      </c>
      <c r="C5" s="71">
        <f>-'PL - Consolidated'!D10</f>
        <v>9743.23</v>
      </c>
      <c r="D5" s="71">
        <f>-'PL - Consolidated'!E10</f>
        <v>14413.845723310025</v>
      </c>
    </row>
    <row r="6" spans="1:4" ht="16" x14ac:dyDescent="0.5">
      <c r="A6" s="69" t="s">
        <v>155</v>
      </c>
      <c r="B6" s="71">
        <f>-'PL - Consolidated'!C43</f>
        <v>-141802.70543167999</v>
      </c>
      <c r="C6" s="71">
        <f>-'PL - Consolidated'!D43</f>
        <v>185573.06896215401</v>
      </c>
      <c r="D6" s="71">
        <f>-'PL - Consolidated'!E43</f>
        <v>1074972.53957875</v>
      </c>
    </row>
    <row r="7" spans="1:4" ht="16" x14ac:dyDescent="0.5">
      <c r="A7" s="72"/>
      <c r="B7" s="73"/>
      <c r="C7" s="73"/>
      <c r="D7" s="73"/>
    </row>
    <row r="8" spans="1:4" ht="16" x14ac:dyDescent="0.5">
      <c r="A8" s="69" t="s">
        <v>99</v>
      </c>
      <c r="B8" s="74"/>
      <c r="C8" s="74"/>
      <c r="D8" s="74"/>
    </row>
    <row r="9" spans="1:4" ht="16" x14ac:dyDescent="0.5">
      <c r="A9" s="75" t="s">
        <v>35</v>
      </c>
      <c r="B9" s="70">
        <f>-(BS!C5-BS!B5)</f>
        <v>-6092.6504000239074</v>
      </c>
      <c r="C9" s="70">
        <f>-(BS!D5-BS!C5)</f>
        <v>202562.18437262997</v>
      </c>
      <c r="D9" s="70">
        <f>-(BS!E5-BS!D5)</f>
        <v>1713825.3723242395</v>
      </c>
    </row>
    <row r="10" spans="1:4" ht="16" x14ac:dyDescent="0.5">
      <c r="A10" s="75" t="s">
        <v>156</v>
      </c>
      <c r="B10" s="70">
        <f>-(BS!C6-BS!B6)</f>
        <v>-9306.2796691423282</v>
      </c>
      <c r="C10" s="70">
        <f>-(BS!D6-BS!C6)</f>
        <v>12375.3024239355</v>
      </c>
      <c r="D10" s="70">
        <f>-(BS!E6-BS!D6)</f>
        <v>70178.551846077724</v>
      </c>
    </row>
    <row r="11" spans="1:4" ht="16" x14ac:dyDescent="0.5">
      <c r="A11" s="75" t="s">
        <v>160</v>
      </c>
      <c r="B11" s="70">
        <f>-(BS!C7-BS!B7)</f>
        <v>-381.97627160729462</v>
      </c>
      <c r="C11" s="70">
        <f>-(BS!D7-BS!C7)</f>
        <v>507.94431802662803</v>
      </c>
      <c r="D11" s="70">
        <f>-(BS!E7-BS!D7)</f>
        <v>2880.478830853197</v>
      </c>
    </row>
    <row r="12" spans="1:4" ht="16" x14ac:dyDescent="0.5">
      <c r="A12" s="75" t="s">
        <v>161</v>
      </c>
      <c r="B12" s="70">
        <f>-(BS!C8-BS!B8)</f>
        <v>-250.00032602601277</v>
      </c>
      <c r="C12" s="70">
        <f>-(BS!D8-BS!C8)</f>
        <v>332.44537566530198</v>
      </c>
      <c r="D12" s="70">
        <f>-(BS!E8-BS!D8)</f>
        <v>1885.249687877671</v>
      </c>
    </row>
    <row r="13" spans="1:4" ht="16" x14ac:dyDescent="0.5">
      <c r="A13" s="75" t="s">
        <v>162</v>
      </c>
      <c r="B13" s="70">
        <f>-(BS!C9-BS!B9)</f>
        <v>-5477.2363012346905</v>
      </c>
      <c r="C13" s="70">
        <f>-(BS!D9-BS!C9)</f>
        <v>7283.5180206210352</v>
      </c>
      <c r="D13" s="70">
        <f>-(BS!E9-BS!D9)</f>
        <v>41303.778244915244</v>
      </c>
    </row>
    <row r="14" spans="1:4" ht="16" x14ac:dyDescent="0.5">
      <c r="A14" s="75" t="s">
        <v>93</v>
      </c>
      <c r="B14" s="70">
        <f>-(BS!C10-BS!B10)</f>
        <v>-1999.3582718437538</v>
      </c>
      <c r="C14" s="70">
        <f>-(BS!D10-BS!C10)</f>
        <v>25770.08236865385</v>
      </c>
      <c r="D14" s="70">
        <f>-(BS!E10-BS!D10)</f>
        <v>31903.580089884257</v>
      </c>
    </row>
    <row r="15" spans="1:4" ht="16" x14ac:dyDescent="0.5">
      <c r="A15" s="75" t="s">
        <v>36</v>
      </c>
      <c r="B15" s="70">
        <f>-(BS!C11-BS!B11)</f>
        <v>418.35910377692198</v>
      </c>
      <c r="C15" s="70">
        <f>-(BS!D11-BS!C11)</f>
        <v>48907.947863816429</v>
      </c>
      <c r="D15" s="70">
        <f>-(BS!E11-BS!D11)</f>
        <v>-163263.47502088585</v>
      </c>
    </row>
    <row r="16" spans="1:4" ht="16" x14ac:dyDescent="0.5">
      <c r="A16" s="75" t="s">
        <v>37</v>
      </c>
      <c r="B16" s="70">
        <f>-(BS!C12-BS!B12)</f>
        <v>-21969.481076712313</v>
      </c>
      <c r="C16" s="70">
        <f>-(BS!D12-BS!C12)</f>
        <v>-5942.9888773038983</v>
      </c>
      <c r="D16" s="70">
        <f>-(BS!E12-BS!D12)</f>
        <v>31344.412792282528</v>
      </c>
    </row>
    <row r="17" spans="1:4" ht="16" x14ac:dyDescent="0.5">
      <c r="A17" s="75" t="s">
        <v>38</v>
      </c>
      <c r="B17" s="70">
        <f>-(BS!C13-BS!B13)</f>
        <v>-30862.956161700218</v>
      </c>
      <c r="C17" s="70">
        <f>-(BS!D13-BS!C13)</f>
        <v>-851.34215939149726</v>
      </c>
      <c r="D17" s="70">
        <f>-(BS!E13-BS!D13)</f>
        <v>-14229.787438460509</v>
      </c>
    </row>
    <row r="18" spans="1:4" ht="16" x14ac:dyDescent="0.5">
      <c r="A18" s="75" t="s">
        <v>163</v>
      </c>
      <c r="B18" s="70">
        <f>-(BS!C14-BS!B14)</f>
        <v>-30492.115295712487</v>
      </c>
      <c r="C18" s="70">
        <f>-(BS!D14-BS!C14)</f>
        <v>-9805.789341688389</v>
      </c>
      <c r="D18" s="70">
        <f>-(BS!E14-BS!D14)</f>
        <v>26858.098846717621</v>
      </c>
    </row>
    <row r="19" spans="1:4" ht="16" x14ac:dyDescent="0.5">
      <c r="A19" s="75" t="s">
        <v>58</v>
      </c>
      <c r="B19" s="70">
        <f>BS!C40-BS!B40</f>
        <v>145119.00517024071</v>
      </c>
      <c r="C19" s="70">
        <f>BS!D40-BS!C40</f>
        <v>-144394.86419181502</v>
      </c>
      <c r="D19" s="70">
        <f>BS!E40-BS!D40</f>
        <v>113338.4473291561</v>
      </c>
    </row>
    <row r="20" spans="1:4" ht="16" x14ac:dyDescent="0.5">
      <c r="A20" s="75" t="s">
        <v>164</v>
      </c>
      <c r="B20" s="70">
        <f>BS!C41-BS!B41</f>
        <v>91829.675934328698</v>
      </c>
      <c r="C20" s="70">
        <f>BS!D41-BS!C41</f>
        <v>107400.7070290749</v>
      </c>
      <c r="D20" s="70">
        <f>BS!E41-BS!D41</f>
        <v>-271698.68507605884</v>
      </c>
    </row>
    <row r="21" spans="1:4" ht="16" x14ac:dyDescent="0.5">
      <c r="A21" s="75" t="s">
        <v>60</v>
      </c>
      <c r="B21" s="70">
        <f>BS!C42-BS!B42</f>
        <v>-152243.22217794019</v>
      </c>
      <c r="C21" s="70">
        <f>BS!D42-BS!C42</f>
        <v>16038.761994123095</v>
      </c>
      <c r="D21" s="70">
        <f>BS!E42-BS!D42</f>
        <v>10245.186305630108</v>
      </c>
    </row>
    <row r="22" spans="1:4" ht="16" x14ac:dyDescent="0.5">
      <c r="A22" s="75" t="s">
        <v>61</v>
      </c>
      <c r="B22" s="70">
        <f>BS!C43-BS!B43</f>
        <v>26478.595102187479</v>
      </c>
      <c r="C22" s="70">
        <f>BS!D43-BS!C43</f>
        <v>11922.110873198486</v>
      </c>
      <c r="D22" s="70">
        <f>BS!E43-BS!D43</f>
        <v>-67808.445516181411</v>
      </c>
    </row>
    <row r="23" spans="1:4" ht="16" x14ac:dyDescent="0.5">
      <c r="A23" s="75" t="s">
        <v>62</v>
      </c>
      <c r="B23" s="70">
        <f>BS!C44-BS!B44</f>
        <v>-357831.34736974281</v>
      </c>
      <c r="C23" s="70">
        <f>BS!D44-BS!C44</f>
        <v>24525.151301160222</v>
      </c>
      <c r="D23" s="70">
        <f>BS!E44-BS!D44</f>
        <v>19434.320730259642</v>
      </c>
    </row>
    <row r="24" spans="1:4" ht="16" x14ac:dyDescent="0.5">
      <c r="A24" s="69" t="s">
        <v>101</v>
      </c>
      <c r="B24" s="76">
        <f t="shared" ref="B24:C24" si="0">SUM(B2:B23)</f>
        <v>-680025.63869191962</v>
      </c>
      <c r="C24" s="76">
        <f t="shared" si="0"/>
        <v>59144.718164562422</v>
      </c>
      <c r="D24" s="76">
        <f t="shared" ref="D24" si="1">SUM(D2:D23)</f>
        <v>1113893.601656053</v>
      </c>
    </row>
    <row r="25" spans="1:4" ht="16" x14ac:dyDescent="0.5">
      <c r="A25" s="75"/>
      <c r="B25" s="71"/>
      <c r="C25" s="71"/>
      <c r="D25" s="71"/>
    </row>
    <row r="26" spans="1:4" ht="16" x14ac:dyDescent="0.5">
      <c r="A26" s="69" t="s">
        <v>102</v>
      </c>
      <c r="B26" s="71"/>
      <c r="C26" s="71"/>
      <c r="D26" s="71"/>
    </row>
    <row r="27" spans="1:4" ht="16" x14ac:dyDescent="0.5">
      <c r="A27" s="75" t="s">
        <v>103</v>
      </c>
      <c r="B27" s="70">
        <v>-5199.3548269221792</v>
      </c>
      <c r="C27" s="70">
        <v>6079.58</v>
      </c>
      <c r="D27" s="70">
        <v>39206.453384451685</v>
      </c>
    </row>
    <row r="28" spans="1:4" ht="16" x14ac:dyDescent="0.5">
      <c r="A28" s="75" t="s">
        <v>49</v>
      </c>
      <c r="B28" s="70">
        <v>-166787.07999999999</v>
      </c>
      <c r="C28" s="70">
        <v>5754.87</v>
      </c>
      <c r="D28" s="70">
        <v>15116.02</v>
      </c>
    </row>
    <row r="29" spans="1:4" ht="16" x14ac:dyDescent="0.5">
      <c r="A29" s="75" t="s">
        <v>104</v>
      </c>
      <c r="B29" s="70">
        <v>-5627.5398135662545</v>
      </c>
      <c r="C29" s="70">
        <v>7483.2638632722083</v>
      </c>
      <c r="D29" s="70">
        <v>42434.363261369348</v>
      </c>
    </row>
    <row r="30" spans="1:4" ht="16" x14ac:dyDescent="0.5">
      <c r="A30" s="69" t="s">
        <v>105</v>
      </c>
      <c r="B30" s="77">
        <f t="shared" ref="B30:C30" si="2">SUM(B27:B29)</f>
        <v>-177613.97464048842</v>
      </c>
      <c r="C30" s="77">
        <f t="shared" si="2"/>
        <v>19317.713863272209</v>
      </c>
      <c r="D30" s="77">
        <f t="shared" ref="D30" si="3">SUM(D27:D29)</f>
        <v>96756.836645821037</v>
      </c>
    </row>
    <row r="31" spans="1:4" ht="16" x14ac:dyDescent="0.5">
      <c r="A31" s="69"/>
      <c r="B31" s="71"/>
      <c r="C31" s="71"/>
      <c r="D31" s="71"/>
    </row>
    <row r="32" spans="1:4" ht="16" x14ac:dyDescent="0.5">
      <c r="A32" s="69" t="s">
        <v>106</v>
      </c>
      <c r="B32" s="78"/>
      <c r="C32" s="78"/>
      <c r="D32" s="78"/>
    </row>
    <row r="33" spans="1:4" ht="16" x14ac:dyDescent="0.5">
      <c r="A33" s="75" t="s">
        <v>107</v>
      </c>
      <c r="B33" s="71">
        <f>BS!C47-BS!B47</f>
        <v>-474735.16000000015</v>
      </c>
      <c r="C33" s="71">
        <f>BS!D47-BS!C47</f>
        <v>-200200</v>
      </c>
      <c r="D33" s="71">
        <f>BS!E47-BS!D47</f>
        <v>1195391.9000000004</v>
      </c>
    </row>
    <row r="34" spans="1:4" ht="16" x14ac:dyDescent="0.5">
      <c r="A34" s="75" t="s">
        <v>65</v>
      </c>
      <c r="B34" s="70">
        <f>BS!C48-BS!B48</f>
        <v>-16982.97206974891</v>
      </c>
      <c r="C34" s="70">
        <f>BS!D48-BS!C48</f>
        <v>-1098.5890793274739</v>
      </c>
      <c r="D34" s="70">
        <f>BS!E48-BS!D48</f>
        <v>-52156.285240655881</v>
      </c>
    </row>
    <row r="35" spans="1:4" ht="16" x14ac:dyDescent="0.5">
      <c r="A35" s="75" t="s">
        <v>108</v>
      </c>
      <c r="B35" s="70">
        <v>0</v>
      </c>
      <c r="C35" s="70">
        <v>0</v>
      </c>
      <c r="D35" s="70">
        <v>0</v>
      </c>
    </row>
    <row r="36" spans="1:4" ht="16" x14ac:dyDescent="0.5">
      <c r="A36" s="69" t="s">
        <v>109</v>
      </c>
      <c r="B36" s="79">
        <f t="shared" ref="B36:C36" si="4">SUM(B33:B35)</f>
        <v>-491718.13206974906</v>
      </c>
      <c r="C36" s="79">
        <f t="shared" si="4"/>
        <v>-201298.58907932747</v>
      </c>
      <c r="D36" s="79">
        <f t="shared" ref="D36" si="5">SUM(D33:D35)</f>
        <v>1143235.6147593446</v>
      </c>
    </row>
    <row r="37" spans="1:4" ht="16" x14ac:dyDescent="0.5">
      <c r="A37" s="69"/>
      <c r="B37" s="78"/>
      <c r="C37" s="78"/>
      <c r="D37" s="78"/>
    </row>
    <row r="38" spans="1:4" ht="16" x14ac:dyDescent="0.5">
      <c r="A38" s="69" t="s">
        <v>110</v>
      </c>
      <c r="B38" s="71">
        <f>SUM(BS!B3:B4)</f>
        <v>5671257.7717661392</v>
      </c>
      <c r="C38" s="71">
        <f>SUM(BS!C3:C4)</f>
        <v>4537433.8524786457</v>
      </c>
      <c r="D38" s="71">
        <f>SUM(BS!D3:D4)</f>
        <v>4091707.1042752424</v>
      </c>
    </row>
    <row r="39" spans="1:4" ht="16" x14ac:dyDescent="0.5">
      <c r="A39" s="75" t="s">
        <v>111</v>
      </c>
      <c r="B39" s="71">
        <f t="shared" ref="B39:C39" si="6">B24+B30+B36</f>
        <v>-1349357.7454021571</v>
      </c>
      <c r="C39" s="71">
        <f t="shared" si="6"/>
        <v>-122836.15705149285</v>
      </c>
      <c r="D39" s="71">
        <f t="shared" ref="D39" si="7">D24+D30+D36</f>
        <v>2353886.0530612189</v>
      </c>
    </row>
    <row r="40" spans="1:4" ht="16" x14ac:dyDescent="0.5">
      <c r="A40" s="75" t="s">
        <v>112</v>
      </c>
      <c r="B40" s="70">
        <v>215533.82610999997</v>
      </c>
      <c r="C40" s="70">
        <v>-322890.59115000005</v>
      </c>
      <c r="D40" s="70">
        <v>-1487958.2132024241</v>
      </c>
    </row>
    <row r="41" spans="1:4" ht="16" x14ac:dyDescent="0.5">
      <c r="A41" s="69" t="s">
        <v>113</v>
      </c>
      <c r="B41" s="79">
        <f t="shared" ref="B41:C41" si="8">SUM(B38:B40)</f>
        <v>4537433.8524739817</v>
      </c>
      <c r="C41" s="79">
        <f t="shared" si="8"/>
        <v>4091707.104277153</v>
      </c>
      <c r="D41" s="79">
        <f t="shared" ref="D41" si="9">SUM(D38:D40)</f>
        <v>4957634.944134037</v>
      </c>
    </row>
    <row r="42" spans="1:4" ht="16" x14ac:dyDescent="0.5">
      <c r="A42" s="80" t="s">
        <v>114</v>
      </c>
      <c r="B42" s="81">
        <f>ROUND(B41-BS!C3,5)</f>
        <v>0</v>
      </c>
      <c r="C42" s="81">
        <f>ROUND(C41-BS!D3,5)</f>
        <v>0</v>
      </c>
      <c r="D42" s="81">
        <f>ROUND(D41-BS!E3,5)</f>
        <v>0</v>
      </c>
    </row>
    <row r="43" spans="1:4" x14ac:dyDescent="0.3">
      <c r="B43" s="82"/>
      <c r="C43" s="82"/>
      <c r="D43" s="82"/>
    </row>
  </sheetData>
  <conditionalFormatting sqref="B2:D6">
    <cfRule type="expression" dxfId="1" priority="1" stopIfTrue="1">
      <formula>ISERROR(B2)</formula>
    </cfRule>
  </conditionalFormatting>
  <conditionalFormatting sqref="B9:D41">
    <cfRule type="expression" dxfId="0" priority="2" stopIfTrue="1">
      <formula>ISERROR(B9)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E8F7D-A2A2-46AA-B1AA-CEB168C6DCC7}">
  <dimension ref="A1:E55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42" sqref="E42"/>
    </sheetView>
  </sheetViews>
  <sheetFormatPr defaultRowHeight="14.5" x14ac:dyDescent="0.35"/>
  <cols>
    <col min="1" max="1" width="46" customWidth="1"/>
    <col min="2" max="5" width="15.6328125" customWidth="1"/>
  </cols>
  <sheetData>
    <row r="1" spans="1:5" ht="16.5" thickBot="1" x14ac:dyDescent="0.55000000000000004">
      <c r="A1" s="1" t="s">
        <v>75</v>
      </c>
      <c r="B1" s="113" t="s">
        <v>165</v>
      </c>
      <c r="C1" s="58">
        <f>'PL - Consolidated'!C1</f>
        <v>46053</v>
      </c>
      <c r="D1" s="58">
        <f>'PL - Consolidated'!D1</f>
        <v>46081</v>
      </c>
      <c r="E1" s="58">
        <f>'PL - Consolidated'!E1</f>
        <v>46112</v>
      </c>
    </row>
    <row r="2" spans="1:5" ht="16.5" thickTop="1" x14ac:dyDescent="0.5">
      <c r="A2" s="16" t="s">
        <v>0</v>
      </c>
      <c r="B2" s="112">
        <v>9301394.7774720024</v>
      </c>
      <c r="C2" s="108">
        <v>720862.19163400005</v>
      </c>
      <c r="D2" s="40">
        <v>741958.551232</v>
      </c>
      <c r="E2" s="40">
        <v>615347.65982608695</v>
      </c>
    </row>
    <row r="3" spans="1:5" ht="16" x14ac:dyDescent="0.5">
      <c r="A3" s="16" t="s">
        <v>76</v>
      </c>
      <c r="B3" s="40">
        <v>183219.21</v>
      </c>
      <c r="C3" s="40">
        <v>683.41</v>
      </c>
      <c r="D3" s="40">
        <v>669.08</v>
      </c>
      <c r="E3" s="40">
        <v>137.08000000000001</v>
      </c>
    </row>
    <row r="4" spans="1:5" ht="16" x14ac:dyDescent="0.5">
      <c r="A4" s="16" t="s">
        <v>77</v>
      </c>
      <c r="B4" s="40">
        <v>406757.54</v>
      </c>
      <c r="C4" s="40">
        <v>34108.1</v>
      </c>
      <c r="D4" s="40">
        <v>14689.87</v>
      </c>
      <c r="E4" s="40">
        <v>25595.64</v>
      </c>
    </row>
    <row r="5" spans="1:5" ht="16" x14ac:dyDescent="0.5">
      <c r="A5" s="60" t="s">
        <v>143</v>
      </c>
      <c r="B5" s="61">
        <f t="shared" ref="B5" si="0">SUM(B2:B4)</f>
        <v>9891371.5274720024</v>
      </c>
      <c r="C5" s="61">
        <f t="shared" ref="C5:E5" si="1">SUM(C2:C4)</f>
        <v>755653.70163400006</v>
      </c>
      <c r="D5" s="61">
        <f t="shared" si="1"/>
        <v>757317.50123199995</v>
      </c>
      <c r="E5" s="61">
        <f t="shared" si="1"/>
        <v>641080.37982608692</v>
      </c>
    </row>
    <row r="6" spans="1:5" ht="16" x14ac:dyDescent="0.5">
      <c r="A6" s="16" t="s">
        <v>97</v>
      </c>
      <c r="B6" s="40">
        <v>-1091360.6262300001</v>
      </c>
      <c r="C6" s="40">
        <v>-86646.148149999994</v>
      </c>
      <c r="D6" s="40">
        <v>-85913.015660000005</v>
      </c>
      <c r="E6" s="40">
        <v>-80771</v>
      </c>
    </row>
    <row r="7" spans="1:5" ht="16" x14ac:dyDescent="0.5">
      <c r="A7" s="16" t="s">
        <v>78</v>
      </c>
      <c r="B7" s="40">
        <v>-1765196</v>
      </c>
      <c r="C7" s="40">
        <v>-124095</v>
      </c>
      <c r="D7" s="40">
        <v>-101422.858222</v>
      </c>
      <c r="E7" s="40">
        <v>-77213.818339999998</v>
      </c>
    </row>
    <row r="8" spans="1:5" ht="16" x14ac:dyDescent="0.5">
      <c r="A8" s="18" t="s">
        <v>1</v>
      </c>
      <c r="B8" s="3">
        <f t="shared" ref="B8" si="2">SUM(B5:B7)</f>
        <v>7034814.9012420028</v>
      </c>
      <c r="C8" s="3">
        <f t="shared" ref="C8:E8" si="3">SUM(C5:C7)</f>
        <v>544912.55348400003</v>
      </c>
      <c r="D8" s="3">
        <f t="shared" si="3"/>
        <v>569981.62734999997</v>
      </c>
      <c r="E8" s="3">
        <f t="shared" si="3"/>
        <v>483095.56148608692</v>
      </c>
    </row>
    <row r="9" spans="1:5" ht="16" x14ac:dyDescent="0.5">
      <c r="A9" s="16" t="s">
        <v>79</v>
      </c>
      <c r="B9" s="17">
        <v>-1585753.9164658098</v>
      </c>
      <c r="C9" s="17">
        <v>-134322.59</v>
      </c>
      <c r="D9" s="17">
        <v>-113162.94</v>
      </c>
      <c r="E9" s="17">
        <v>-86648.598722125826</v>
      </c>
    </row>
    <row r="10" spans="1:5" ht="16" x14ac:dyDescent="0.5">
      <c r="A10" s="16" t="s">
        <v>80</v>
      </c>
      <c r="B10" s="17">
        <v>-81460.892454863977</v>
      </c>
      <c r="C10" s="17">
        <v>-17526.938434108972</v>
      </c>
      <c r="D10" s="17">
        <v>-9743.23</v>
      </c>
      <c r="E10" s="17">
        <v>-14413.845723310025</v>
      </c>
    </row>
    <row r="11" spans="1:5" ht="16" x14ac:dyDescent="0.5">
      <c r="A11" s="19" t="s">
        <v>2</v>
      </c>
      <c r="B11" s="3">
        <f t="shared" ref="B11" si="4">SUM(B9:B10)</f>
        <v>-1667214.8089206738</v>
      </c>
      <c r="C11" s="3">
        <f t="shared" ref="C11:E11" si="5">SUM(C9:C10)</f>
        <v>-151849.52843410897</v>
      </c>
      <c r="D11" s="3">
        <f t="shared" si="5"/>
        <v>-122906.17</v>
      </c>
      <c r="E11" s="3">
        <f t="shared" si="5"/>
        <v>-101062.44444543585</v>
      </c>
    </row>
    <row r="12" spans="1:5" ht="16" x14ac:dyDescent="0.5">
      <c r="A12" s="18" t="s">
        <v>3</v>
      </c>
      <c r="B12" s="3">
        <f t="shared" ref="B12:E12" si="6">B8+B11</f>
        <v>5367600.0923213288</v>
      </c>
      <c r="C12" s="3">
        <f t="shared" si="6"/>
        <v>393063.02504989109</v>
      </c>
      <c r="D12" s="3">
        <f t="shared" si="6"/>
        <v>447075.45734999998</v>
      </c>
      <c r="E12" s="3">
        <f t="shared" si="6"/>
        <v>382033.11704065109</v>
      </c>
    </row>
    <row r="13" spans="1:5" ht="16" x14ac:dyDescent="0.5">
      <c r="A13" s="60" t="s">
        <v>81</v>
      </c>
      <c r="B13" s="63">
        <f t="shared" ref="B13:E13" si="7">B12/B5</f>
        <v>0.54265478527558242</v>
      </c>
      <c r="C13" s="63">
        <f t="shared" si="7"/>
        <v>0.52016290557426614</v>
      </c>
      <c r="D13" s="63">
        <f t="shared" si="7"/>
        <v>0.59034084993770786</v>
      </c>
      <c r="E13" s="63">
        <f t="shared" si="7"/>
        <v>0.5959207754015019</v>
      </c>
    </row>
    <row r="14" spans="1:5" ht="16" x14ac:dyDescent="0.5">
      <c r="A14" s="18" t="s">
        <v>4</v>
      </c>
      <c r="B14" s="86"/>
      <c r="C14" s="86"/>
      <c r="D14" s="86"/>
      <c r="E14" s="86"/>
    </row>
    <row r="15" spans="1:5" ht="16" x14ac:dyDescent="0.5">
      <c r="A15" s="20" t="s">
        <v>82</v>
      </c>
      <c r="B15" s="17">
        <v>-4801652.5212288387</v>
      </c>
      <c r="C15" s="17">
        <v>-450982.94972325035</v>
      </c>
      <c r="D15" s="17">
        <v>-405193.62250599999</v>
      </c>
      <c r="E15" s="17">
        <v>-431321.9451076081</v>
      </c>
    </row>
    <row r="16" spans="1:5" ht="16" x14ac:dyDescent="0.5">
      <c r="A16" s="20" t="s">
        <v>10</v>
      </c>
      <c r="B16" s="17">
        <v>-29061.216995818097</v>
      </c>
      <c r="C16" s="17">
        <v>-519.00650005102773</v>
      </c>
      <c r="D16" s="17">
        <v>-517.92999999999995</v>
      </c>
      <c r="E16" s="17">
        <v>-430.8897751365003</v>
      </c>
    </row>
    <row r="17" spans="1:5" ht="16" x14ac:dyDescent="0.5">
      <c r="A17" s="20" t="s">
        <v>13</v>
      </c>
      <c r="B17" s="17">
        <v>-238713.40178463911</v>
      </c>
      <c r="C17" s="17">
        <v>-21459.874659677342</v>
      </c>
      <c r="D17" s="21">
        <v>-20151.399943999997</v>
      </c>
      <c r="E17" s="21">
        <v>-19719.445764362128</v>
      </c>
    </row>
    <row r="18" spans="1:5" ht="16" x14ac:dyDescent="0.5">
      <c r="A18" s="20" t="s">
        <v>6</v>
      </c>
      <c r="B18" s="17">
        <v>-2941.2566014647264</v>
      </c>
      <c r="C18" s="17">
        <v>-111.91318591857839</v>
      </c>
      <c r="D18" s="17">
        <v>-315.64</v>
      </c>
      <c r="E18" s="17">
        <v>-69.335936795851964</v>
      </c>
    </row>
    <row r="19" spans="1:5" ht="16" x14ac:dyDescent="0.5">
      <c r="A19" s="20" t="s">
        <v>83</v>
      </c>
      <c r="B19" s="17">
        <v>-579424.47227854992</v>
      </c>
      <c r="C19" s="17">
        <v>-52848.730136185499</v>
      </c>
      <c r="D19" s="17">
        <v>-59934.21</v>
      </c>
      <c r="E19" s="17">
        <v>-47611.761247681541</v>
      </c>
    </row>
    <row r="20" spans="1:5" ht="16" x14ac:dyDescent="0.5">
      <c r="A20" s="22" t="s">
        <v>7</v>
      </c>
      <c r="B20" s="17">
        <v>-48704.536997121068</v>
      </c>
      <c r="C20" s="17">
        <v>-1485.1658592356362</v>
      </c>
      <c r="D20" s="17">
        <v>-2973.58</v>
      </c>
      <c r="E20" s="17">
        <v>-1367.5630970724749</v>
      </c>
    </row>
    <row r="21" spans="1:5" ht="16" x14ac:dyDescent="0.5">
      <c r="A21" s="20" t="s">
        <v>12</v>
      </c>
      <c r="B21" s="17">
        <v>-152934.16516325567</v>
      </c>
      <c r="C21" s="17">
        <v>-16318.670304299834</v>
      </c>
      <c r="D21" s="17">
        <v>-21529.16</v>
      </c>
      <c r="E21" s="17">
        <v>-19062.821367909008</v>
      </c>
    </row>
    <row r="22" spans="1:5" ht="16" x14ac:dyDescent="0.5">
      <c r="A22" s="20" t="s">
        <v>8</v>
      </c>
      <c r="B22" s="87">
        <v>-182598.65805002654</v>
      </c>
      <c r="C22" s="87">
        <v>-15279.254743931311</v>
      </c>
      <c r="D22" s="87">
        <v>-15224.507250000001</v>
      </c>
      <c r="E22" s="87">
        <v>-13910.691272923967</v>
      </c>
    </row>
    <row r="23" spans="1:5" ht="16" x14ac:dyDescent="0.5">
      <c r="A23" s="20" t="s">
        <v>9</v>
      </c>
      <c r="B23" s="17">
        <v>-133606.09257559993</v>
      </c>
      <c r="C23" s="17">
        <v>-3810.5402788235474</v>
      </c>
      <c r="D23" s="17">
        <v>-7040.3792000000003</v>
      </c>
      <c r="E23" s="17">
        <v>-2188.7597813110715</v>
      </c>
    </row>
    <row r="24" spans="1:5" ht="16" x14ac:dyDescent="0.5">
      <c r="A24" s="20" t="s">
        <v>5</v>
      </c>
      <c r="B24" s="17">
        <v>-114953.65841014335</v>
      </c>
      <c r="C24" s="17">
        <v>-9892.9345277763023</v>
      </c>
      <c r="D24" s="17">
        <v>-9903.755971999999</v>
      </c>
      <c r="E24" s="17">
        <v>-7816.2534623762958</v>
      </c>
    </row>
    <row r="25" spans="1:5" ht="16" x14ac:dyDescent="0.5">
      <c r="A25" s="20" t="s">
        <v>11</v>
      </c>
      <c r="B25" s="17">
        <v>-167253.77904623808</v>
      </c>
      <c r="C25" s="17">
        <v>-14389.126770512596</v>
      </c>
      <c r="D25" s="17">
        <v>-12593.34</v>
      </c>
      <c r="E25" s="17">
        <v>-8894.5997140325253</v>
      </c>
    </row>
    <row r="26" spans="1:5" ht="16" x14ac:dyDescent="0.5">
      <c r="A26" s="20" t="s">
        <v>17</v>
      </c>
      <c r="B26" s="17">
        <v>-20218.743083479567</v>
      </c>
      <c r="C26" s="17">
        <v>-3646.8215310133937</v>
      </c>
      <c r="D26" s="17">
        <v>-3641.5093146249937</v>
      </c>
      <c r="E26" s="17">
        <v>-4928.7273774321238</v>
      </c>
    </row>
    <row r="27" spans="1:5" ht="16" x14ac:dyDescent="0.5">
      <c r="A27" s="20" t="s">
        <v>14</v>
      </c>
      <c r="B27" s="17">
        <v>-55237.860230632534</v>
      </c>
      <c r="C27" s="17">
        <v>-4214.6065613784749</v>
      </c>
      <c r="D27" s="17">
        <v>-4288.6680238910476</v>
      </c>
      <c r="E27" s="17">
        <v>-3956.2054918349781</v>
      </c>
    </row>
    <row r="28" spans="1:5" ht="16" x14ac:dyDescent="0.5">
      <c r="A28" s="20" t="s">
        <v>15</v>
      </c>
      <c r="B28" s="17">
        <v>-67620.420753094746</v>
      </c>
      <c r="C28" s="17">
        <v>-5872.6509917974527</v>
      </c>
      <c r="D28" s="17">
        <v>-5879.0763077479787</v>
      </c>
      <c r="E28" s="17">
        <v>-5335.5235875098224</v>
      </c>
    </row>
    <row r="29" spans="1:5" ht="16" x14ac:dyDescent="0.5">
      <c r="A29" s="20" t="s">
        <v>16</v>
      </c>
      <c r="B29" s="17">
        <v>-4835.4078625991842</v>
      </c>
      <c r="C29" s="17">
        <v>-1053.4188406008398</v>
      </c>
      <c r="D29" s="17">
        <v>-1054.5713948542002</v>
      </c>
      <c r="E29" s="17">
        <v>-860.9308291831037</v>
      </c>
    </row>
    <row r="30" spans="1:5" ht="16" x14ac:dyDescent="0.5">
      <c r="A30" s="22" t="s">
        <v>84</v>
      </c>
      <c r="B30" s="17">
        <v>-666953.82327444712</v>
      </c>
      <c r="C30" s="17">
        <v>-14500.761596978024</v>
      </c>
      <c r="D30" s="17">
        <v>-21220.70566125281</v>
      </c>
      <c r="E30" s="17">
        <v>-35196.052472169373</v>
      </c>
    </row>
    <row r="31" spans="1:5" ht="16" x14ac:dyDescent="0.5">
      <c r="A31" s="22" t="s">
        <v>74</v>
      </c>
      <c r="B31" s="17">
        <v>-5636.5730024961176</v>
      </c>
      <c r="C31" s="17">
        <v>-2415.5301414528867</v>
      </c>
      <c r="D31" s="17">
        <v>-0.21186768354680063</v>
      </c>
      <c r="E31" s="17">
        <v>-1.9227935883486402</v>
      </c>
    </row>
    <row r="32" spans="1:5" ht="16" x14ac:dyDescent="0.5">
      <c r="A32" s="22" t="s">
        <v>85</v>
      </c>
      <c r="B32" s="17">
        <v>-7553.4804218106829</v>
      </c>
      <c r="C32" s="17">
        <v>-265.00122513804678</v>
      </c>
      <c r="D32" s="17">
        <v>-246.36922986308883</v>
      </c>
      <c r="E32" s="17">
        <v>-497.46722533367131</v>
      </c>
    </row>
    <row r="33" spans="1:5" ht="16" x14ac:dyDescent="0.5">
      <c r="A33" s="22" t="s">
        <v>86</v>
      </c>
      <c r="B33" s="17">
        <v>-83342.461059742418</v>
      </c>
      <c r="C33" s="17">
        <v>-6364.974831761032</v>
      </c>
      <c r="D33" s="17">
        <v>-7181.2956086481845</v>
      </c>
      <c r="E33" s="17">
        <v>-4491.3266386467567</v>
      </c>
    </row>
    <row r="34" spans="1:5" ht="16" x14ac:dyDescent="0.5">
      <c r="A34" s="22" t="s">
        <v>87</v>
      </c>
      <c r="B34" s="17">
        <v>-269204.5319365717</v>
      </c>
      <c r="C34" s="17">
        <v>-20170.07371051281</v>
      </c>
      <c r="D34" s="17">
        <v>-11526.210680800785</v>
      </c>
      <c r="E34" s="17">
        <v>-9901.2952177960324</v>
      </c>
    </row>
    <row r="35" spans="1:5" ht="16" x14ac:dyDescent="0.5">
      <c r="A35" s="22" t="s">
        <v>88</v>
      </c>
      <c r="B35" s="17">
        <v>-9066.9589035142199</v>
      </c>
      <c r="C35" s="17">
        <v>0</v>
      </c>
      <c r="D35" s="17">
        <v>-699.1633557044421</v>
      </c>
      <c r="E35" s="17">
        <v>-1269.0437683101025</v>
      </c>
    </row>
    <row r="36" spans="1:5" ht="16" x14ac:dyDescent="0.5">
      <c r="A36" s="22" t="s">
        <v>89</v>
      </c>
      <c r="B36" s="17">
        <v>-1076.9384788365462</v>
      </c>
      <c r="C36" s="17">
        <v>0</v>
      </c>
      <c r="D36" s="17">
        <v>-127.12061012808037</v>
      </c>
      <c r="E36" s="17">
        <v>0</v>
      </c>
    </row>
    <row r="37" spans="1:5" ht="16" x14ac:dyDescent="0.5">
      <c r="A37" s="22" t="s">
        <v>95</v>
      </c>
      <c r="B37" s="17">
        <v>-5620.8515322305047</v>
      </c>
      <c r="C37" s="17">
        <v>-996.77929784775449</v>
      </c>
      <c r="D37" s="17">
        <v>-245.81312380466903</v>
      </c>
      <c r="E37" s="17">
        <v>-219.50611604588076</v>
      </c>
    </row>
    <row r="38" spans="1:5" ht="16" x14ac:dyDescent="0.5">
      <c r="A38" s="23" t="s">
        <v>18</v>
      </c>
      <c r="B38" s="3">
        <f t="shared" ref="B38" si="8">(SUM(B15:B37))</f>
        <v>-7648211.8096711505</v>
      </c>
      <c r="C38" s="3">
        <f t="shared" ref="C38:E38" si="9">(SUM(C15:C37))</f>
        <v>-646598.7854181428</v>
      </c>
      <c r="D38" s="3">
        <f t="shared" si="9"/>
        <v>-611488.24005100364</v>
      </c>
      <c r="E38" s="3">
        <f t="shared" si="9"/>
        <v>-619052.06804505968</v>
      </c>
    </row>
    <row r="39" spans="1:5" ht="16" x14ac:dyDescent="0.5">
      <c r="A39" s="62" t="s">
        <v>134</v>
      </c>
      <c r="B39" s="61">
        <f t="shared" ref="B39:E39" si="10">B12+B38</f>
        <v>-2280611.7173498217</v>
      </c>
      <c r="C39" s="61">
        <f t="shared" si="10"/>
        <v>-253535.76036825171</v>
      </c>
      <c r="D39" s="61">
        <f t="shared" si="10"/>
        <v>-164412.78270100366</v>
      </c>
      <c r="E39" s="61">
        <f t="shared" si="10"/>
        <v>-237018.95100440859</v>
      </c>
    </row>
    <row r="40" spans="1:5" ht="16" x14ac:dyDescent="0.5">
      <c r="A40" s="24" t="s">
        <v>19</v>
      </c>
      <c r="B40" s="84">
        <f t="shared" ref="B40:E40" si="11">B39/B5</f>
        <v>-0.23056577250341051</v>
      </c>
      <c r="C40" s="84">
        <f t="shared" si="11"/>
        <v>-0.33551845219578036</v>
      </c>
      <c r="D40" s="84">
        <f t="shared" si="11"/>
        <v>-0.21709888182108275</v>
      </c>
      <c r="E40" s="84">
        <f t="shared" si="11"/>
        <v>-0.369717992412601</v>
      </c>
    </row>
    <row r="41" spans="1:5" ht="16" x14ac:dyDescent="0.5">
      <c r="A41" s="18" t="s">
        <v>20</v>
      </c>
      <c r="B41" s="2"/>
      <c r="C41" s="2"/>
      <c r="D41" s="2"/>
      <c r="E41" s="2"/>
    </row>
    <row r="42" spans="1:5" ht="16" x14ac:dyDescent="0.5">
      <c r="A42" s="25" t="s">
        <v>90</v>
      </c>
      <c r="B42" s="17">
        <v>-43817.685497524217</v>
      </c>
      <c r="C42" s="17">
        <v>-6011.2718108669033</v>
      </c>
      <c r="D42" s="17">
        <v>-7405.0994494016213</v>
      </c>
      <c r="E42" s="17">
        <v>-5446.0907563380697</v>
      </c>
    </row>
    <row r="43" spans="1:5" ht="16" x14ac:dyDescent="0.5">
      <c r="A43" s="25" t="s">
        <v>91</v>
      </c>
      <c r="B43" s="17">
        <v>553474.73420821002</v>
      </c>
      <c r="C43" s="17">
        <v>141802.70543167999</v>
      </c>
      <c r="D43" s="17">
        <v>-185573.06896215401</v>
      </c>
      <c r="E43" s="17">
        <v>-1074972.53957875</v>
      </c>
    </row>
    <row r="44" spans="1:5" ht="16" x14ac:dyDescent="0.5">
      <c r="A44" s="25" t="s">
        <v>152</v>
      </c>
      <c r="B44" s="17">
        <v>-916582.05</v>
      </c>
      <c r="C44" s="17">
        <v>0</v>
      </c>
      <c r="D44" s="17">
        <v>0</v>
      </c>
      <c r="E44" s="17">
        <v>-98978.76</v>
      </c>
    </row>
    <row r="45" spans="1:5" ht="16" x14ac:dyDescent="0.5">
      <c r="A45" s="25" t="s">
        <v>23</v>
      </c>
      <c r="B45" s="17">
        <v>-17304.547738380672</v>
      </c>
      <c r="C45" s="17">
        <v>-1286.4818597266319</v>
      </c>
      <c r="D45" s="17">
        <v>-1411.3940745270002</v>
      </c>
      <c r="E45" s="17">
        <v>-1162.4023671511868</v>
      </c>
    </row>
    <row r="46" spans="1:5" ht="16" x14ac:dyDescent="0.5">
      <c r="A46" s="23" t="s">
        <v>24</v>
      </c>
      <c r="B46" s="26">
        <f t="shared" ref="B46:E46" si="12">SUM(B42:B45)</f>
        <v>-424229.54902769491</v>
      </c>
      <c r="C46" s="26">
        <f t="shared" si="12"/>
        <v>134504.95176108647</v>
      </c>
      <c r="D46" s="26">
        <f t="shared" si="12"/>
        <v>-194389.56248608264</v>
      </c>
      <c r="E46" s="26">
        <f t="shared" si="12"/>
        <v>-1180559.7927022392</v>
      </c>
    </row>
    <row r="47" spans="1:5" ht="16" x14ac:dyDescent="0.5">
      <c r="A47" s="23" t="s">
        <v>25</v>
      </c>
      <c r="B47" s="4"/>
      <c r="C47" s="4"/>
      <c r="D47" s="4"/>
      <c r="E47" s="4"/>
    </row>
    <row r="48" spans="1:5" ht="16" x14ac:dyDescent="0.5">
      <c r="A48" s="25" t="s">
        <v>26</v>
      </c>
      <c r="B48" s="4">
        <v>110140.2869720656</v>
      </c>
      <c r="C48" s="4">
        <v>6477.3017304024543</v>
      </c>
      <c r="D48" s="4">
        <v>5331.7953559237067</v>
      </c>
      <c r="E48" s="4">
        <v>4156.1752879275591</v>
      </c>
    </row>
    <row r="49" spans="1:5" ht="16" x14ac:dyDescent="0.5">
      <c r="A49" s="25" t="s">
        <v>27</v>
      </c>
      <c r="B49" s="4">
        <v>31876.976515526658</v>
      </c>
      <c r="C49" s="4">
        <v>1091.6191621936978</v>
      </c>
      <c r="D49" s="4">
        <v>196.40134264788418</v>
      </c>
      <c r="E49" s="4">
        <v>1136.6594297522986</v>
      </c>
    </row>
    <row r="50" spans="1:5" ht="16" x14ac:dyDescent="0.5">
      <c r="A50" s="25" t="s">
        <v>153</v>
      </c>
      <c r="B50" s="4">
        <v>367988.10820472229</v>
      </c>
      <c r="C50" s="4">
        <v>211.63613070835552</v>
      </c>
      <c r="D50" s="4">
        <v>211.86768354680063</v>
      </c>
      <c r="E50" s="4">
        <v>576.8380765045921</v>
      </c>
    </row>
    <row r="51" spans="1:5" ht="16" x14ac:dyDescent="0.5">
      <c r="A51" s="23" t="s">
        <v>28</v>
      </c>
      <c r="B51" s="7">
        <f t="shared" ref="B51:E51" si="13">SUM(B48:B50)</f>
        <v>510005.37169231451</v>
      </c>
      <c r="C51" s="7">
        <f t="shared" si="13"/>
        <v>7780.5570233045073</v>
      </c>
      <c r="D51" s="7">
        <f t="shared" si="13"/>
        <v>5740.0643821183912</v>
      </c>
      <c r="E51" s="7">
        <f t="shared" si="13"/>
        <v>5869.6727941844501</v>
      </c>
    </row>
    <row r="52" spans="1:5" ht="16" x14ac:dyDescent="0.5">
      <c r="A52" s="23" t="s">
        <v>29</v>
      </c>
      <c r="B52" s="7">
        <f t="shared" ref="B52:E52" si="14">B51+B46</f>
        <v>85775.822664619598</v>
      </c>
      <c r="C52" s="7">
        <f t="shared" si="14"/>
        <v>142285.50878439099</v>
      </c>
      <c r="D52" s="7">
        <f t="shared" si="14"/>
        <v>-188649.49810396426</v>
      </c>
      <c r="E52" s="7">
        <f t="shared" si="14"/>
        <v>-1174690.1199080548</v>
      </c>
    </row>
    <row r="53" spans="1:5" ht="16" x14ac:dyDescent="0.5">
      <c r="A53" s="18" t="s">
        <v>30</v>
      </c>
      <c r="B53" s="7">
        <f t="shared" ref="B53:E53" si="15">B52+B39</f>
        <v>-2194835.8946852023</v>
      </c>
      <c r="C53" s="7">
        <f t="shared" si="15"/>
        <v>-111250.25158386072</v>
      </c>
      <c r="D53" s="7">
        <f t="shared" si="15"/>
        <v>-353062.28080496792</v>
      </c>
      <c r="E53" s="7">
        <f t="shared" si="15"/>
        <v>-1411709.0709124634</v>
      </c>
    </row>
    <row r="54" spans="1:5" ht="16" x14ac:dyDescent="0.5">
      <c r="A54" s="27" t="s">
        <v>31</v>
      </c>
      <c r="B54" s="4">
        <v>0</v>
      </c>
      <c r="C54" s="4">
        <v>0</v>
      </c>
      <c r="D54" s="4">
        <v>0</v>
      </c>
      <c r="E54" s="4">
        <v>0</v>
      </c>
    </row>
    <row r="55" spans="1:5" ht="16" x14ac:dyDescent="0.5">
      <c r="A55" s="27" t="s">
        <v>32</v>
      </c>
      <c r="B55" s="7">
        <f t="shared" ref="B55:E55" si="16">B53+B54</f>
        <v>-2194835.8946852023</v>
      </c>
      <c r="C55" s="7">
        <f t="shared" si="16"/>
        <v>-111250.25158386072</v>
      </c>
      <c r="D55" s="7">
        <f t="shared" si="16"/>
        <v>-353062.28080496792</v>
      </c>
      <c r="E55" s="7">
        <f t="shared" si="16"/>
        <v>-1411709.0709124634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KPIs</vt:lpstr>
      <vt:lpstr>PL - Consolidated</vt:lpstr>
      <vt:lpstr>BS</vt:lpstr>
      <vt:lpstr>CFS</vt:lpstr>
      <vt:lpstr>PL - Egypt Standalone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Abdallah Ayman</cp:lastModifiedBy>
  <dcterms:created xsi:type="dcterms:W3CDTF">2015-06-05T18:17:20Z</dcterms:created>
  <dcterms:modified xsi:type="dcterms:W3CDTF">2026-04-23T12:01:36Z</dcterms:modified>
</cp:coreProperties>
</file>