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Frictionless\Reports\Financials\Financials 2025\Consolidated Accounts\"/>
    </mc:Choice>
  </mc:AlternateContent>
  <xr:revisionPtr revIDLastSave="0" documentId="13_ncr:1_{0CD430FE-6BD7-45CB-8C6F-1BA35664675B}" xr6:coauthVersionLast="47" xr6:coauthVersionMax="47" xr10:uidLastSave="{00000000-0000-0000-0000-000000000000}"/>
  <bookViews>
    <workbookView xWindow="-105" yWindow="0" windowWidth="14610" windowHeight="17385" tabRatio="871" firstSheet="1" activeTab="1" xr2:uid="{00000000-000D-0000-FFFF-FFFF00000000}"/>
  </bookViews>
  <sheets>
    <sheet name="TableofContent" sheetId="1" r:id="rId1"/>
    <sheet name="BS_Qrtly" sheetId="5" r:id="rId2"/>
    <sheet name="BS_12MoM" sheetId="6" r:id="rId3"/>
    <sheet name="IS_Qrtly" sheetId="9" r:id="rId4"/>
    <sheet name="IS_12MoM" sheetId="10" r:id="rId5"/>
    <sheet name="IS_12Entity_MoM" sheetId="11" r:id="rId6"/>
    <sheet name="Summary" sheetId="29" state="hidden" r:id="rId7"/>
    <sheet name="CF_12Months" sheetId="13" r:id="rId8"/>
    <sheet name="CBurn ENtity" sheetId="27" r:id="rId9"/>
    <sheet name="Cburn YTD" sheetId="26" r:id="rId10"/>
    <sheet name="Data ---&gt;" sheetId="16" state="hidden" r:id="rId11"/>
    <sheet name="BS(Qrtly(" sheetId="17" state="hidden" r:id="rId12"/>
    <sheet name="IS_QRT" sheetId="20" state="hidden" r:id="rId13"/>
    <sheet name="BS (MoM)" sheetId="28" state="hidden" r:id="rId14"/>
    <sheet name="IS_MOM" sheetId="21" state="hidden" r:id="rId15"/>
    <sheet name="IS_BU(MoM)" sheetId="23" state="hidden" r:id="rId16"/>
    <sheet name="Cburn_Entity" sheetId="25" state="hidden" r:id="rId17"/>
    <sheet name="CBurn_12Months" sheetId="24" state="hidden" r:id="rId18"/>
  </sheets>
  <externalReferences>
    <externalReference r:id="rId19"/>
    <externalReference r:id="rId20"/>
  </externalReferences>
  <definedNames>
    <definedName name="TB_PFW_2023">'[1]MasterTB(US)'!$A$4:$AA$416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3" l="1"/>
  <c r="K48" i="13"/>
  <c r="G10" i="13"/>
  <c r="H10" i="13"/>
  <c r="G11" i="13"/>
  <c r="G17" i="13" s="1"/>
  <c r="G29" i="13" s="1"/>
  <c r="H11" i="13"/>
  <c r="H17" i="13" s="1"/>
  <c r="H29" i="13" s="1"/>
  <c r="G12" i="13"/>
  <c r="H12" i="13"/>
  <c r="G13" i="13"/>
  <c r="G40" i="13" s="1"/>
  <c r="G42" i="13" s="1"/>
  <c r="H13" i="13"/>
  <c r="H40" i="13" s="1"/>
  <c r="H42" i="13" s="1"/>
  <c r="I13" i="13"/>
  <c r="I40" i="13" s="1"/>
  <c r="J13" i="13"/>
  <c r="J40" i="13" s="1"/>
  <c r="K13" i="13"/>
  <c r="K40" i="13" s="1"/>
  <c r="G14" i="13"/>
  <c r="H14" i="13"/>
  <c r="G15" i="13"/>
  <c r="H15" i="13"/>
  <c r="G19" i="13"/>
  <c r="G26" i="13" s="1"/>
  <c r="H19" i="13"/>
  <c r="H26" i="13" s="1"/>
  <c r="G20" i="13"/>
  <c r="H20" i="13"/>
  <c r="G21" i="13"/>
  <c r="H21" i="13"/>
  <c r="G22" i="13"/>
  <c r="H22" i="13"/>
  <c r="G23" i="13"/>
  <c r="H23" i="13"/>
  <c r="G24" i="13"/>
  <c r="H24" i="13"/>
  <c r="G25" i="13"/>
  <c r="H25" i="13"/>
  <c r="G27" i="13"/>
  <c r="H27" i="13"/>
  <c r="G31" i="13"/>
  <c r="H31" i="13"/>
  <c r="G32" i="13"/>
  <c r="H32" i="13"/>
  <c r="G34" i="13"/>
  <c r="H34" i="13"/>
  <c r="G36" i="13"/>
  <c r="H36" i="13"/>
  <c r="G37" i="13"/>
  <c r="H37" i="13"/>
  <c r="G38" i="13"/>
  <c r="H38" i="13"/>
  <c r="G39" i="13"/>
  <c r="H39" i="13"/>
  <c r="G45" i="13"/>
  <c r="H45" i="13"/>
  <c r="I45" i="13"/>
  <c r="C3" i="29"/>
  <c r="C2" i="29" s="1"/>
  <c r="B2" i="29"/>
  <c r="F3" i="29"/>
  <c r="F2" i="29" s="1"/>
  <c r="E3" i="29"/>
  <c r="E2" i="29" s="1"/>
  <c r="D3" i="29"/>
  <c r="D2" i="29" s="1"/>
  <c r="AA48" i="28"/>
  <c r="D16" i="11"/>
  <c r="E16" i="11"/>
  <c r="F16" i="11"/>
  <c r="G16" i="11"/>
  <c r="D29" i="11"/>
  <c r="E29" i="11"/>
  <c r="F29" i="11"/>
  <c r="G29" i="11"/>
  <c r="C29" i="11"/>
  <c r="E17" i="11"/>
  <c r="I29" i="10"/>
  <c r="I17" i="10"/>
  <c r="G17" i="10"/>
  <c r="H17" i="10"/>
  <c r="F29" i="10"/>
  <c r="G29" i="10"/>
  <c r="H29" i="10"/>
  <c r="E29" i="10"/>
  <c r="H44" i="13" l="1"/>
  <c r="H46" i="13" s="1"/>
  <c r="G44" i="13"/>
  <c r="G46" i="13" s="1"/>
  <c r="V48" i="28"/>
  <c r="W48" i="28"/>
  <c r="X48" i="28"/>
  <c r="Y48" i="28"/>
  <c r="Z48" i="28"/>
  <c r="U48" i="28"/>
  <c r="U50" i="28" s="1"/>
  <c r="U38" i="21"/>
  <c r="C29" i="10" l="1"/>
  <c r="D29" i="10"/>
  <c r="I10" i="10" l="1"/>
  <c r="J10" i="10"/>
  <c r="K10" i="10"/>
  <c r="L10" i="10"/>
  <c r="M10" i="10"/>
  <c r="N10" i="10"/>
  <c r="I11" i="10"/>
  <c r="J11" i="10"/>
  <c r="K11" i="10"/>
  <c r="L11" i="10"/>
  <c r="M11" i="10"/>
  <c r="N11" i="10"/>
  <c r="I12" i="10"/>
  <c r="J12" i="10"/>
  <c r="K12" i="10"/>
  <c r="L12" i="10"/>
  <c r="M12" i="10"/>
  <c r="N12" i="10"/>
  <c r="I15" i="10"/>
  <c r="J15" i="10"/>
  <c r="K15" i="10"/>
  <c r="L15" i="10"/>
  <c r="M15" i="10"/>
  <c r="N15" i="10"/>
  <c r="I16" i="10"/>
  <c r="J16" i="10"/>
  <c r="K16" i="10"/>
  <c r="L16" i="10"/>
  <c r="M16" i="10"/>
  <c r="N16" i="10"/>
  <c r="J17" i="10"/>
  <c r="K17" i="10"/>
  <c r="L17" i="10"/>
  <c r="M17" i="10"/>
  <c r="N17" i="10"/>
  <c r="I22" i="10"/>
  <c r="J22" i="10"/>
  <c r="K22" i="10"/>
  <c r="L22" i="10"/>
  <c r="M22" i="10"/>
  <c r="N22" i="10"/>
  <c r="I23" i="10"/>
  <c r="J23" i="10"/>
  <c r="K23" i="10"/>
  <c r="L23" i="10"/>
  <c r="M23" i="10"/>
  <c r="N23" i="10"/>
  <c r="I28" i="10"/>
  <c r="J28" i="10"/>
  <c r="K28" i="10"/>
  <c r="L28" i="10"/>
  <c r="M28" i="10"/>
  <c r="N28" i="10"/>
  <c r="J29" i="10"/>
  <c r="K29" i="10"/>
  <c r="L29" i="10"/>
  <c r="M29" i="10"/>
  <c r="N29" i="10"/>
  <c r="I36" i="10"/>
  <c r="J36" i="10"/>
  <c r="K36" i="10"/>
  <c r="L36" i="10"/>
  <c r="M36" i="10"/>
  <c r="N36" i="10"/>
  <c r="I37" i="10"/>
  <c r="J37" i="10"/>
  <c r="K37" i="10"/>
  <c r="L37" i="10"/>
  <c r="M37" i="10"/>
  <c r="N37" i="10"/>
  <c r="I38" i="10"/>
  <c r="J38" i="10"/>
  <c r="K38" i="10"/>
  <c r="L38" i="10"/>
  <c r="M38" i="10"/>
  <c r="N38" i="10"/>
  <c r="I39" i="10"/>
  <c r="J39" i="10"/>
  <c r="K39" i="10"/>
  <c r="L39" i="10"/>
  <c r="M39" i="10"/>
  <c r="N39" i="10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2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D36" i="11"/>
  <c r="E36" i="11"/>
  <c r="F36" i="11"/>
  <c r="G36" i="11"/>
  <c r="H36" i="11"/>
  <c r="D37" i="11"/>
  <c r="E37" i="11"/>
  <c r="F37" i="11"/>
  <c r="G37" i="11"/>
  <c r="H37" i="11"/>
  <c r="D38" i="11"/>
  <c r="E38" i="11"/>
  <c r="F38" i="11"/>
  <c r="G38" i="11"/>
  <c r="H38" i="11"/>
  <c r="D39" i="11"/>
  <c r="E39" i="11"/>
  <c r="F39" i="11"/>
  <c r="G39" i="11"/>
  <c r="H39" i="11"/>
  <c r="E22" i="11"/>
  <c r="F22" i="11"/>
  <c r="G22" i="11"/>
  <c r="H22" i="11"/>
  <c r="E23" i="11"/>
  <c r="F23" i="11"/>
  <c r="G23" i="11"/>
  <c r="H23" i="11"/>
  <c r="C39" i="11"/>
  <c r="C38" i="11"/>
  <c r="C37" i="11"/>
  <c r="C36" i="11"/>
  <c r="D28" i="11"/>
  <c r="E28" i="11"/>
  <c r="F28" i="11"/>
  <c r="G28" i="11"/>
  <c r="C28" i="11"/>
  <c r="D22" i="11"/>
  <c r="D23" i="11"/>
  <c r="C23" i="11"/>
  <c r="C22" i="11"/>
  <c r="U9" i="20"/>
  <c r="D36" i="10"/>
  <c r="E36" i="10"/>
  <c r="F36" i="10"/>
  <c r="G36" i="10"/>
  <c r="H36" i="10"/>
  <c r="D37" i="10"/>
  <c r="E37" i="10"/>
  <c r="F37" i="10"/>
  <c r="G37" i="10"/>
  <c r="H37" i="10"/>
  <c r="D38" i="10"/>
  <c r="E38" i="10"/>
  <c r="F38" i="10"/>
  <c r="G38" i="10"/>
  <c r="H38" i="10"/>
  <c r="D39" i="10"/>
  <c r="E39" i="10"/>
  <c r="F39" i="10"/>
  <c r="G39" i="10"/>
  <c r="H39" i="10"/>
  <c r="D28" i="10"/>
  <c r="E28" i="10"/>
  <c r="F28" i="10"/>
  <c r="G28" i="10"/>
  <c r="H28" i="10"/>
  <c r="D22" i="10"/>
  <c r="E22" i="10"/>
  <c r="F22" i="10"/>
  <c r="G22" i="10"/>
  <c r="H22" i="10"/>
  <c r="D23" i="10"/>
  <c r="E23" i="10"/>
  <c r="F23" i="10"/>
  <c r="G23" i="10"/>
  <c r="H23" i="10"/>
  <c r="C39" i="10"/>
  <c r="C38" i="10"/>
  <c r="C37" i="10"/>
  <c r="C36" i="10"/>
  <c r="C28" i="10"/>
  <c r="C23" i="10"/>
  <c r="C22" i="10"/>
  <c r="D28" i="9"/>
  <c r="C28" i="9"/>
  <c r="D35" i="9"/>
  <c r="D36" i="9"/>
  <c r="D37" i="9"/>
  <c r="D38" i="9"/>
  <c r="D27" i="9"/>
  <c r="D21" i="9"/>
  <c r="D22" i="9"/>
  <c r="C38" i="9"/>
  <c r="C37" i="9"/>
  <c r="C36" i="9"/>
  <c r="C35" i="9"/>
  <c r="C27" i="9"/>
  <c r="C22" i="9"/>
  <c r="C21" i="9"/>
  <c r="E29" i="9"/>
  <c r="F29" i="9"/>
  <c r="M13" i="10" l="1"/>
  <c r="N13" i="10"/>
  <c r="L13" i="10"/>
  <c r="J13" i="10"/>
  <c r="K13" i="10"/>
  <c r="I13" i="10"/>
  <c r="M18" i="10"/>
  <c r="L18" i="10"/>
  <c r="G29" i="9"/>
  <c r="N18" i="10"/>
  <c r="J18" i="10"/>
  <c r="I18" i="10"/>
  <c r="H28" i="11"/>
  <c r="K18" i="10"/>
  <c r="N24" i="10"/>
  <c r="M24" i="10"/>
  <c r="L24" i="10"/>
  <c r="K24" i="10"/>
  <c r="H29" i="11"/>
  <c r="J24" i="10"/>
  <c r="I24" i="10"/>
  <c r="T57" i="28"/>
  <c r="U57" i="28"/>
  <c r="V57" i="28"/>
  <c r="X57" i="28"/>
  <c r="Y57" i="28"/>
  <c r="Z57" i="28"/>
  <c r="W57" i="28"/>
  <c r="W55" i="28"/>
  <c r="O30" i="10"/>
  <c r="T11" i="20"/>
  <c r="AK11" i="20" s="1"/>
  <c r="T9" i="20"/>
  <c r="N20" i="10" l="1"/>
  <c r="N26" i="10" s="1"/>
  <c r="N31" i="10" s="1"/>
  <c r="N34" i="10" s="1"/>
  <c r="N41" i="10" s="1"/>
  <c r="M20" i="10"/>
  <c r="M26" i="10" s="1"/>
  <c r="M31" i="10" s="1"/>
  <c r="M34" i="10" s="1"/>
  <c r="M41" i="10" s="1"/>
  <c r="L20" i="10"/>
  <c r="L26" i="10" s="1"/>
  <c r="L31" i="10" s="1"/>
  <c r="L34" i="10" s="1"/>
  <c r="L41" i="10" s="1"/>
  <c r="J20" i="10"/>
  <c r="J26" i="10" s="1"/>
  <c r="J31" i="10" s="1"/>
  <c r="J34" i="10" s="1"/>
  <c r="J41" i="10" s="1"/>
  <c r="K20" i="10"/>
  <c r="K26" i="10" s="1"/>
  <c r="K31" i="10" s="1"/>
  <c r="K34" i="10" s="1"/>
  <c r="K41" i="10" s="1"/>
  <c r="I20" i="10"/>
  <c r="I26" i="10" s="1"/>
  <c r="C10" i="26"/>
  <c r="D10" i="26"/>
  <c r="E10" i="26"/>
  <c r="F10" i="26"/>
  <c r="G10" i="26"/>
  <c r="H10" i="26"/>
  <c r="I10" i="26"/>
  <c r="J10" i="26"/>
  <c r="K10" i="26"/>
  <c r="L10" i="26"/>
  <c r="M10" i="26"/>
  <c r="N10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10" i="26"/>
  <c r="F10" i="27"/>
  <c r="G10" i="27"/>
  <c r="H10" i="27"/>
  <c r="F11" i="27"/>
  <c r="G11" i="27"/>
  <c r="H11" i="27"/>
  <c r="F12" i="27"/>
  <c r="G12" i="27"/>
  <c r="H12" i="27"/>
  <c r="F13" i="27"/>
  <c r="G13" i="27"/>
  <c r="H13" i="27"/>
  <c r="F14" i="27"/>
  <c r="G14" i="27"/>
  <c r="H14" i="27"/>
  <c r="F15" i="27"/>
  <c r="G15" i="27"/>
  <c r="H15" i="27"/>
  <c r="F16" i="27"/>
  <c r="G16" i="27"/>
  <c r="H16" i="27"/>
  <c r="F17" i="27"/>
  <c r="G17" i="27"/>
  <c r="H17" i="27"/>
  <c r="F18" i="27"/>
  <c r="G18" i="27"/>
  <c r="H18" i="27"/>
  <c r="F19" i="27"/>
  <c r="G19" i="27"/>
  <c r="H19" i="27"/>
  <c r="F20" i="27"/>
  <c r="G20" i="27"/>
  <c r="H20" i="27"/>
  <c r="F21" i="27"/>
  <c r="G21" i="27"/>
  <c r="H21" i="27"/>
  <c r="F22" i="27"/>
  <c r="G22" i="27"/>
  <c r="H22" i="27"/>
  <c r="F23" i="27"/>
  <c r="G23" i="27"/>
  <c r="H23" i="27"/>
  <c r="F24" i="27"/>
  <c r="G24" i="27"/>
  <c r="H24" i="27"/>
  <c r="C10" i="27"/>
  <c r="D10" i="27"/>
  <c r="E10" i="27"/>
  <c r="C11" i="27"/>
  <c r="D11" i="27"/>
  <c r="E11" i="27"/>
  <c r="C12" i="27"/>
  <c r="D12" i="27"/>
  <c r="E12" i="27"/>
  <c r="C13" i="27"/>
  <c r="D13" i="27"/>
  <c r="E13" i="27"/>
  <c r="C14" i="27"/>
  <c r="D14" i="27"/>
  <c r="E14" i="27"/>
  <c r="C15" i="27"/>
  <c r="D15" i="27"/>
  <c r="E15" i="27"/>
  <c r="C16" i="27"/>
  <c r="D16" i="27"/>
  <c r="E16" i="27"/>
  <c r="C17" i="27"/>
  <c r="D17" i="27"/>
  <c r="E17" i="27"/>
  <c r="C18" i="27"/>
  <c r="D18" i="27"/>
  <c r="E18" i="27"/>
  <c r="C19" i="27"/>
  <c r="D19" i="27"/>
  <c r="E19" i="27"/>
  <c r="C20" i="27"/>
  <c r="D20" i="27"/>
  <c r="E20" i="27"/>
  <c r="C21" i="27"/>
  <c r="D21" i="27"/>
  <c r="E21" i="27"/>
  <c r="C22" i="27"/>
  <c r="D22" i="27"/>
  <c r="E22" i="27"/>
  <c r="C23" i="27"/>
  <c r="D23" i="27"/>
  <c r="E23" i="27"/>
  <c r="C24" i="27"/>
  <c r="D24" i="27"/>
  <c r="E24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10" i="27"/>
  <c r="D45" i="27"/>
  <c r="C45" i="27"/>
  <c r="B26" i="27"/>
  <c r="A5" i="27"/>
  <c r="A4" i="27"/>
  <c r="A2" i="27"/>
  <c r="A1" i="27"/>
  <c r="A5" i="26"/>
  <c r="A4" i="26"/>
  <c r="A2" i="26"/>
  <c r="A1" i="26"/>
  <c r="D45" i="26"/>
  <c r="C45" i="26"/>
  <c r="B26" i="26"/>
  <c r="D8" i="26"/>
  <c r="E8" i="26" s="1"/>
  <c r="F8" i="26" s="1"/>
  <c r="G8" i="26" s="1"/>
  <c r="H8" i="26" s="1"/>
  <c r="I8" i="26" s="1"/>
  <c r="J8" i="26" s="1"/>
  <c r="K8" i="26" s="1"/>
  <c r="L8" i="26" s="1"/>
  <c r="M8" i="26" s="1"/>
  <c r="N8" i="26" s="1"/>
  <c r="O1" i="26"/>
  <c r="I31" i="10" l="1"/>
  <c r="J26" i="26"/>
  <c r="M26" i="26"/>
  <c r="L26" i="26"/>
  <c r="D26" i="26"/>
  <c r="H26" i="26"/>
  <c r="E26" i="26"/>
  <c r="O18" i="26"/>
  <c r="F26" i="26"/>
  <c r="G26" i="26"/>
  <c r="K26" i="26"/>
  <c r="C26" i="26"/>
  <c r="O24" i="26"/>
  <c r="O22" i="26"/>
  <c r="O20" i="26"/>
  <c r="D26" i="27"/>
  <c r="O19" i="26"/>
  <c r="N26" i="26"/>
  <c r="O21" i="26"/>
  <c r="O17" i="26"/>
  <c r="O16" i="26"/>
  <c r="O15" i="26"/>
  <c r="O14" i="26"/>
  <c r="O13" i="26"/>
  <c r="O12" i="26"/>
  <c r="I26" i="26"/>
  <c r="O23" i="26"/>
  <c r="H26" i="27"/>
  <c r="G26" i="27"/>
  <c r="F26" i="27"/>
  <c r="E26" i="27"/>
  <c r="C26" i="27"/>
  <c r="O10" i="26"/>
  <c r="O11" i="26"/>
  <c r="I34" i="10" l="1"/>
  <c r="O26" i="26"/>
  <c r="I41" i="10" l="1"/>
  <c r="H35" i="21"/>
  <c r="O47" i="6"/>
  <c r="O11" i="6"/>
  <c r="O12" i="6"/>
  <c r="O13" i="6"/>
  <c r="O14" i="6"/>
  <c r="O18" i="6"/>
  <c r="O19" i="6"/>
  <c r="O20" i="6"/>
  <c r="O21" i="6"/>
  <c r="O22" i="6"/>
  <c r="O23" i="6"/>
  <c r="O30" i="6"/>
  <c r="O31" i="6"/>
  <c r="O32" i="6"/>
  <c r="O33" i="6"/>
  <c r="O34" i="6"/>
  <c r="O38" i="6"/>
  <c r="O39" i="6"/>
  <c r="O43" i="6"/>
  <c r="O44" i="6"/>
  <c r="O45" i="6"/>
  <c r="O46" i="6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L46" i="6"/>
  <c r="O40" i="6" l="1"/>
  <c r="O15" i="6"/>
  <c r="O35" i="6"/>
  <c r="O24" i="6"/>
  <c r="O48" i="6"/>
  <c r="M46" i="6"/>
  <c r="E11" i="6"/>
  <c r="E45" i="13" s="1"/>
  <c r="F11" i="6"/>
  <c r="F45" i="13" s="1"/>
  <c r="G11" i="6"/>
  <c r="H11" i="6"/>
  <c r="I11" i="6"/>
  <c r="J11" i="6"/>
  <c r="J45" i="13" s="1"/>
  <c r="K11" i="6"/>
  <c r="K45" i="13" s="1"/>
  <c r="L11" i="6"/>
  <c r="M11" i="6"/>
  <c r="N11" i="6"/>
  <c r="E12" i="6"/>
  <c r="F12" i="6"/>
  <c r="G12" i="6"/>
  <c r="H12" i="6"/>
  <c r="I12" i="6"/>
  <c r="J12" i="6"/>
  <c r="K12" i="6"/>
  <c r="L12" i="6"/>
  <c r="M12" i="6"/>
  <c r="N12" i="6"/>
  <c r="N19" i="13" s="1"/>
  <c r="E13" i="6"/>
  <c r="F13" i="6"/>
  <c r="G13" i="6"/>
  <c r="H13" i="6"/>
  <c r="I13" i="6"/>
  <c r="J13" i="6"/>
  <c r="K13" i="6"/>
  <c r="L13" i="6"/>
  <c r="M13" i="6"/>
  <c r="N13" i="6"/>
  <c r="N20" i="13" s="1"/>
  <c r="E14" i="6"/>
  <c r="F14" i="6"/>
  <c r="G14" i="6"/>
  <c r="H14" i="6"/>
  <c r="I14" i="6"/>
  <c r="J14" i="6"/>
  <c r="K14" i="6"/>
  <c r="L14" i="6"/>
  <c r="M14" i="6"/>
  <c r="N14" i="6"/>
  <c r="N21" i="13" s="1"/>
  <c r="E18" i="6"/>
  <c r="F18" i="6"/>
  <c r="G18" i="6"/>
  <c r="H18" i="6"/>
  <c r="I18" i="6"/>
  <c r="J18" i="6"/>
  <c r="K18" i="6"/>
  <c r="L18" i="6"/>
  <c r="M18" i="6"/>
  <c r="N18" i="6"/>
  <c r="N31" i="13" s="1"/>
  <c r="E19" i="6"/>
  <c r="F19" i="6"/>
  <c r="G19" i="6"/>
  <c r="H19" i="6"/>
  <c r="I19" i="6"/>
  <c r="J19" i="6"/>
  <c r="K19" i="6"/>
  <c r="L19" i="6"/>
  <c r="M19" i="6"/>
  <c r="N19" i="6"/>
  <c r="N11" i="13" s="1"/>
  <c r="E20" i="6"/>
  <c r="F20" i="6"/>
  <c r="G20" i="6"/>
  <c r="H20" i="6"/>
  <c r="I20" i="6"/>
  <c r="J20" i="6"/>
  <c r="K20" i="6"/>
  <c r="L20" i="6"/>
  <c r="M20" i="6"/>
  <c r="N20" i="6"/>
  <c r="N32" i="13" s="1"/>
  <c r="E21" i="6"/>
  <c r="F21" i="6"/>
  <c r="G21" i="6"/>
  <c r="H21" i="6"/>
  <c r="I21" i="6"/>
  <c r="J21" i="6"/>
  <c r="K21" i="6"/>
  <c r="L21" i="6"/>
  <c r="M21" i="6"/>
  <c r="N21" i="6"/>
  <c r="N12" i="13" s="1"/>
  <c r="E22" i="6"/>
  <c r="F22" i="6"/>
  <c r="G22" i="6"/>
  <c r="H22" i="6"/>
  <c r="I22" i="6"/>
  <c r="J22" i="6"/>
  <c r="K22" i="6"/>
  <c r="L22" i="6"/>
  <c r="M22" i="6"/>
  <c r="N22" i="6"/>
  <c r="E23" i="6"/>
  <c r="F23" i="6"/>
  <c r="G23" i="6"/>
  <c r="H23" i="6"/>
  <c r="I23" i="6"/>
  <c r="J23" i="6"/>
  <c r="K23" i="6"/>
  <c r="L23" i="6"/>
  <c r="M23" i="6"/>
  <c r="N23" i="6"/>
  <c r="E30" i="6"/>
  <c r="F30" i="6"/>
  <c r="G30" i="6"/>
  <c r="H30" i="6"/>
  <c r="I30" i="6"/>
  <c r="J30" i="6"/>
  <c r="I22" i="13" s="1"/>
  <c r="K30" i="6"/>
  <c r="J22" i="13" s="1"/>
  <c r="L30" i="6"/>
  <c r="M30" i="6"/>
  <c r="N30" i="6"/>
  <c r="N22" i="13" s="1"/>
  <c r="E31" i="6"/>
  <c r="F31" i="6"/>
  <c r="G31" i="6"/>
  <c r="H31" i="6"/>
  <c r="I31" i="6"/>
  <c r="J31" i="6"/>
  <c r="I23" i="13" s="1"/>
  <c r="K31" i="6"/>
  <c r="J23" i="13" s="1"/>
  <c r="L31" i="6"/>
  <c r="M31" i="6"/>
  <c r="N31" i="6"/>
  <c r="N23" i="13" s="1"/>
  <c r="E32" i="6"/>
  <c r="F32" i="6"/>
  <c r="G32" i="6"/>
  <c r="H32" i="6"/>
  <c r="I32" i="6"/>
  <c r="J32" i="6"/>
  <c r="I38" i="13" s="1"/>
  <c r="K32" i="6"/>
  <c r="J38" i="13" s="1"/>
  <c r="L32" i="6"/>
  <c r="M32" i="6"/>
  <c r="N32" i="6"/>
  <c r="N38" i="13" s="1"/>
  <c r="E33" i="6"/>
  <c r="F33" i="6"/>
  <c r="G33" i="6"/>
  <c r="H33" i="6"/>
  <c r="I33" i="6"/>
  <c r="J33" i="6"/>
  <c r="I24" i="13" s="1"/>
  <c r="K33" i="6"/>
  <c r="L33" i="6"/>
  <c r="M33" i="6"/>
  <c r="N33" i="6"/>
  <c r="N24" i="13" s="1"/>
  <c r="E34" i="6"/>
  <c r="F34" i="6"/>
  <c r="G34" i="6"/>
  <c r="H34" i="6"/>
  <c r="I34" i="6"/>
  <c r="J34" i="6"/>
  <c r="I25" i="13" s="1"/>
  <c r="K34" i="6"/>
  <c r="J25" i="13" s="1"/>
  <c r="L34" i="6"/>
  <c r="M34" i="6"/>
  <c r="N34" i="6"/>
  <c r="N25" i="13" s="1"/>
  <c r="E38" i="6"/>
  <c r="F38" i="6"/>
  <c r="G38" i="6"/>
  <c r="H38" i="6"/>
  <c r="I38" i="6"/>
  <c r="J38" i="6"/>
  <c r="K38" i="6"/>
  <c r="L38" i="6"/>
  <c r="M38" i="6"/>
  <c r="N38" i="6"/>
  <c r="E39" i="6"/>
  <c r="F39" i="6"/>
  <c r="G39" i="6"/>
  <c r="H39" i="6"/>
  <c r="I39" i="6"/>
  <c r="J39" i="6"/>
  <c r="K39" i="6"/>
  <c r="L39" i="6"/>
  <c r="M39" i="6"/>
  <c r="N39" i="6"/>
  <c r="E43" i="6"/>
  <c r="F43" i="6"/>
  <c r="G43" i="6"/>
  <c r="H43" i="6"/>
  <c r="I43" i="6"/>
  <c r="J43" i="6"/>
  <c r="I36" i="13" s="1"/>
  <c r="K43" i="6"/>
  <c r="J36" i="13" s="1"/>
  <c r="L43" i="6"/>
  <c r="M43" i="6"/>
  <c r="N43" i="6"/>
  <c r="N36" i="13" s="1"/>
  <c r="E44" i="6"/>
  <c r="F44" i="6"/>
  <c r="G44" i="6"/>
  <c r="H44" i="6"/>
  <c r="I44" i="6"/>
  <c r="J44" i="6"/>
  <c r="I39" i="13" s="1"/>
  <c r="K44" i="6"/>
  <c r="J39" i="13" s="1"/>
  <c r="L44" i="6"/>
  <c r="M44" i="6"/>
  <c r="N44" i="6"/>
  <c r="N39" i="13" s="1"/>
  <c r="E45" i="6"/>
  <c r="F45" i="6"/>
  <c r="G45" i="6"/>
  <c r="H45" i="6"/>
  <c r="I45" i="6"/>
  <c r="J45" i="6"/>
  <c r="I14" i="13" s="1"/>
  <c r="K45" i="6"/>
  <c r="L45" i="6"/>
  <c r="M45" i="6"/>
  <c r="N45" i="6"/>
  <c r="N14" i="13" s="1"/>
  <c r="E46" i="6"/>
  <c r="F46" i="6"/>
  <c r="G46" i="6"/>
  <c r="H46" i="6"/>
  <c r="I46" i="6"/>
  <c r="J46" i="6"/>
  <c r="I10" i="13" s="1"/>
  <c r="K46" i="6"/>
  <c r="J10" i="13" s="1"/>
  <c r="N46" i="6"/>
  <c r="E47" i="6"/>
  <c r="F47" i="6"/>
  <c r="G47" i="6"/>
  <c r="H47" i="6"/>
  <c r="I47" i="6"/>
  <c r="J47" i="6"/>
  <c r="I15" i="13" s="1"/>
  <c r="K47" i="6"/>
  <c r="J15" i="13" s="1"/>
  <c r="L47" i="6"/>
  <c r="M47" i="6"/>
  <c r="N47" i="6"/>
  <c r="N15" i="13" s="1"/>
  <c r="K25" i="13" l="1"/>
  <c r="I12" i="13"/>
  <c r="J12" i="13"/>
  <c r="K27" i="13"/>
  <c r="K20" i="13"/>
  <c r="K21" i="13"/>
  <c r="K31" i="13"/>
  <c r="K34" i="13" s="1"/>
  <c r="K36" i="13"/>
  <c r="J42" i="13"/>
  <c r="I11" i="13"/>
  <c r="J11" i="13"/>
  <c r="K32" i="13"/>
  <c r="K24" i="13"/>
  <c r="I19" i="13"/>
  <c r="J19" i="13"/>
  <c r="I27" i="13"/>
  <c r="J27" i="13"/>
  <c r="I20" i="13"/>
  <c r="J20" i="13"/>
  <c r="K15" i="13"/>
  <c r="K22" i="13"/>
  <c r="I21" i="13"/>
  <c r="J21" i="13"/>
  <c r="K23" i="13"/>
  <c r="I31" i="13"/>
  <c r="I34" i="13" s="1"/>
  <c r="J31" i="13"/>
  <c r="J34" i="13" s="1"/>
  <c r="K11" i="13"/>
  <c r="K17" i="13" s="1"/>
  <c r="K29" i="13" s="1"/>
  <c r="K39" i="13"/>
  <c r="K38" i="13"/>
  <c r="K14" i="13"/>
  <c r="I32" i="13"/>
  <c r="J32" i="13"/>
  <c r="J14" i="13"/>
  <c r="J24" i="13"/>
  <c r="K12" i="13"/>
  <c r="K19" i="13"/>
  <c r="K26" i="13" s="1"/>
  <c r="K10" i="13"/>
  <c r="H56" i="6"/>
  <c r="I56" i="6"/>
  <c r="F56" i="6"/>
  <c r="G56" i="6"/>
  <c r="F20" i="13"/>
  <c r="F32" i="13"/>
  <c r="F11" i="13"/>
  <c r="F19" i="13"/>
  <c r="F15" i="13"/>
  <c r="F38" i="13"/>
  <c r="F10" i="13"/>
  <c r="F14" i="13"/>
  <c r="F23" i="13"/>
  <c r="F36" i="13"/>
  <c r="F24" i="13"/>
  <c r="F27" i="13"/>
  <c r="F31" i="13"/>
  <c r="F21" i="13"/>
  <c r="F12" i="13"/>
  <c r="F39" i="13"/>
  <c r="F25" i="13"/>
  <c r="F22" i="13"/>
  <c r="E15" i="13"/>
  <c r="E39" i="13"/>
  <c r="J40" i="6"/>
  <c r="I37" i="13" s="1"/>
  <c r="I42" i="13" s="1"/>
  <c r="E25" i="13"/>
  <c r="E19" i="13"/>
  <c r="E10" i="13"/>
  <c r="E38" i="13"/>
  <c r="E12" i="13"/>
  <c r="E21" i="13"/>
  <c r="E22" i="13"/>
  <c r="E36" i="13"/>
  <c r="E24" i="13"/>
  <c r="O26" i="6"/>
  <c r="E11" i="13"/>
  <c r="O50" i="6"/>
  <c r="E32" i="13"/>
  <c r="E20" i="13"/>
  <c r="E27" i="13"/>
  <c r="E31" i="13"/>
  <c r="E14" i="13"/>
  <c r="E23" i="13"/>
  <c r="N26" i="13"/>
  <c r="N34" i="13"/>
  <c r="N27" i="13"/>
  <c r="H40" i="6"/>
  <c r="H41" i="6" s="1"/>
  <c r="E48" i="6"/>
  <c r="K40" i="6"/>
  <c r="J37" i="13" s="1"/>
  <c r="I48" i="6"/>
  <c r="K48" i="6"/>
  <c r="G40" i="6"/>
  <c r="G41" i="6" s="1"/>
  <c r="F48" i="6"/>
  <c r="N48" i="6"/>
  <c r="M48" i="6"/>
  <c r="E15" i="6"/>
  <c r="E16" i="6" s="1"/>
  <c r="N24" i="6"/>
  <c r="J15" i="6"/>
  <c r="J16" i="6" s="1"/>
  <c r="L15" i="6"/>
  <c r="H48" i="6"/>
  <c r="L48" i="6"/>
  <c r="M40" i="6"/>
  <c r="E40" i="6"/>
  <c r="E41" i="6" s="1"/>
  <c r="M24" i="6"/>
  <c r="M15" i="6"/>
  <c r="I40" i="6"/>
  <c r="I41" i="6" s="1"/>
  <c r="L24" i="6"/>
  <c r="F24" i="6"/>
  <c r="F25" i="6" s="1"/>
  <c r="E24" i="6"/>
  <c r="E25" i="6" s="1"/>
  <c r="G48" i="6"/>
  <c r="M35" i="6"/>
  <c r="E35" i="6"/>
  <c r="E36" i="6" s="1"/>
  <c r="G35" i="6"/>
  <c r="G36" i="6" s="1"/>
  <c r="I35" i="6"/>
  <c r="I36" i="6" s="1"/>
  <c r="G24" i="6"/>
  <c r="G25" i="6" s="1"/>
  <c r="H35" i="6"/>
  <c r="H36" i="6" s="1"/>
  <c r="F35" i="6"/>
  <c r="F36" i="6" s="1"/>
  <c r="K15" i="6"/>
  <c r="N15" i="6"/>
  <c r="F15" i="6"/>
  <c r="F16" i="6" s="1"/>
  <c r="N35" i="6"/>
  <c r="J48" i="6"/>
  <c r="H24" i="6"/>
  <c r="H25" i="6" s="1"/>
  <c r="I24" i="6"/>
  <c r="I25" i="6" s="1"/>
  <c r="K35" i="6"/>
  <c r="L40" i="6"/>
  <c r="L35" i="6"/>
  <c r="F40" i="6"/>
  <c r="F41" i="6" s="1"/>
  <c r="H15" i="6"/>
  <c r="H16" i="6" s="1"/>
  <c r="K24" i="6"/>
  <c r="J24" i="6"/>
  <c r="J25" i="6" s="1"/>
  <c r="N40" i="6"/>
  <c r="N37" i="13" s="1"/>
  <c r="J35" i="6"/>
  <c r="J36" i="6" s="1"/>
  <c r="I15" i="6"/>
  <c r="I16" i="6" s="1"/>
  <c r="G15" i="6"/>
  <c r="G16" i="6" s="1"/>
  <c r="J26" i="13" l="1"/>
  <c r="I26" i="13"/>
  <c r="J17" i="13"/>
  <c r="J29" i="13" s="1"/>
  <c r="J44" i="13" s="1"/>
  <c r="J46" i="13" s="1"/>
  <c r="K37" i="13"/>
  <c r="K42" i="13" s="1"/>
  <c r="K44" i="13" s="1"/>
  <c r="K46" i="13" s="1"/>
  <c r="I17" i="13"/>
  <c r="I29" i="13" s="1"/>
  <c r="I44" i="13" s="1"/>
  <c r="I46" i="13" s="1"/>
  <c r="J41" i="6"/>
  <c r="F34" i="13"/>
  <c r="F26" i="13"/>
  <c r="F37" i="13"/>
  <c r="I50" i="6"/>
  <c r="E37" i="13"/>
  <c r="M50" i="6"/>
  <c r="E26" i="13"/>
  <c r="O53" i="6"/>
  <c r="M26" i="6"/>
  <c r="E34" i="13"/>
  <c r="H50" i="6"/>
  <c r="L26" i="6"/>
  <c r="E26" i="6"/>
  <c r="E27" i="6" s="1"/>
  <c r="K50" i="6"/>
  <c r="E50" i="6"/>
  <c r="G26" i="6"/>
  <c r="G27" i="6" s="1"/>
  <c r="N26" i="6"/>
  <c r="K26" i="6"/>
  <c r="J26" i="6"/>
  <c r="J27" i="6" s="1"/>
  <c r="F50" i="6"/>
  <c r="G50" i="6"/>
  <c r="L50" i="6"/>
  <c r="H26" i="6"/>
  <c r="H27" i="6" s="1"/>
  <c r="I26" i="6"/>
  <c r="I27" i="6" s="1"/>
  <c r="F26" i="6"/>
  <c r="F27" i="6" s="1"/>
  <c r="N50" i="6"/>
  <c r="J50" i="6"/>
  <c r="I48" i="13" l="1"/>
  <c r="H48" i="13"/>
  <c r="I53" i="6"/>
  <c r="H53" i="6"/>
  <c r="M53" i="6"/>
  <c r="L53" i="6"/>
  <c r="J53" i="6"/>
  <c r="E53" i="6"/>
  <c r="K53" i="6"/>
  <c r="G53" i="6"/>
  <c r="N53" i="6"/>
  <c r="F53" i="6"/>
  <c r="F9" i="9" l="1"/>
  <c r="F10" i="9"/>
  <c r="F11" i="9"/>
  <c r="F14" i="9"/>
  <c r="F15" i="9"/>
  <c r="F16" i="9"/>
  <c r="F21" i="9"/>
  <c r="F22" i="9"/>
  <c r="F27" i="9"/>
  <c r="F28" i="9"/>
  <c r="F35" i="9"/>
  <c r="F36" i="9"/>
  <c r="F37" i="9"/>
  <c r="F38" i="9"/>
  <c r="F9" i="5"/>
  <c r="F10" i="5"/>
  <c r="F11" i="5"/>
  <c r="F12" i="5"/>
  <c r="F16" i="5"/>
  <c r="F17" i="5"/>
  <c r="F18" i="5"/>
  <c r="F19" i="5"/>
  <c r="F20" i="5"/>
  <c r="F21" i="5"/>
  <c r="F28" i="5"/>
  <c r="F29" i="5"/>
  <c r="F30" i="5"/>
  <c r="F31" i="5"/>
  <c r="F32" i="5"/>
  <c r="F36" i="5"/>
  <c r="F37" i="5"/>
  <c r="F41" i="5"/>
  <c r="F42" i="5"/>
  <c r="F43" i="5"/>
  <c r="F44" i="5"/>
  <c r="F45" i="5"/>
  <c r="F23" i="9" l="1"/>
  <c r="F38" i="5"/>
  <c r="F12" i="9"/>
  <c r="F13" i="5"/>
  <c r="F22" i="5"/>
  <c r="F46" i="5"/>
  <c r="F33" i="5"/>
  <c r="F17" i="9"/>
  <c r="F19" i="9" l="1"/>
  <c r="F25" i="9" s="1"/>
  <c r="F30" i="9" s="1"/>
  <c r="F33" i="9" s="1"/>
  <c r="F40" i="9" s="1"/>
  <c r="F48" i="5"/>
  <c r="F24" i="5"/>
  <c r="E16" i="9"/>
  <c r="F50" i="5" l="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C17" i="11" l="1"/>
  <c r="C16" i="11"/>
  <c r="H16" i="11" s="1"/>
  <c r="C15" i="11"/>
  <c r="C11" i="11"/>
  <c r="C12" i="11"/>
  <c r="C10" i="11"/>
  <c r="E45" i="5" l="1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37" i="5"/>
  <c r="D37" i="5"/>
  <c r="C37" i="5"/>
  <c r="E36" i="5"/>
  <c r="D36" i="5"/>
  <c r="C36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D47" i="6" l="1"/>
  <c r="D46" i="6"/>
  <c r="E56" i="6" s="1"/>
  <c r="D45" i="6"/>
  <c r="D14" i="13" s="1"/>
  <c r="D44" i="6"/>
  <c r="D39" i="13" s="1"/>
  <c r="D43" i="6"/>
  <c r="D36" i="13" s="1"/>
  <c r="D39" i="6"/>
  <c r="D38" i="6"/>
  <c r="D34" i="6"/>
  <c r="D25" i="13" s="1"/>
  <c r="D33" i="6"/>
  <c r="D24" i="13" s="1"/>
  <c r="D32" i="6"/>
  <c r="D38" i="13" s="1"/>
  <c r="D31" i="6"/>
  <c r="D23" i="13" s="1"/>
  <c r="D30" i="6"/>
  <c r="D22" i="13" s="1"/>
  <c r="D23" i="6"/>
  <c r="D22" i="6"/>
  <c r="D21" i="6"/>
  <c r="D12" i="13" s="1"/>
  <c r="D20" i="6"/>
  <c r="D19" i="6"/>
  <c r="D11" i="13" s="1"/>
  <c r="D18" i="6"/>
  <c r="D6" i="13"/>
  <c r="E6" i="13" s="1"/>
  <c r="F6" i="13" s="1"/>
  <c r="G6" i="13" s="1"/>
  <c r="H6" i="13" s="1"/>
  <c r="I6" i="13" s="1"/>
  <c r="J6" i="13" s="1"/>
  <c r="K6" i="13" s="1"/>
  <c r="D10" i="13" l="1"/>
  <c r="D56" i="6"/>
  <c r="D27" i="13"/>
  <c r="C15" i="13"/>
  <c r="D15" i="13"/>
  <c r="C31" i="13"/>
  <c r="D31" i="13"/>
  <c r="C32" i="13"/>
  <c r="D32" i="13"/>
  <c r="C11" i="13"/>
  <c r="C12" i="13"/>
  <c r="D9" i="5"/>
  <c r="E9" i="5"/>
  <c r="D10" i="5"/>
  <c r="E10" i="5"/>
  <c r="D11" i="5"/>
  <c r="E11" i="5"/>
  <c r="D12" i="5"/>
  <c r="E12" i="5"/>
  <c r="D34" i="13" l="1"/>
  <c r="E46" i="5"/>
  <c r="D46" i="5"/>
  <c r="D13" i="5"/>
  <c r="E13" i="5"/>
  <c r="E38" i="5"/>
  <c r="D22" i="5"/>
  <c r="E22" i="5"/>
  <c r="D38" i="5"/>
  <c r="E33" i="5"/>
  <c r="D33" i="5"/>
  <c r="E38" i="9"/>
  <c r="E37" i="9"/>
  <c r="E36" i="9"/>
  <c r="E35" i="9"/>
  <c r="E28" i="9"/>
  <c r="E27" i="9"/>
  <c r="E22" i="9"/>
  <c r="E21" i="9"/>
  <c r="E15" i="9"/>
  <c r="E14" i="9"/>
  <c r="E11" i="9"/>
  <c r="E10" i="9"/>
  <c r="E9" i="9"/>
  <c r="E23" i="9" l="1"/>
  <c r="E17" i="9"/>
  <c r="D24" i="5"/>
  <c r="E12" i="9"/>
  <c r="E48" i="5"/>
  <c r="D48" i="5"/>
  <c r="E24" i="5"/>
  <c r="E19" i="9" l="1"/>
  <c r="E25" i="9" s="1"/>
  <c r="E30" i="9" s="1"/>
  <c r="E33" i="9" s="1"/>
  <c r="E40" i="9" s="1"/>
  <c r="D50" i="5"/>
  <c r="E50" i="5"/>
  <c r="A1" i="9"/>
  <c r="A2" i="9"/>
  <c r="A3" i="9"/>
  <c r="A4" i="9"/>
  <c r="A5" i="9"/>
  <c r="C9" i="9"/>
  <c r="D9" i="9"/>
  <c r="C10" i="9"/>
  <c r="D10" i="9"/>
  <c r="C11" i="9"/>
  <c r="D11" i="9"/>
  <c r="C14" i="9"/>
  <c r="D14" i="9"/>
  <c r="C15" i="9"/>
  <c r="D15" i="9"/>
  <c r="C16" i="9"/>
  <c r="D16" i="9"/>
  <c r="C45" i="13"/>
  <c r="N13" i="13"/>
  <c r="N40" i="13" s="1"/>
  <c r="N42" i="13" s="1"/>
  <c r="F13" i="13"/>
  <c r="E13" i="13"/>
  <c r="D13" i="13"/>
  <c r="C13" i="13"/>
  <c r="B25" i="13"/>
  <c r="B24" i="13"/>
  <c r="B23" i="13"/>
  <c r="B22" i="13"/>
  <c r="B21" i="13"/>
  <c r="B20" i="13"/>
  <c r="B19" i="13"/>
  <c r="D8" i="13"/>
  <c r="E8" i="13" s="1"/>
  <c r="F8" i="13" s="1"/>
  <c r="G8" i="13" s="1"/>
  <c r="H8" i="13" s="1"/>
  <c r="I8" i="13" s="1"/>
  <c r="J8" i="13" s="1"/>
  <c r="K8" i="13" s="1"/>
  <c r="L8" i="13" s="1"/>
  <c r="M8" i="13" s="1"/>
  <c r="N8" i="13" s="1"/>
  <c r="A5" i="13"/>
  <c r="A4" i="13"/>
  <c r="A2" i="13"/>
  <c r="O1" i="13"/>
  <c r="A1" i="13"/>
  <c r="G17" i="11"/>
  <c r="F17" i="11"/>
  <c r="D17" i="11"/>
  <c r="G15" i="11"/>
  <c r="F15" i="11"/>
  <c r="E15" i="11"/>
  <c r="D15" i="11"/>
  <c r="G12" i="11"/>
  <c r="F12" i="11"/>
  <c r="E12" i="11"/>
  <c r="D12" i="11"/>
  <c r="G11" i="11"/>
  <c r="F11" i="11"/>
  <c r="E11" i="11"/>
  <c r="D11" i="11"/>
  <c r="G10" i="11"/>
  <c r="F10" i="11"/>
  <c r="E10" i="11"/>
  <c r="D10" i="11"/>
  <c r="A5" i="11"/>
  <c r="A4" i="11"/>
  <c r="A3" i="11"/>
  <c r="A2" i="11"/>
  <c r="A1" i="11"/>
  <c r="D17" i="10"/>
  <c r="C17" i="10"/>
  <c r="H16" i="10"/>
  <c r="G16" i="10"/>
  <c r="F16" i="10"/>
  <c r="E16" i="10"/>
  <c r="D16" i="10"/>
  <c r="C16" i="10"/>
  <c r="H15" i="10"/>
  <c r="G15" i="10"/>
  <c r="F15" i="10"/>
  <c r="E15" i="10"/>
  <c r="D15" i="10"/>
  <c r="C15" i="10"/>
  <c r="H12" i="10"/>
  <c r="G12" i="10"/>
  <c r="F12" i="10"/>
  <c r="E12" i="10"/>
  <c r="D12" i="10"/>
  <c r="C12" i="10"/>
  <c r="H11" i="10"/>
  <c r="G11" i="10"/>
  <c r="F11" i="10"/>
  <c r="E11" i="10"/>
  <c r="D11" i="10"/>
  <c r="C11" i="10"/>
  <c r="H10" i="10"/>
  <c r="G10" i="10"/>
  <c r="F10" i="10"/>
  <c r="E10" i="10"/>
  <c r="D10" i="10"/>
  <c r="C10" i="10"/>
  <c r="D8" i="10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A5" i="10"/>
  <c r="A4" i="10"/>
  <c r="A3" i="10"/>
  <c r="A2" i="10"/>
  <c r="O1" i="10"/>
  <c r="A1" i="10"/>
  <c r="D14" i="6"/>
  <c r="D21" i="13" s="1"/>
  <c r="D13" i="6"/>
  <c r="D20" i="13" s="1"/>
  <c r="D12" i="6"/>
  <c r="D19" i="13" s="1"/>
  <c r="D11" i="6"/>
  <c r="D45" i="13" s="1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A5" i="6"/>
  <c r="A4" i="6"/>
  <c r="A3" i="6"/>
  <c r="A2" i="6"/>
  <c r="O1" i="6"/>
  <c r="A1" i="6"/>
  <c r="C12" i="5"/>
  <c r="C11" i="5"/>
  <c r="C10" i="5"/>
  <c r="C9" i="5"/>
  <c r="A5" i="5"/>
  <c r="A4" i="5"/>
  <c r="A2" i="5"/>
  <c r="F1" i="5"/>
  <c r="A1" i="5"/>
  <c r="H17" i="11" l="1"/>
  <c r="O10" i="10"/>
  <c r="F40" i="13"/>
  <c r="F42" i="13" s="1"/>
  <c r="F17" i="13"/>
  <c r="F29" i="13" s="1"/>
  <c r="E40" i="13"/>
  <c r="E42" i="13" s="1"/>
  <c r="E17" i="13"/>
  <c r="E29" i="13" s="1"/>
  <c r="D26" i="13"/>
  <c r="D40" i="13"/>
  <c r="D17" i="13"/>
  <c r="H11" i="11"/>
  <c r="H15" i="11"/>
  <c r="H10" i="11"/>
  <c r="H12" i="11"/>
  <c r="C46" i="5"/>
  <c r="C10" i="13"/>
  <c r="C27" i="13"/>
  <c r="C14" i="13"/>
  <c r="C25" i="13"/>
  <c r="C39" i="13"/>
  <c r="C24" i="13"/>
  <c r="C22" i="13"/>
  <c r="C23" i="13"/>
  <c r="D48" i="6"/>
  <c r="C38" i="5"/>
  <c r="D40" i="6"/>
  <c r="D41" i="6" s="1"/>
  <c r="D23" i="9"/>
  <c r="H18" i="10"/>
  <c r="G37" i="9"/>
  <c r="G35" i="9"/>
  <c r="C23" i="9"/>
  <c r="C17" i="9"/>
  <c r="D12" i="9"/>
  <c r="G38" i="9"/>
  <c r="G36" i="9"/>
  <c r="G27" i="9"/>
  <c r="G28" i="9"/>
  <c r="C12" i="9"/>
  <c r="D17" i="9"/>
  <c r="G18" i="11"/>
  <c r="E13" i="10"/>
  <c r="E24" i="10"/>
  <c r="D13" i="10"/>
  <c r="G13" i="10"/>
  <c r="C34" i="13"/>
  <c r="F18" i="10"/>
  <c r="C24" i="10"/>
  <c r="D18" i="11"/>
  <c r="C33" i="5"/>
  <c r="C13" i="5"/>
  <c r="C22" i="5"/>
  <c r="D24" i="10"/>
  <c r="H13" i="10"/>
  <c r="O11" i="10"/>
  <c r="C18" i="10"/>
  <c r="F24" i="10"/>
  <c r="F13" i="10"/>
  <c r="D18" i="10"/>
  <c r="G24" i="10"/>
  <c r="O23" i="10"/>
  <c r="C13" i="10"/>
  <c r="O12" i="10"/>
  <c r="E18" i="10"/>
  <c r="H24" i="10"/>
  <c r="O28" i="10"/>
  <c r="O29" i="10"/>
  <c r="O38" i="10"/>
  <c r="O39" i="10"/>
  <c r="O15" i="10"/>
  <c r="O16" i="10"/>
  <c r="G13" i="11"/>
  <c r="E18" i="11"/>
  <c r="F18" i="11"/>
  <c r="C24" i="11"/>
  <c r="F13" i="11"/>
  <c r="D24" i="11"/>
  <c r="E13" i="11"/>
  <c r="C18" i="11"/>
  <c r="E24" i="11"/>
  <c r="F24" i="11"/>
  <c r="G24" i="11"/>
  <c r="H24" i="11"/>
  <c r="C13" i="11"/>
  <c r="C20" i="13"/>
  <c r="D15" i="6"/>
  <c r="D16" i="6" s="1"/>
  <c r="C36" i="13"/>
  <c r="C19" i="13"/>
  <c r="C21" i="13"/>
  <c r="D35" i="6"/>
  <c r="D36" i="6" s="1"/>
  <c r="D24" i="6"/>
  <c r="D25" i="6" s="1"/>
  <c r="C38" i="13"/>
  <c r="C40" i="13"/>
  <c r="O17" i="10"/>
  <c r="O37" i="10"/>
  <c r="D13" i="11"/>
  <c r="O36" i="10"/>
  <c r="G18" i="10"/>
  <c r="O22" i="10"/>
  <c r="H18" i="11" l="1"/>
  <c r="C19" i="9"/>
  <c r="C25" i="9" s="1"/>
  <c r="C30" i="9" s="1"/>
  <c r="G48" i="13"/>
  <c r="F44" i="13"/>
  <c r="F46" i="13" s="1"/>
  <c r="F48" i="13" s="1"/>
  <c r="E44" i="13"/>
  <c r="E46" i="13" s="1"/>
  <c r="E48" i="13" s="1"/>
  <c r="D29" i="13"/>
  <c r="C37" i="13"/>
  <c r="C42" i="13" s="1"/>
  <c r="D37" i="13"/>
  <c r="D42" i="13" s="1"/>
  <c r="H13" i="11"/>
  <c r="C17" i="13"/>
  <c r="H20" i="10"/>
  <c r="C26" i="13"/>
  <c r="D20" i="11"/>
  <c r="D19" i="9"/>
  <c r="D25" i="9" s="1"/>
  <c r="D30" i="9" s="1"/>
  <c r="G20" i="11"/>
  <c r="G26" i="11" s="1"/>
  <c r="G31" i="11" s="1"/>
  <c r="D50" i="6"/>
  <c r="G20" i="10"/>
  <c r="F20" i="10"/>
  <c r="D20" i="10"/>
  <c r="E20" i="10"/>
  <c r="C20" i="10"/>
  <c r="O24" i="10"/>
  <c r="O18" i="10"/>
  <c r="C24" i="5"/>
  <c r="C48" i="5"/>
  <c r="D26" i="6"/>
  <c r="D27" i="6" s="1"/>
  <c r="O13" i="10"/>
  <c r="E20" i="11"/>
  <c r="E26" i="11" s="1"/>
  <c r="E31" i="11" s="1"/>
  <c r="F20" i="11"/>
  <c r="F26" i="11" s="1"/>
  <c r="F31" i="11" s="1"/>
  <c r="C20" i="11"/>
  <c r="C26" i="11" s="1"/>
  <c r="C31" i="11" s="1"/>
  <c r="D26" i="11" l="1"/>
  <c r="D26" i="10"/>
  <c r="F26" i="10"/>
  <c r="H26" i="10"/>
  <c r="C26" i="10"/>
  <c r="G26" i="10"/>
  <c r="E26" i="10"/>
  <c r="C33" i="9"/>
  <c r="C40" i="9" s="1"/>
  <c r="G34" i="11"/>
  <c r="G41" i="11" s="1"/>
  <c r="C34" i="11"/>
  <c r="C41" i="11" s="1"/>
  <c r="E34" i="11"/>
  <c r="E41" i="11" s="1"/>
  <c r="F34" i="11"/>
  <c r="F41" i="11" s="1"/>
  <c r="D33" i="9"/>
  <c r="D40" i="9" s="1"/>
  <c r="D44" i="13"/>
  <c r="D46" i="13" s="1"/>
  <c r="D48" i="13" s="1"/>
  <c r="H20" i="11"/>
  <c r="H26" i="11" s="1"/>
  <c r="D53" i="6"/>
  <c r="C50" i="5"/>
  <c r="N10" i="13"/>
  <c r="N17" i="13" s="1"/>
  <c r="N29" i="13" s="1"/>
  <c r="N44" i="13" s="1"/>
  <c r="O20" i="10"/>
  <c r="O26" i="10" s="1"/>
  <c r="O31" i="10" s="1"/>
  <c r="D31" i="11" l="1"/>
  <c r="E31" i="10"/>
  <c r="E34" i="10" s="1"/>
  <c r="G31" i="10"/>
  <c r="G34" i="10" s="1"/>
  <c r="C31" i="10"/>
  <c r="C34" i="10" s="1"/>
  <c r="H31" i="10"/>
  <c r="F31" i="10"/>
  <c r="D31" i="10"/>
  <c r="G22" i="9"/>
  <c r="G11" i="9"/>
  <c r="G16" i="9"/>
  <c r="G10" i="9"/>
  <c r="G15" i="9"/>
  <c r="D34" i="11" l="1"/>
  <c r="H31" i="11"/>
  <c r="H34" i="11" s="1"/>
  <c r="H41" i="11" s="1"/>
  <c r="C41" i="10"/>
  <c r="F34" i="10"/>
  <c r="H34" i="10"/>
  <c r="G41" i="10"/>
  <c r="E41" i="10"/>
  <c r="D34" i="10"/>
  <c r="G21" i="9"/>
  <c r="G23" i="9" s="1"/>
  <c r="G14" i="9"/>
  <c r="G17" i="9" s="1"/>
  <c r="G9" i="9"/>
  <c r="G12" i="9" s="1"/>
  <c r="D41" i="11" l="1"/>
  <c r="F41" i="10"/>
  <c r="D41" i="10"/>
  <c r="H41" i="10"/>
  <c r="O34" i="10"/>
  <c r="O41" i="10" s="1"/>
  <c r="G19" i="9"/>
  <c r="G25" i="9" s="1"/>
  <c r="G30" i="9" s="1"/>
  <c r="C29" i="13"/>
  <c r="G33" i="9" l="1"/>
  <c r="G40" i="9" s="1"/>
  <c r="C44" i="13"/>
  <c r="C46" i="13" l="1"/>
  <c r="C48" i="13" s="1"/>
  <c r="N45" i="13" l="1"/>
  <c r="N46" i="13" s="1"/>
</calcChain>
</file>

<file path=xl/sharedStrings.xml><?xml version="1.0" encoding="utf-8"?>
<sst xmlns="http://schemas.openxmlformats.org/spreadsheetml/2006/main" count="4924" uniqueCount="318">
  <si>
    <t>POWER FINANCIAL WELLNESS  INC</t>
  </si>
  <si>
    <t>USD</t>
  </si>
  <si>
    <t>CONSOLIDATED MANAGEMENT ACCOUNTS</t>
  </si>
  <si>
    <t>TABLE OF CONTENT</t>
  </si>
  <si>
    <t>MONTH</t>
  </si>
  <si>
    <t>APR</t>
  </si>
  <si>
    <t>Tab</t>
  </si>
  <si>
    <t>JAN</t>
  </si>
  <si>
    <t>FEB</t>
  </si>
  <si>
    <t>MAR</t>
  </si>
  <si>
    <t>MAY</t>
  </si>
  <si>
    <t>JUN</t>
  </si>
  <si>
    <t>JUL</t>
  </si>
  <si>
    <t>AUG</t>
  </si>
  <si>
    <t>SEP</t>
  </si>
  <si>
    <t>Balance Sheet - Quarterly</t>
  </si>
  <si>
    <t>OCT</t>
  </si>
  <si>
    <t>NOV</t>
  </si>
  <si>
    <t>Balance Sheet - Monthly</t>
  </si>
  <si>
    <t>DEC</t>
  </si>
  <si>
    <t>Income Statement - Quartely</t>
  </si>
  <si>
    <t>Income Statement - Monthly</t>
  </si>
  <si>
    <t>12 Month - Cashflow Statement</t>
  </si>
  <si>
    <t>Q1</t>
  </si>
  <si>
    <t>May</t>
  </si>
  <si>
    <t>Q2</t>
  </si>
  <si>
    <t>Q3</t>
  </si>
  <si>
    <t>Q4</t>
  </si>
  <si>
    <t/>
  </si>
  <si>
    <t>010</t>
  </si>
  <si>
    <t>Current Assets</t>
  </si>
  <si>
    <t>020</t>
  </si>
  <si>
    <t>Cash &amp; Cash Equivalents</t>
  </si>
  <si>
    <t>030</t>
  </si>
  <si>
    <t>Net Loan Receivable</t>
  </si>
  <si>
    <t>040</t>
  </si>
  <si>
    <t>Interco-Receivable</t>
  </si>
  <si>
    <t>050</t>
  </si>
  <si>
    <t>Other Current Assets</t>
  </si>
  <si>
    <t>099</t>
  </si>
  <si>
    <t>Total Current Assets</t>
  </si>
  <si>
    <t>100</t>
  </si>
  <si>
    <t>Non-Current Assets</t>
  </si>
  <si>
    <t>110</t>
  </si>
  <si>
    <t>120</t>
  </si>
  <si>
    <t>130</t>
  </si>
  <si>
    <t>Interco-Receivable Long Term</t>
  </si>
  <si>
    <t>140</t>
  </si>
  <si>
    <t>Other Long Term Assets</t>
  </si>
  <si>
    <t>199</t>
  </si>
  <si>
    <t>Total Non-Current Assets</t>
  </si>
  <si>
    <t>F1</t>
  </si>
  <si>
    <t>TOTAL ASSETS</t>
  </si>
  <si>
    <t>LIABILITIES</t>
  </si>
  <si>
    <t>200</t>
  </si>
  <si>
    <t>Current Liabilities</t>
  </si>
  <si>
    <t>210</t>
  </si>
  <si>
    <t>Accounts Payable</t>
  </si>
  <si>
    <t>220</t>
  </si>
  <si>
    <t>Intercompany Payable</t>
  </si>
  <si>
    <t>230</t>
  </si>
  <si>
    <t>Overdraft / Revolver</t>
  </si>
  <si>
    <t>240</t>
  </si>
  <si>
    <t>Customer Deposits</t>
  </si>
  <si>
    <t>250</t>
  </si>
  <si>
    <t>Accrued Expenses</t>
  </si>
  <si>
    <t>290</t>
  </si>
  <si>
    <t>Total Current Liabilities</t>
  </si>
  <si>
    <t>300</t>
  </si>
  <si>
    <t>Non-Current Liabilities</t>
  </si>
  <si>
    <t>310</t>
  </si>
  <si>
    <t>LT Intercompany Loan</t>
  </si>
  <si>
    <t>320</t>
  </si>
  <si>
    <t>LT Debt</t>
  </si>
  <si>
    <t>390</t>
  </si>
  <si>
    <t>Total Non-Current Liabilities</t>
  </si>
  <si>
    <t>400</t>
  </si>
  <si>
    <t>EQUITY</t>
  </si>
  <si>
    <t>410</t>
  </si>
  <si>
    <t>Share Capital</t>
  </si>
  <si>
    <t>420</t>
  </si>
  <si>
    <t>Parent Company Investment in Subsidiary</t>
  </si>
  <si>
    <t>430</t>
  </si>
  <si>
    <t>PY Retained Earnings</t>
  </si>
  <si>
    <t>440</t>
  </si>
  <si>
    <t>CY Retained Earnings</t>
  </si>
  <si>
    <t>499</t>
  </si>
  <si>
    <t>Total Equity</t>
  </si>
  <si>
    <t>F2</t>
  </si>
  <si>
    <t>TOTAL LIABILITY &amp; SHAREHOLDER EQUITY</t>
  </si>
  <si>
    <t>999</t>
  </si>
  <si>
    <t>Check</t>
  </si>
  <si>
    <t>PROFIT &amp; LOSS STATMENT</t>
  </si>
  <si>
    <t>Interest Income : Loans</t>
  </si>
  <si>
    <t>Interest Income : Other</t>
  </si>
  <si>
    <t>Interest Expense : Borrowings</t>
  </si>
  <si>
    <t>NET INTEREST INCOME</t>
  </si>
  <si>
    <t>Fee Income</t>
  </si>
  <si>
    <t>Commisions</t>
  </si>
  <si>
    <t>Other Fees &amp; Charges</t>
  </si>
  <si>
    <t>FEES &amp; COMMISIONS</t>
  </si>
  <si>
    <t>NET INCOME</t>
  </si>
  <si>
    <t>Loan Impairment</t>
  </si>
  <si>
    <t>Third Party Charges</t>
  </si>
  <si>
    <t>TOTAL INDIRECT COSTS</t>
  </si>
  <si>
    <t>GROSS MARGINS</t>
  </si>
  <si>
    <t>Sales &amp; Marketing</t>
  </si>
  <si>
    <t>General &amp; Adminisrative Expenses</t>
  </si>
  <si>
    <t>EBITDA</t>
  </si>
  <si>
    <t xml:space="preserve">Depreciations </t>
  </si>
  <si>
    <t>Ammortization</t>
  </si>
  <si>
    <t>Finance Cost</t>
  </si>
  <si>
    <t>Head Office Allocation</t>
  </si>
  <si>
    <t>EARNING BEFORE TAX</t>
  </si>
  <si>
    <t>QUARTERLY BALANCE SHEET</t>
  </si>
  <si>
    <t>ASSETS</t>
  </si>
  <si>
    <t>OD</t>
  </si>
  <si>
    <t>Power Financial Wellnes INC</t>
  </si>
  <si>
    <t>Frictionless Enterpirse (Kenya) Ltd</t>
  </si>
  <si>
    <t>PFW Finance India (PVT) Ltd</t>
  </si>
  <si>
    <t>Frictionless Financial Services SMC Ltd</t>
  </si>
  <si>
    <t>Consolidated Financial Statements</t>
  </si>
  <si>
    <t>H1</t>
  </si>
  <si>
    <t>Total</t>
  </si>
  <si>
    <t>L11</t>
  </si>
  <si>
    <t>L12</t>
  </si>
  <si>
    <t>L13</t>
  </si>
  <si>
    <t>L21</t>
  </si>
  <si>
    <t>L22</t>
  </si>
  <si>
    <t>L23</t>
  </si>
  <si>
    <t>F3</t>
  </si>
  <si>
    <t>L31</t>
  </si>
  <si>
    <t>L32</t>
  </si>
  <si>
    <t>F4</t>
  </si>
  <si>
    <t>F5</t>
  </si>
  <si>
    <t>L41</t>
  </si>
  <si>
    <t>L42</t>
  </si>
  <si>
    <t>F6</t>
  </si>
  <si>
    <t>L51</t>
  </si>
  <si>
    <t>L52</t>
  </si>
  <si>
    <t>L53</t>
  </si>
  <si>
    <t>L54</t>
  </si>
  <si>
    <t>Earning Before Tax</t>
  </si>
  <si>
    <t>Other Income &amp; Expenses</t>
  </si>
  <si>
    <t>Power Financial Wellnes Tanzania Ltd</t>
  </si>
  <si>
    <t>12 MONTH CASHFLOW STATEMENT</t>
  </si>
  <si>
    <t>CASHFLOW STATEMENT</t>
  </si>
  <si>
    <t>Net Income</t>
  </si>
  <si>
    <t>Add Depreciation</t>
  </si>
  <si>
    <t>Add Ammortization</t>
  </si>
  <si>
    <t>Add Finance Cost</t>
  </si>
  <si>
    <t>Adjusted Net Income</t>
  </si>
  <si>
    <t>Changes In Working Capital</t>
  </si>
  <si>
    <t>NET INCOME FROM OPERATING ACTIVITIES</t>
  </si>
  <si>
    <t>Capital Addition</t>
  </si>
  <si>
    <t>Intangible Asset additions</t>
  </si>
  <si>
    <t>NET CASHFLOW FROM INVESTING ACTIVITIES</t>
  </si>
  <si>
    <t>Proceeds from Sales Of Ordinary Shares</t>
  </si>
  <si>
    <t>Proceeds From LT Borrowing</t>
  </si>
  <si>
    <t>Proceeds from ST Borrowing</t>
  </si>
  <si>
    <t>Proceeds From IC Borrowing</t>
  </si>
  <si>
    <t>Finance Cost on Borrowing</t>
  </si>
  <si>
    <t>NET CASHFLOW FROM FINANCING ACTIVITIES</t>
  </si>
  <si>
    <t>NET CASHFLOW</t>
  </si>
  <si>
    <t>Financial Report</t>
  </si>
  <si>
    <t>Name</t>
  </si>
  <si>
    <t>Description</t>
  </si>
  <si>
    <t>Row Definition</t>
  </si>
  <si>
    <t>Column Definition</t>
  </si>
  <si>
    <t>View by</t>
  </si>
  <si>
    <t>Date Filter</t>
  </si>
  <si>
    <t>Show All Lines</t>
  </si>
  <si>
    <t>Product Filter</t>
  </si>
  <si>
    <t>Department Filter</t>
  </si>
  <si>
    <t>Business-Unit Filter</t>
  </si>
  <si>
    <t>Cost-center Filter</t>
  </si>
  <si>
    <t>Cost Center Filter</t>
  </si>
  <si>
    <t>Cost Object Filter</t>
  </si>
  <si>
    <t>Cash Flow Filter</t>
  </si>
  <si>
    <t>G/L Budget Filter</t>
  </si>
  <si>
    <t>Cost Budget Filter</t>
  </si>
  <si>
    <t>Row No.</t>
  </si>
  <si>
    <t>Description1</t>
  </si>
  <si>
    <t>Quarter 1</t>
  </si>
  <si>
    <t>Quarter 2</t>
  </si>
  <si>
    <t>Quarter 3</t>
  </si>
  <si>
    <t>Quarter 4</t>
  </si>
  <si>
    <t xml:space="preserve"> 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</si>
  <si>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</si>
  <si>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</si>
  <si>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</si>
  <si>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</si>
  <si>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</si>
  <si>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</si>
  <si>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</si>
  <si>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</si>
  <si>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</si>
  <si>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>M-BALANCE</t>
  </si>
  <si>
    <t>Balance Sheet</t>
  </si>
  <si>
    <t>QRT-BAL</t>
  </si>
  <si>
    <t>Year</t>
  </si>
  <si>
    <t>Assets</t>
  </si>
  <si>
    <t>Total Assets</t>
  </si>
  <si>
    <t>Liabilities</t>
  </si>
  <si>
    <t>Equity</t>
  </si>
  <si>
    <t>Total Equity and Liabilities</t>
  </si>
  <si>
    <t>USA</t>
  </si>
  <si>
    <t>KENYA</t>
  </si>
  <si>
    <t>INDIA</t>
  </si>
  <si>
    <t>TZ</t>
  </si>
  <si>
    <t>UGANDA</t>
  </si>
  <si>
    <t>CONSOLIDATED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</si>
  <si>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</si>
  <si>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</si>
  <si>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</si>
  <si>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</si>
  <si>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</si>
  <si>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</si>
  <si>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</si>
  <si>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</si>
  <si>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</si>
  <si>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</si>
  <si>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</si>
  <si>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MTD-BAL</t>
  </si>
  <si>
    <t>M-INCOME</t>
  </si>
  <si>
    <t>Income Statement</t>
  </si>
  <si>
    <t>QRT-INC</t>
  </si>
  <si>
    <t>EBT</t>
  </si>
  <si>
    <t>MTD-NET</t>
  </si>
  <si>
    <t>Head Office</t>
  </si>
  <si>
    <t>BSUNIT-IS</t>
  </si>
  <si>
    <t>CASH BURN</t>
  </si>
  <si>
    <t>Cost Incurred in Period</t>
  </si>
  <si>
    <t>OPEX</t>
  </si>
  <si>
    <t>OPERATING EXPENSES</t>
  </si>
  <si>
    <t>Salary &amp; Wages</t>
  </si>
  <si>
    <t>Consultants</t>
  </si>
  <si>
    <t>Fringe Benefits</t>
  </si>
  <si>
    <t>Rent &amp; Office related expenses</t>
  </si>
  <si>
    <t>Utilities</t>
  </si>
  <si>
    <t>IT Costs</t>
  </si>
  <si>
    <t>Outside Servces</t>
  </si>
  <si>
    <t>Professional Servicess</t>
  </si>
  <si>
    <t>260</t>
  </si>
  <si>
    <t>Selling Expenses</t>
  </si>
  <si>
    <t>270</t>
  </si>
  <si>
    <t>Travel &amp; Entertainment</t>
  </si>
  <si>
    <t>280</t>
  </si>
  <si>
    <t>Office Equipment</t>
  </si>
  <si>
    <t>Auto Expenses</t>
  </si>
  <si>
    <t>299</t>
  </si>
  <si>
    <t>Insurance</t>
  </si>
  <si>
    <t>Facility Fees</t>
  </si>
  <si>
    <t>Other Expenses</t>
  </si>
  <si>
    <t>TOTAL OPERATING EXPENSES</t>
  </si>
  <si>
    <t>S0</t>
  </si>
  <si>
    <t>Other Income/(Expenses)</t>
  </si>
  <si>
    <t>S1</t>
  </si>
  <si>
    <t>S2</t>
  </si>
  <si>
    <t>S3</t>
  </si>
  <si>
    <t>S4</t>
  </si>
  <si>
    <t>S5</t>
  </si>
  <si>
    <t>EBITDAM</t>
  </si>
  <si>
    <t>L43</t>
  </si>
  <si>
    <t>F7</t>
  </si>
  <si>
    <t>S</t>
  </si>
  <si>
    <t>Depreciations</t>
  </si>
  <si>
    <t>450</t>
  </si>
  <si>
    <t>CY Foreign Currency Transalation</t>
  </si>
  <si>
    <t>Cash &amp; Cash Equivalent @ Beginning of period</t>
  </si>
  <si>
    <t>Cash &amp; Cash Equivaoent at End of Periond</t>
  </si>
  <si>
    <t>Changes in Other LT Assets/Liabilities</t>
  </si>
  <si>
    <t>Gross Fixed Assets</t>
  </si>
  <si>
    <t>111</t>
  </si>
  <si>
    <t>Acc. Depreciation</t>
  </si>
  <si>
    <t>Gross Intangible Assets</t>
  </si>
  <si>
    <t>121</t>
  </si>
  <si>
    <t>Acc. Ammortization</t>
  </si>
  <si>
    <t>Accumilated Depreciation</t>
  </si>
  <si>
    <t>Accumilated Ammortizaion</t>
  </si>
  <si>
    <t>Add Foreign Currency Translation</t>
  </si>
  <si>
    <t>Add Prior Year Adjustment</t>
  </si>
  <si>
    <t>01/09/24..30/09/24</t>
  </si>
  <si>
    <t>M-INCOME - Income Statement - M-INCOME - BSUNIT-IS</t>
  </si>
  <si>
    <t>01/11/24..30/11/24</t>
  </si>
  <si>
    <t>M-INCOME - Income Statement - M-INCOME - MTD-NET</t>
  </si>
  <si>
    <t>M-BALANCE - Balance Sheet - M-BALANCE - QRT-BAL</t>
  </si>
  <si>
    <t>CHECK</t>
  </si>
  <si>
    <t>Balance Sheet - By entity MOM</t>
  </si>
  <si>
    <t>Income Statement - For the month by entity</t>
  </si>
  <si>
    <t>Income Statement - By Business Unit for the month</t>
  </si>
  <si>
    <t>COST INCURRED</t>
  </si>
  <si>
    <t>InterCo Purchases</t>
  </si>
  <si>
    <t>Interco Purchases</t>
  </si>
  <si>
    <t>Column1</t>
  </si>
  <si>
    <t>Display Title</t>
  </si>
  <si>
    <t>Negative Amount Format</t>
  </si>
  <si>
    <t>Default Excel Layout</t>
  </si>
  <si>
    <t>Internal Description</t>
  </si>
  <si>
    <t>IntroductoryParagraph</t>
  </si>
  <si>
    <t>ClosingParagraph</t>
  </si>
  <si>
    <t>Minus Sign</t>
  </si>
  <si>
    <t>01/07/25..31/07/25</t>
  </si>
  <si>
    <t>Month</t>
  </si>
  <si>
    <t>FOR PERIOD ENDED JULY 31,  2025</t>
  </si>
  <si>
    <t>PREPARED BY: MOSES KIGO</t>
  </si>
  <si>
    <t>Power Financial Wellness INC</t>
  </si>
  <si>
    <t>Frictionless EL (Kenya) Ltd</t>
  </si>
  <si>
    <t>Power Financial Wellness Tanzania Ltd</t>
  </si>
  <si>
    <t>Consolidated Financial Statements</t>
  </si>
  <si>
    <t>Loss in local currency</t>
  </si>
  <si>
    <t>FX</t>
  </si>
  <si>
    <t>USD Equivalent</t>
  </si>
  <si>
    <t>FEL-KE</t>
  </si>
  <si>
    <t>FEL-SMC</t>
  </si>
  <si>
    <t>PFW-IND</t>
  </si>
  <si>
    <t>PFW-TZ</t>
  </si>
  <si>
    <t>PFW-USA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</si>
</sst>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30" x14ac:knownFonts="1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b/>
      <sz val="12"/>
      <color theme="0"/>
      <name val="Aptos Narrow"/>
      <family val="2"/>
    </font>
    <font>
      <sz val="11"/>
      <color rgb="FF000000"/>
      <name val="aptos narrow"/>
      <family val="2"/>
      <scheme val="minor"/>
    </font>
    <font>
      <b/>
      <sz val="12"/>
      <color theme="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2"/>
      <name val="Aptos Narrow"/>
      <family val="2"/>
    </font>
    <font>
      <b/>
      <sz val="12"/>
      <color rgb="FF000000"/>
      <name val="Aptos Narrow"/>
      <family val="2"/>
    </font>
    <font>
      <b/>
      <sz val="12"/>
      <color rgb="FFFF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0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4"/>
    <xf numFmtId="0" fontId="17" fillId="0" borderId="4"/>
    <xf numFmtId="0" fontId="10" fillId="0" borderId="4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17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3" fontId="7" fillId="0" borderId="0" xfId="0" applyNumberFormat="1" applyFont="1"/>
    <xf numFmtId="0" fontId="7" fillId="0" borderId="0" xfId="0" applyFont="1" applyAlignment="1">
      <alignment horizontal="left"/>
    </xf>
    <xf numFmtId="38" fontId="7" fillId="0" borderId="0" xfId="0" applyNumberFormat="1" applyFont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38" fontId="7" fillId="0" borderId="2" xfId="0" applyNumberFormat="1" applyFont="1" applyBorder="1"/>
    <xf numFmtId="38" fontId="6" fillId="0" borderId="0" xfId="0" applyNumberFormat="1" applyFont="1"/>
    <xf numFmtId="0" fontId="6" fillId="0" borderId="3" xfId="0" applyFont="1" applyBorder="1"/>
    <xf numFmtId="38" fontId="6" fillId="0" borderId="3" xfId="0" applyNumberFormat="1" applyFont="1" applyBorder="1"/>
    <xf numFmtId="0" fontId="7" fillId="0" borderId="0" xfId="0" applyFont="1" applyAlignment="1">
      <alignment horizontal="right"/>
    </xf>
    <xf numFmtId="0" fontId="8" fillId="3" borderId="4" xfId="0" applyFont="1" applyFill="1" applyBorder="1"/>
    <xf numFmtId="0" fontId="8" fillId="0" borderId="0" xfId="0" applyFont="1"/>
    <xf numFmtId="38" fontId="7" fillId="0" borderId="0" xfId="0" applyNumberFormat="1" applyFont="1" applyAlignment="1">
      <alignment horizontal="right"/>
    </xf>
    <xf numFmtId="38" fontId="7" fillId="0" borderId="2" xfId="0" applyNumberFormat="1" applyFont="1" applyBorder="1" applyAlignment="1">
      <alignment horizontal="right"/>
    </xf>
    <xf numFmtId="38" fontId="6" fillId="0" borderId="0" xfId="0" applyNumberFormat="1" applyFont="1" applyAlignment="1">
      <alignment horizontal="right"/>
    </xf>
    <xf numFmtId="0" fontId="7" fillId="0" borderId="5" xfId="0" applyFont="1" applyBorder="1"/>
    <xf numFmtId="38" fontId="7" fillId="0" borderId="5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5" fillId="0" borderId="0" xfId="0" applyNumberFormat="1" applyFont="1"/>
    <xf numFmtId="164" fontId="3" fillId="0" borderId="0" xfId="0" applyNumberFormat="1" applyFont="1"/>
    <xf numFmtId="49" fontId="3" fillId="0" borderId="0" xfId="0" applyNumberFormat="1" applyFont="1"/>
    <xf numFmtId="4" fontId="5" fillId="0" borderId="0" xfId="0" applyNumberFormat="1" applyFont="1"/>
    <xf numFmtId="17" fontId="9" fillId="4" borderId="4" xfId="0" applyNumberFormat="1" applyFont="1" applyFill="1" applyBorder="1" applyAlignment="1">
      <alignment horizontal="right"/>
    </xf>
    <xf numFmtId="0" fontId="9" fillId="3" borderId="4" xfId="0" applyFont="1" applyFill="1" applyBorder="1"/>
    <xf numFmtId="0" fontId="6" fillId="5" borderId="4" xfId="0" applyFont="1" applyFill="1" applyBorder="1" applyAlignment="1">
      <alignment horizontal="left"/>
    </xf>
    <xf numFmtId="0" fontId="8" fillId="0" borderId="2" xfId="0" applyFont="1" applyBorder="1"/>
    <xf numFmtId="0" fontId="9" fillId="0" borderId="0" xfId="0" applyFont="1"/>
    <xf numFmtId="0" fontId="9" fillId="0" borderId="3" xfId="0" applyFont="1" applyBorder="1"/>
    <xf numFmtId="17" fontId="9" fillId="4" borderId="4" xfId="0" applyNumberFormat="1" applyFont="1" applyFill="1" applyBorder="1" applyAlignment="1">
      <alignment horizontal="right" wrapText="1"/>
    </xf>
    <xf numFmtId="0" fontId="6" fillId="0" borderId="0" xfId="0" applyFont="1" applyAlignment="1">
      <alignment horizontal="center"/>
    </xf>
    <xf numFmtId="0" fontId="8" fillId="0" borderId="5" xfId="0" applyFont="1" applyBorder="1"/>
    <xf numFmtId="0" fontId="8" fillId="0" borderId="0" xfId="0" applyFont="1" applyAlignment="1">
      <alignment wrapText="1"/>
    </xf>
    <xf numFmtId="0" fontId="8" fillId="3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/>
    <xf numFmtId="0" fontId="9" fillId="3" borderId="6" xfId="0" applyFont="1" applyFill="1" applyBorder="1"/>
    <xf numFmtId="0" fontId="9" fillId="3" borderId="4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38" fontId="7" fillId="0" borderId="1" xfId="0" applyNumberFormat="1" applyFont="1" applyBorder="1"/>
    <xf numFmtId="0" fontId="7" fillId="0" borderId="5" xfId="0" applyFont="1" applyBorder="1" applyAlignment="1">
      <alignment horizontal="left"/>
    </xf>
    <xf numFmtId="38" fontId="7" fillId="0" borderId="5" xfId="0" applyNumberFormat="1" applyFont="1" applyBorder="1"/>
    <xf numFmtId="0" fontId="8" fillId="0" borderId="8" xfId="0" applyFont="1" applyBorder="1"/>
    <xf numFmtId="0" fontId="7" fillId="0" borderId="8" xfId="0" applyFont="1" applyBorder="1"/>
    <xf numFmtId="38" fontId="7" fillId="0" borderId="8" xfId="0" applyNumberFormat="1" applyFont="1" applyBorder="1" applyAlignment="1">
      <alignment horizontal="right"/>
    </xf>
    <xf numFmtId="0" fontId="0" fillId="0" borderId="8" xfId="0" applyBorder="1"/>
    <xf numFmtId="0" fontId="11" fillId="0" borderId="0" xfId="0" applyFont="1"/>
    <xf numFmtId="0" fontId="12" fillId="0" borderId="0" xfId="0" applyFont="1"/>
    <xf numFmtId="38" fontId="12" fillId="0" borderId="0" xfId="0" applyNumberFormat="1" applyFont="1" applyAlignment="1">
      <alignment horizontal="right"/>
    </xf>
    <xf numFmtId="0" fontId="13" fillId="0" borderId="8" xfId="0" applyFont="1" applyBorder="1"/>
    <xf numFmtId="0" fontId="14" fillId="0" borderId="0" xfId="0" applyFont="1"/>
    <xf numFmtId="166" fontId="7" fillId="0" borderId="0" xfId="2" applyNumberFormat="1" applyFont="1" applyAlignment="1">
      <alignment horizontal="right"/>
    </xf>
    <xf numFmtId="0" fontId="7" fillId="0" borderId="4" xfId="0" applyFont="1" applyBorder="1"/>
    <xf numFmtId="0" fontId="7" fillId="0" borderId="4" xfId="0" applyFont="1" applyBorder="1" applyAlignment="1">
      <alignment horizontal="left"/>
    </xf>
    <xf numFmtId="38" fontId="7" fillId="0" borderId="4" xfId="0" applyNumberFormat="1" applyFont="1" applyBorder="1"/>
    <xf numFmtId="164" fontId="5" fillId="0" borderId="4" xfId="0" applyNumberFormat="1" applyFont="1" applyBorder="1"/>
    <xf numFmtId="4" fontId="5" fillId="0" borderId="4" xfId="0" applyNumberFormat="1" applyFont="1" applyBorder="1"/>
    <xf numFmtId="0" fontId="0" fillId="0" borderId="4" xfId="0" applyBorder="1"/>
    <xf numFmtId="0" fontId="7" fillId="0" borderId="8" xfId="0" applyFont="1" applyBorder="1" applyAlignment="1">
      <alignment horizontal="left"/>
    </xf>
    <xf numFmtId="38" fontId="7" fillId="0" borderId="8" xfId="0" applyNumberFormat="1" applyFont="1" applyBorder="1"/>
    <xf numFmtId="164" fontId="5" fillId="0" borderId="8" xfId="0" applyNumberFormat="1" applyFont="1" applyBorder="1"/>
    <xf numFmtId="4" fontId="5" fillId="0" borderId="8" xfId="0" applyNumberFormat="1" applyFont="1" applyBorder="1"/>
    <xf numFmtId="0" fontId="8" fillId="0" borderId="4" xfId="0" applyFont="1" applyBorder="1"/>
    <xf numFmtId="164" fontId="7" fillId="0" borderId="0" xfId="1" applyFont="1"/>
    <xf numFmtId="167" fontId="7" fillId="0" borderId="0" xfId="0" applyNumberFormat="1" applyFont="1" applyAlignment="1">
      <alignment horizontal="right"/>
    </xf>
    <xf numFmtId="9" fontId="7" fillId="0" borderId="0" xfId="2" applyFont="1" applyAlignment="1">
      <alignment horizontal="right"/>
    </xf>
    <xf numFmtId="49" fontId="18" fillId="6" borderId="0" xfId="0" applyNumberFormat="1" applyFont="1" applyFill="1"/>
    <xf numFmtId="49" fontId="0" fillId="0" borderId="0" xfId="0" applyNumberFormat="1"/>
    <xf numFmtId="1" fontId="0" fillId="0" borderId="0" xfId="0" applyNumberFormat="1"/>
    <xf numFmtId="4" fontId="0" fillId="0" borderId="0" xfId="0" applyNumberFormat="1"/>
    <xf numFmtId="0" fontId="9" fillId="0" borderId="8" xfId="0" applyFont="1" applyBorder="1"/>
    <xf numFmtId="38" fontId="13" fillId="0" borderId="8" xfId="0" applyNumberFormat="1" applyFont="1" applyBorder="1" applyAlignment="1">
      <alignment horizontal="right"/>
    </xf>
    <xf numFmtId="164" fontId="7" fillId="0" borderId="0" xfId="1" applyFont="1" applyAlignment="1">
      <alignment horizontal="right"/>
    </xf>
    <xf numFmtId="38" fontId="6" fillId="0" borderId="9" xfId="0" applyNumberFormat="1" applyFont="1" applyBorder="1" applyAlignment="1">
      <alignment horizontal="right"/>
    </xf>
    <xf numFmtId="38" fontId="7" fillId="0" borderId="10" xfId="0" applyNumberFormat="1" applyFont="1" applyBorder="1" applyAlignment="1">
      <alignment horizontal="right"/>
    </xf>
    <xf numFmtId="49" fontId="17" fillId="0" borderId="4" xfId="4" applyNumberFormat="1"/>
    <xf numFmtId="4" fontId="17" fillId="0" borderId="4" xfId="4" applyNumberFormat="1"/>
    <xf numFmtId="0" fontId="2" fillId="0" borderId="0" xfId="0" applyFont="1"/>
    <xf numFmtId="0" fontId="20" fillId="0" borderId="0" xfId="0" applyFont="1"/>
    <xf numFmtId="0" fontId="21" fillId="0" borderId="0" xfId="0" applyFont="1"/>
    <xf numFmtId="0" fontId="22" fillId="7" borderId="0" xfId="0" applyFont="1" applyFill="1"/>
    <xf numFmtId="17" fontId="23" fillId="8" borderId="0" xfId="0" applyNumberFormat="1" applyFont="1" applyFill="1" applyAlignment="1">
      <alignment horizontal="right"/>
    </xf>
    <xf numFmtId="0" fontId="22" fillId="0" borderId="0" xfId="0" applyFont="1"/>
    <xf numFmtId="3" fontId="21" fillId="0" borderId="0" xfId="0" applyNumberFormat="1" applyFont="1"/>
    <xf numFmtId="0" fontId="21" fillId="0" borderId="0" xfId="0" applyFont="1" applyAlignment="1">
      <alignment horizontal="left" indent="1"/>
    </xf>
    <xf numFmtId="38" fontId="21" fillId="0" borderId="0" xfId="0" applyNumberFormat="1" applyFont="1"/>
    <xf numFmtId="0" fontId="17" fillId="0" borderId="0" xfId="0" applyFont="1"/>
    <xf numFmtId="49" fontId="17" fillId="0" borderId="0" xfId="0" applyNumberFormat="1" applyFont="1"/>
    <xf numFmtId="4" fontId="17" fillId="0" borderId="0" xfId="0" applyNumberFormat="1" applyFont="1"/>
    <xf numFmtId="0" fontId="21" fillId="0" borderId="8" xfId="0" applyFont="1" applyBorder="1" applyAlignment="1">
      <alignment horizontal="left" indent="1"/>
    </xf>
    <xf numFmtId="165" fontId="21" fillId="0" borderId="8" xfId="1" applyNumberFormat="1" applyFont="1" applyBorder="1" applyAlignment="1">
      <alignment horizontal="left" indent="1"/>
    </xf>
    <xf numFmtId="38" fontId="21" fillId="0" borderId="8" xfId="0" applyNumberFormat="1" applyFont="1" applyBorder="1"/>
    <xf numFmtId="0" fontId="20" fillId="0" borderId="0" xfId="0" applyFont="1" applyAlignment="1">
      <alignment horizontal="left" indent="1"/>
    </xf>
    <xf numFmtId="165" fontId="20" fillId="0" borderId="0" xfId="1" applyNumberFormat="1" applyFont="1" applyAlignment="1">
      <alignment horizontal="left" indent="1"/>
    </xf>
    <xf numFmtId="49" fontId="18" fillId="0" borderId="0" xfId="0" applyNumberFormat="1" applyFont="1"/>
    <xf numFmtId="4" fontId="18" fillId="0" borderId="0" xfId="0" applyNumberFormat="1" applyFont="1"/>
    <xf numFmtId="38" fontId="20" fillId="0" borderId="0" xfId="0" applyNumberFormat="1" applyFont="1"/>
    <xf numFmtId="0" fontId="24" fillId="0" borderId="0" xfId="0" applyFont="1"/>
    <xf numFmtId="38" fontId="24" fillId="9" borderId="0" xfId="0" applyNumberFormat="1" applyFont="1" applyFill="1"/>
    <xf numFmtId="49" fontId="21" fillId="0" borderId="0" xfId="0" applyNumberFormat="1" applyFont="1" applyAlignment="1">
      <alignment horizontal="left" indent="1"/>
    </xf>
    <xf numFmtId="3" fontId="20" fillId="0" borderId="0" xfId="0" applyNumberFormat="1" applyFont="1"/>
    <xf numFmtId="4" fontId="25" fillId="10" borderId="11" xfId="0" applyNumberFormat="1" applyFont="1" applyFill="1" applyBorder="1"/>
    <xf numFmtId="4" fontId="17" fillId="10" borderId="11" xfId="4" applyNumberFormat="1" applyFill="1" applyBorder="1"/>
    <xf numFmtId="0" fontId="7" fillId="0" borderId="10" xfId="0" applyFont="1" applyBorder="1"/>
    <xf numFmtId="38" fontId="12" fillId="0" borderId="0" xfId="0" applyNumberFormat="1" applyFont="1"/>
    <xf numFmtId="4" fontId="17" fillId="11" borderId="4" xfId="4" applyNumberFormat="1" applyFill="1"/>
    <xf numFmtId="0" fontId="10" fillId="0" borderId="4" xfId="5"/>
    <xf numFmtId="4" fontId="10" fillId="0" borderId="4" xfId="5" applyNumberFormat="1"/>
    <xf numFmtId="38" fontId="7" fillId="0" borderId="4" xfId="5" applyNumberFormat="1" applyFont="1"/>
    <xf numFmtId="49" fontId="10" fillId="0" borderId="4" xfId="5" applyNumberFormat="1"/>
    <xf numFmtId="1" fontId="10" fillId="0" borderId="4" xfId="5" applyNumberFormat="1"/>
    <xf numFmtId="4" fontId="2" fillId="10" borderId="11" xfId="5" applyNumberFormat="1" applyFont="1" applyFill="1" applyBorder="1"/>
    <xf numFmtId="49" fontId="18" fillId="6" borderId="4" xfId="5" applyNumberFormat="1" applyFont="1" applyFill="1"/>
    <xf numFmtId="0" fontId="10" fillId="0" borderId="4" xfId="0" applyFont="1" applyBorder="1"/>
    <xf numFmtId="4" fontId="17" fillId="0" borderId="4" xfId="0" applyNumberFormat="1" applyFont="1" applyBorder="1"/>
    <xf numFmtId="38" fontId="8" fillId="0" borderId="0" xfId="0" applyNumberFormat="1" applyFont="1"/>
    <xf numFmtId="4" fontId="1" fillId="10" borderId="11" xfId="0" applyNumberFormat="1" applyFont="1" applyFill="1" applyBorder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1" applyFont="1" applyAlignment="1">
      <alignment wrapText="1"/>
    </xf>
    <xf numFmtId="0" fontId="0" fillId="0" borderId="12" xfId="0" applyBorder="1" applyAlignment="1">
      <alignment wrapText="1"/>
    </xf>
    <xf numFmtId="0" fontId="26" fillId="13" borderId="9" xfId="0" applyFont="1" applyFill="1" applyBorder="1" applyAlignment="1">
      <alignment horizontal="right" wrapText="1"/>
    </xf>
    <xf numFmtId="0" fontId="26" fillId="13" borderId="13" xfId="0" applyFont="1" applyFill="1" applyBorder="1" applyAlignment="1">
      <alignment horizontal="right" wrapText="1"/>
    </xf>
    <xf numFmtId="0" fontId="27" fillId="12" borderId="14" xfId="0" applyFont="1" applyFill="1" applyBorder="1" applyAlignment="1">
      <alignment horizontal="right" wrapText="1"/>
    </xf>
    <xf numFmtId="3" fontId="29" fillId="12" borderId="4" xfId="0" applyNumberFormat="1" applyFont="1" applyFill="1" applyBorder="1" applyAlignment="1">
      <alignment horizontal="right" wrapText="1"/>
    </xf>
    <xf numFmtId="0" fontId="28" fillId="12" borderId="15" xfId="0" applyFont="1" applyFill="1" applyBorder="1" applyAlignment="1">
      <alignment horizontal="right" wrapText="1"/>
    </xf>
    <xf numFmtId="0" fontId="28" fillId="12" borderId="4" xfId="0" applyFont="1" applyFill="1" applyBorder="1" applyAlignment="1">
      <alignment horizontal="right" wrapText="1"/>
    </xf>
    <xf numFmtId="3" fontId="28" fillId="12" borderId="4" xfId="0" applyNumberFormat="1" applyFont="1" applyFill="1" applyBorder="1" applyAlignment="1">
      <alignment horizontal="right" wrapText="1"/>
    </xf>
    <xf numFmtId="0" fontId="27" fillId="12" borderId="16" xfId="0" applyFont="1" applyFill="1" applyBorder="1" applyAlignment="1">
      <alignment horizontal="right" wrapText="1"/>
    </xf>
    <xf numFmtId="3" fontId="29" fillId="12" borderId="8" xfId="0" applyNumberFormat="1" applyFont="1" applyFill="1" applyBorder="1" applyAlignment="1">
      <alignment horizontal="right" wrapText="1"/>
    </xf>
    <xf numFmtId="0" fontId="29" fillId="12" borderId="8" xfId="0" applyFont="1" applyFill="1" applyBorder="1" applyAlignment="1">
      <alignment horizontal="right" wrapText="1"/>
    </xf>
    <xf numFmtId="3" fontId="29" fillId="12" borderId="17" xfId="0" applyNumberFormat="1" applyFont="1" applyFill="1" applyBorder="1" applyAlignment="1">
      <alignment horizontal="right" wrapText="1"/>
    </xf>
  </cellXfs>
  <cellStyles count="6">
    <cellStyle name="Comma" xfId="1" builtinId="3"/>
    <cellStyle name="Normal" xfId="0" builtinId="0"/>
    <cellStyle name="Normal 2" xfId="3" xr:uid="{58B6E30B-E633-4293-88DD-A2CE268951B5}"/>
    <cellStyle name="Normal 3" xfId="4" xr:uid="{0349D764-824C-4BF4-BC99-991A3F447368}"/>
    <cellStyle name="Normal 4" xfId="5" xr:uid="{688A0046-D297-42A8-9202-BA6DE2A70DEE}"/>
    <cellStyle name="Percent" xfId="2" builtinId="5"/>
  </cellStyles>
  <dxfs count="9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4" formatCode="#,##0.0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/>
        <right/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FF0000"/>
      </font>
    </dxf>
    <dxf>
      <font>
        <color theme="0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024%20PFW%20Budget180124.xlsx" TargetMode="External"/><Relationship Id="rId1" Type="http://schemas.openxmlformats.org/officeDocument/2006/relationships/externalLinkPath" Target="/Users/user/Downloads/2024%20PFW%20Budget1801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ckline\Desktop\March%202025%20Mgmt%20Accounts%20-%20PFW%20TZ.xlsx" TargetMode="External"/><Relationship Id="rId1" Type="http://schemas.openxmlformats.org/officeDocument/2006/relationships/externalLinkPath" Target="/Users/Jackline/Desktop/FEL/March%202025%20Mgmt%20Accounts%20-%20PFW%20T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G Table"/>
      <sheetName val="Debt repayment schedule"/>
      <sheetName val="KPI Schedule"/>
      <sheetName val="HeadCount Analysis"/>
      <sheetName val="Burn"/>
      <sheetName val="1.0 Drivers---&gt;"/>
      <sheetName val="1.1 US"/>
      <sheetName val="1.2 KE"/>
      <sheetName val="1.2 UG"/>
      <sheetName val="USA"/>
      <sheetName val="1.2 TZ"/>
      <sheetName val="1.5 INR"/>
      <sheetName val="2.0 Financials---&gt;"/>
      <sheetName val="2.1 Cons"/>
      <sheetName val="2.1 US"/>
      <sheetName val="Sheet1"/>
      <sheetName val="2.2 KE"/>
      <sheetName val="2.3 UG"/>
      <sheetName val="2.4 TZ"/>
      <sheetName val="2.5 INR"/>
      <sheetName val="TB's----&gt;"/>
      <sheetName val="TB Cons"/>
      <sheetName val="Sheet4"/>
      <sheetName val="TB(USA)"/>
      <sheetName val="TB(KE)"/>
      <sheetName val="TB (INR)"/>
      <sheetName val="MasterTB-----&gt;"/>
      <sheetName val="MasterTB (Conso)"/>
      <sheetName val="MasterTB (KE)"/>
      <sheetName val="MasterTB(US)"/>
      <sheetName val="MasterTB (INR)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>
        <row r="4">
          <cell r="A4" t="str">
            <v>110000</v>
          </cell>
          <cell r="B4" t="str">
            <v>Interest Income - Earned Borrow</v>
          </cell>
          <cell r="C4" t="str">
            <v>Revenue</v>
          </cell>
          <cell r="D4">
            <v>0</v>
          </cell>
          <cell r="E4">
            <v>0</v>
          </cell>
          <cell r="F4">
            <v>0</v>
          </cell>
          <cell r="G4">
            <v>-12677.76562027</v>
          </cell>
          <cell r="H4">
            <v>-4347.72741864</v>
          </cell>
          <cell r="I4">
            <v>-8843.5140292199994</v>
          </cell>
          <cell r="J4">
            <v>-12694.423631559999</v>
          </cell>
          <cell r="K4">
            <v>-16711.716618589999</v>
          </cell>
          <cell r="L4">
            <v>-20370.458843029999</v>
          </cell>
          <cell r="M4">
            <v>-24149.373748720001</v>
          </cell>
          <cell r="N4">
            <v>-28765.039917089998</v>
          </cell>
          <cell r="O4">
            <v>-33554.959153080003</v>
          </cell>
          <cell r="P4">
            <v>-38660.578481520002</v>
          </cell>
          <cell r="Q4">
            <v>-43964.421722489999</v>
          </cell>
          <cell r="R4">
            <v>-49512.03544277</v>
          </cell>
          <cell r="S4">
            <v>-54988.019102749997</v>
          </cell>
          <cell r="U4">
            <v>0</v>
          </cell>
          <cell r="V4">
            <v>-54988.019102749997</v>
          </cell>
        </row>
        <row r="5">
          <cell r="A5" t="str">
            <v>110001</v>
          </cell>
          <cell r="B5" t="str">
            <v xml:space="preserve">Interest Income -  Protect </v>
          </cell>
          <cell r="C5" t="str">
            <v>Revenue</v>
          </cell>
          <cell r="D5">
            <v>0</v>
          </cell>
          <cell r="E5">
            <v>-10.527102299999999</v>
          </cell>
          <cell r="F5">
            <v>-634.38140639000005</v>
          </cell>
          <cell r="G5">
            <v>-1388.0162448399999</v>
          </cell>
          <cell r="H5">
            <v>-35.735232000000003</v>
          </cell>
          <cell r="I5">
            <v>-175.53970971999999</v>
          </cell>
          <cell r="J5">
            <v>-181.26242972</v>
          </cell>
          <cell r="K5">
            <v>-406.19476272000003</v>
          </cell>
          <cell r="L5">
            <v>-454.76769472000001</v>
          </cell>
          <cell r="M5">
            <v>-459.88337971999999</v>
          </cell>
          <cell r="N5">
            <v>-462.36598171999998</v>
          </cell>
          <cell r="O5">
            <v>-462.36598171999998</v>
          </cell>
          <cell r="P5">
            <v>-462.36598171999998</v>
          </cell>
          <cell r="Q5">
            <v>-462.36598171999998</v>
          </cell>
          <cell r="R5">
            <v>-462.36598171999998</v>
          </cell>
          <cell r="S5">
            <v>-462.36598171999998</v>
          </cell>
          <cell r="U5">
            <v>0</v>
          </cell>
          <cell r="V5">
            <v>-462.36598171999998</v>
          </cell>
        </row>
        <row r="6">
          <cell r="A6" t="str">
            <v>110010</v>
          </cell>
          <cell r="B6" t="str">
            <v>Interest Income - Settlement Borrow</v>
          </cell>
          <cell r="C6" t="str">
            <v>Revenue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U6">
            <v>0</v>
          </cell>
          <cell r="V6">
            <v>0</v>
          </cell>
        </row>
        <row r="7">
          <cell r="A7" t="str">
            <v>110011</v>
          </cell>
          <cell r="B7" t="str">
            <v>Interest Income - Settlement Protect</v>
          </cell>
          <cell r="C7" t="str">
            <v>Revenue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</row>
        <row r="8">
          <cell r="A8" t="str">
            <v>110020</v>
          </cell>
          <cell r="B8" t="str">
            <v>Interest Income - Non Performing Loans Borrow</v>
          </cell>
          <cell r="C8" t="str">
            <v>Revenue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</row>
        <row r="9">
          <cell r="A9" t="str">
            <v>110021</v>
          </cell>
          <cell r="B9" t="str">
            <v>Interest Income - Non Performing Loans - Protect</v>
          </cell>
          <cell r="C9" t="str">
            <v>Revenue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</row>
        <row r="10">
          <cell r="A10" t="str">
            <v>110030</v>
          </cell>
          <cell r="B10" t="str">
            <v>Interest Income - Shadow - Borrow</v>
          </cell>
          <cell r="C10" t="str">
            <v>Revenue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</row>
        <row r="11">
          <cell r="A11" t="str">
            <v>110040</v>
          </cell>
          <cell r="B11" t="str">
            <v>Interest Income From Intercompany Loan</v>
          </cell>
          <cell r="C11" t="str">
            <v>Revenue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</row>
        <row r="12">
          <cell r="A12" t="str">
            <v>119999</v>
          </cell>
          <cell r="B12" t="str">
            <v>Interest Accrual Income Statement</v>
          </cell>
          <cell r="C12" t="str">
            <v>Revenue</v>
          </cell>
          <cell r="D12">
            <v>0</v>
          </cell>
          <cell r="E12">
            <v>0</v>
          </cell>
          <cell r="F12">
            <v>0</v>
          </cell>
          <cell r="G12">
            <v>-6682.4037358699998</v>
          </cell>
          <cell r="H12">
            <v>-4294.9048063199998</v>
          </cell>
          <cell r="I12">
            <v>-7955.2500508700005</v>
          </cell>
          <cell r="J12">
            <v>-12326.47757537</v>
          </cell>
          <cell r="K12">
            <v>-15744.482860370001</v>
          </cell>
          <cell r="L12">
            <v>-19221.296036110001</v>
          </cell>
          <cell r="M12">
            <v>-22983.029758029999</v>
          </cell>
          <cell r="N12">
            <v>-27606.380467930001</v>
          </cell>
          <cell r="O12">
            <v>-32319.252770530002</v>
          </cell>
          <cell r="P12">
            <v>-37138.48750209</v>
          </cell>
          <cell r="Q12">
            <v>-41900.042834289998</v>
          </cell>
          <cell r="R12">
            <v>-46787.00961501</v>
          </cell>
          <cell r="S12">
            <v>-52509.099318660003</v>
          </cell>
          <cell r="U12">
            <v>0</v>
          </cell>
          <cell r="V12">
            <v>-52509.099318660003</v>
          </cell>
        </row>
        <row r="13">
          <cell r="A13" t="str">
            <v>120000</v>
          </cell>
          <cell r="B13" t="str">
            <v>Interest Income - I&amp;M Bank Fixed Deposit</v>
          </cell>
          <cell r="C13" t="str">
            <v>Revenue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-264.40697399999999</v>
          </cell>
          <cell r="I13">
            <v>-497.90470399999998</v>
          </cell>
          <cell r="J13">
            <v>-748.35741399999995</v>
          </cell>
          <cell r="K13">
            <v>-982.79790300000002</v>
          </cell>
          <cell r="L13">
            <v>-1220.4153229999999</v>
          </cell>
          <cell r="M13">
            <v>-1454.577088</v>
          </cell>
          <cell r="N13">
            <v>-1686.1059729999999</v>
          </cell>
          <cell r="O13">
            <v>-1912.7969410000001</v>
          </cell>
          <cell r="P13">
            <v>-2134.880369</v>
          </cell>
          <cell r="Q13">
            <v>-3935.4752309999999</v>
          </cell>
          <cell r="R13">
            <v>-5785.2853279999999</v>
          </cell>
          <cell r="S13">
            <v>-7629.5005549999996</v>
          </cell>
          <cell r="U13">
            <v>0</v>
          </cell>
          <cell r="V13">
            <v>-7629.5005549999996</v>
          </cell>
        </row>
        <row r="14">
          <cell r="A14" t="str">
            <v>120200</v>
          </cell>
          <cell r="B14" t="str">
            <v>Interest Income - Other</v>
          </cell>
          <cell r="C14" t="str">
            <v>Revenue</v>
          </cell>
          <cell r="D14">
            <v>0</v>
          </cell>
          <cell r="E14">
            <v>0</v>
          </cell>
          <cell r="F14">
            <v>-152.72315024</v>
          </cell>
          <cell r="G14">
            <v>-97.899702000000005</v>
          </cell>
          <cell r="H14">
            <v>0</v>
          </cell>
          <cell r="I14">
            <v>-0.73051500000000003</v>
          </cell>
          <cell r="J14">
            <v>-0.73051500000000003</v>
          </cell>
          <cell r="K14">
            <v>-0.73051500000000003</v>
          </cell>
          <cell r="L14">
            <v>-0.73051500000000003</v>
          </cell>
          <cell r="M14">
            <v>-0.73051500000000003</v>
          </cell>
          <cell r="N14">
            <v>-0.73051500000000003</v>
          </cell>
          <cell r="O14">
            <v>-0.73051500000000003</v>
          </cell>
          <cell r="P14">
            <v>-0.73051500000000003</v>
          </cell>
          <cell r="Q14">
            <v>-0.73051500000000003</v>
          </cell>
          <cell r="R14">
            <v>-0.73051500000000003</v>
          </cell>
          <cell r="S14">
            <v>-0.73051500000000003</v>
          </cell>
          <cell r="U14">
            <v>0</v>
          </cell>
          <cell r="V14">
            <v>-0.73051500000000003</v>
          </cell>
        </row>
        <row r="15">
          <cell r="A15" t="str">
            <v>140000</v>
          </cell>
          <cell r="B15" t="str">
            <v>Fee Income - Pay Fee</v>
          </cell>
          <cell r="C15" t="str">
            <v>Revenue</v>
          </cell>
          <cell r="D15">
            <v>0</v>
          </cell>
          <cell r="E15">
            <v>0</v>
          </cell>
          <cell r="F15">
            <v>-6795.5231993799998</v>
          </cell>
          <cell r="G15">
            <v>-16008.199091910001</v>
          </cell>
          <cell r="H15">
            <v>-1617.5028947000001</v>
          </cell>
          <cell r="I15">
            <v>-3253.41453955</v>
          </cell>
          <cell r="J15">
            <v>-5552.93119295</v>
          </cell>
          <cell r="K15">
            <v>-8352.53721262</v>
          </cell>
          <cell r="L15">
            <v>-11233.28499642</v>
          </cell>
          <cell r="M15">
            <v>-15175.837781509999</v>
          </cell>
          <cell r="N15">
            <v>-20221.935182149999</v>
          </cell>
          <cell r="O15">
            <v>-25483.848861639999</v>
          </cell>
          <cell r="P15">
            <v>-30310.05926374</v>
          </cell>
          <cell r="Q15">
            <v>-36652.745684150002</v>
          </cell>
          <cell r="R15">
            <v>-42699.535240860001</v>
          </cell>
          <cell r="S15">
            <v>-49253.1958849</v>
          </cell>
          <cell r="U15">
            <v>0</v>
          </cell>
          <cell r="V15">
            <v>-49253.1958849</v>
          </cell>
        </row>
        <row r="16">
          <cell r="A16" t="str">
            <v>140101</v>
          </cell>
          <cell r="B16" t="str">
            <v>Fee Income – Monthly Maintenance Fees</v>
          </cell>
          <cell r="C16" t="str">
            <v>Revenue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</row>
        <row r="17">
          <cell r="A17" t="str">
            <v>140102</v>
          </cell>
          <cell r="B17" t="str">
            <v>Fee Income – Account Opening Fees</v>
          </cell>
          <cell r="C17" t="str">
            <v>Revenue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</row>
        <row r="18">
          <cell r="A18" t="str">
            <v>140103</v>
          </cell>
          <cell r="B18" t="str">
            <v>Fee Income – Withdraw Fees</v>
          </cell>
          <cell r="C18" t="str">
            <v>Revenue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</row>
        <row r="19">
          <cell r="A19" t="str">
            <v>140104</v>
          </cell>
          <cell r="B19" t="str">
            <v>Fee Income – Monthly Statement Fees</v>
          </cell>
          <cell r="C19" t="str">
            <v>Revenue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</row>
        <row r="20">
          <cell r="A20" t="str">
            <v>140105</v>
          </cell>
          <cell r="B20" t="str">
            <v>Fee Income – Closure of Account fees</v>
          </cell>
          <cell r="C20" t="str">
            <v>Revenue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</row>
        <row r="21">
          <cell r="A21" t="str">
            <v>140202</v>
          </cell>
          <cell r="B21" t="str">
            <v>Fee Income - Loan Processing Fee</v>
          </cell>
          <cell r="C21" t="str">
            <v>Revenue</v>
          </cell>
          <cell r="D21">
            <v>0</v>
          </cell>
          <cell r="E21">
            <v>0</v>
          </cell>
          <cell r="F21">
            <v>-211.88680454000001</v>
          </cell>
          <cell r="G21">
            <v>-12035.017605839999</v>
          </cell>
          <cell r="H21">
            <v>-951.04644630999996</v>
          </cell>
          <cell r="I21">
            <v>-2091.14729089</v>
          </cell>
          <cell r="J21">
            <v>-3552.1580587499998</v>
          </cell>
          <cell r="K21">
            <v>-5216.5434788000002</v>
          </cell>
          <cell r="L21">
            <v>-6659.9887497899999</v>
          </cell>
          <cell r="M21">
            <v>-8583.0649697400004</v>
          </cell>
          <cell r="N21">
            <v>-10009.914098290001</v>
          </cell>
          <cell r="O21">
            <v>-12947.59488789</v>
          </cell>
          <cell r="P21">
            <v>-15451.560899550001</v>
          </cell>
          <cell r="Q21">
            <v>-17891.943092109999</v>
          </cell>
          <cell r="R21">
            <v>-20387.97052033</v>
          </cell>
          <cell r="S21">
            <v>-23561.401943770001</v>
          </cell>
          <cell r="U21">
            <v>0</v>
          </cell>
          <cell r="V21">
            <v>-23561.401943770001</v>
          </cell>
        </row>
        <row r="22">
          <cell r="A22" t="str">
            <v>140203</v>
          </cell>
          <cell r="B22" t="str">
            <v>Broken period Interest</v>
          </cell>
          <cell r="C22" t="str">
            <v>Revenue</v>
          </cell>
          <cell r="D22">
            <v>0</v>
          </cell>
          <cell r="E22">
            <v>0</v>
          </cell>
          <cell r="F22">
            <v>-100.01340198</v>
          </cell>
          <cell r="G22">
            <v>-10694.4621764</v>
          </cell>
          <cell r="H22">
            <v>-804.68917252999995</v>
          </cell>
          <cell r="I22">
            <v>-1655.5138301500001</v>
          </cell>
          <cell r="J22">
            <v>-2783.1277164600001</v>
          </cell>
          <cell r="K22">
            <v>-4575.8407408900002</v>
          </cell>
          <cell r="L22">
            <v>-6020.3830885199995</v>
          </cell>
          <cell r="M22">
            <v>-8107.8924425100004</v>
          </cell>
          <cell r="N22">
            <v>-9713.9397167499992</v>
          </cell>
          <cell r="O22">
            <v>-11956.5399464</v>
          </cell>
          <cell r="P22">
            <v>-14548.31131264</v>
          </cell>
          <cell r="Q22">
            <v>-16824.771256920001</v>
          </cell>
          <cell r="R22">
            <v>-19249.330238080001</v>
          </cell>
          <cell r="S22">
            <v>-22938.19853292</v>
          </cell>
          <cell r="U22">
            <v>0</v>
          </cell>
          <cell r="V22">
            <v>-22938.19853292</v>
          </cell>
        </row>
        <row r="23">
          <cell r="A23" t="str">
            <v>140204</v>
          </cell>
          <cell r="B23" t="str">
            <v>Income - Credit Life (Borrow)</v>
          </cell>
          <cell r="C23" t="str">
            <v>Revenue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-13.75788144</v>
          </cell>
          <cell r="S23">
            <v>-13.75788144</v>
          </cell>
          <cell r="U23">
            <v>0</v>
          </cell>
          <cell r="V23">
            <v>-13.75788144</v>
          </cell>
        </row>
        <row r="24">
          <cell r="A24" t="str">
            <v>140207</v>
          </cell>
          <cell r="B24" t="str">
            <v>Fee Income - Service Fees</v>
          </cell>
          <cell r="C24" t="str">
            <v>Revenue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0</v>
          </cell>
          <cell r="V24">
            <v>0</v>
          </cell>
        </row>
        <row r="25">
          <cell r="A25" t="str">
            <v>140300</v>
          </cell>
          <cell r="B25" t="str">
            <v>Fee Income - Protect Funeral</v>
          </cell>
          <cell r="C25" t="str">
            <v>Revenue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</row>
        <row r="26">
          <cell r="A26" t="str">
            <v>160000</v>
          </cell>
          <cell r="B26" t="str">
            <v>Commission Income - Funeral Policy Commission</v>
          </cell>
          <cell r="C26" t="str">
            <v>Revenue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</row>
        <row r="27">
          <cell r="A27" t="str">
            <v>160010</v>
          </cell>
          <cell r="B27" t="str">
            <v>Commission Income - Medical Policy Commission</v>
          </cell>
          <cell r="C27" t="str">
            <v>Revenue</v>
          </cell>
          <cell r="D27">
            <v>0</v>
          </cell>
          <cell r="E27">
            <v>0</v>
          </cell>
          <cell r="F27">
            <v>-846.52443155000003</v>
          </cell>
          <cell r="G27">
            <v>-1139.8020534</v>
          </cell>
          <cell r="H27">
            <v>0</v>
          </cell>
          <cell r="I27">
            <v>-523.05139199999996</v>
          </cell>
          <cell r="J27">
            <v>-523.05139199999996</v>
          </cell>
          <cell r="K27">
            <v>-523.05139199999996</v>
          </cell>
          <cell r="L27">
            <v>-523.05139199999996</v>
          </cell>
          <cell r="M27">
            <v>-523.05139199999996</v>
          </cell>
          <cell r="N27">
            <v>-523.05139199999996</v>
          </cell>
          <cell r="O27">
            <v>-523.05139199999996</v>
          </cell>
          <cell r="P27">
            <v>-523.05139199999996</v>
          </cell>
          <cell r="Q27">
            <v>-523.05139199999996</v>
          </cell>
          <cell r="R27">
            <v>-523.05139199999996</v>
          </cell>
          <cell r="S27">
            <v>-523.05139199999996</v>
          </cell>
          <cell r="U27">
            <v>0</v>
          </cell>
          <cell r="V27">
            <v>-523.05139199999996</v>
          </cell>
        </row>
        <row r="28">
          <cell r="A28" t="str">
            <v>160020</v>
          </cell>
          <cell r="B28" t="str">
            <v>Commission Income - Vehicle Policy Commission</v>
          </cell>
          <cell r="C28" t="str">
            <v>Revenue</v>
          </cell>
          <cell r="D28">
            <v>0</v>
          </cell>
          <cell r="E28">
            <v>0</v>
          </cell>
          <cell r="F28">
            <v>0</v>
          </cell>
          <cell r="G28">
            <v>-44.144029099999997</v>
          </cell>
          <cell r="H28">
            <v>-44.745250800000001</v>
          </cell>
          <cell r="I28">
            <v>-44.745250800000001</v>
          </cell>
          <cell r="J28">
            <v>-44.745250800000001</v>
          </cell>
          <cell r="K28">
            <v>-44.745250800000001</v>
          </cell>
          <cell r="L28">
            <v>-44.745250800000001</v>
          </cell>
          <cell r="M28">
            <v>-44.745250800000001</v>
          </cell>
          <cell r="N28">
            <v>-152.6591828</v>
          </cell>
          <cell r="O28">
            <v>-152.6591828</v>
          </cell>
          <cell r="P28">
            <v>-152.6591828</v>
          </cell>
          <cell r="Q28">
            <v>-152.6591828</v>
          </cell>
          <cell r="R28">
            <v>-152.6591828</v>
          </cell>
          <cell r="S28">
            <v>-152.6591828</v>
          </cell>
          <cell r="U28">
            <v>0</v>
          </cell>
          <cell r="V28">
            <v>-152.6591828</v>
          </cell>
        </row>
        <row r="29">
          <cell r="A29" t="str">
            <v>160030</v>
          </cell>
          <cell r="B29" t="str">
            <v>Commission Income - Insurance Agent</v>
          </cell>
          <cell r="C29" t="str">
            <v>Revenue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-3.5065000000000001E-3</v>
          </cell>
          <cell r="O29">
            <v>-217.91779986</v>
          </cell>
          <cell r="P29">
            <v>-370.40334823000001</v>
          </cell>
          <cell r="Q29">
            <v>-516.18321996999998</v>
          </cell>
          <cell r="R29">
            <v>-696.15514079000002</v>
          </cell>
          <cell r="S29">
            <v>-895.88634578000006</v>
          </cell>
          <cell r="U29">
            <v>0</v>
          </cell>
          <cell r="V29">
            <v>-895.88634578000006</v>
          </cell>
        </row>
        <row r="30">
          <cell r="A30" t="str">
            <v>170000</v>
          </cell>
          <cell r="B30" t="str">
            <v>Airtime Commission - Safaricom</v>
          </cell>
          <cell r="C30" t="str">
            <v>Revenue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</row>
        <row r="31">
          <cell r="A31" t="str">
            <v>170001</v>
          </cell>
          <cell r="B31" t="str">
            <v>Airtime Commission - Telkom</v>
          </cell>
          <cell r="C31" t="str">
            <v>Revenue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</row>
        <row r="32">
          <cell r="A32" t="str">
            <v>170002</v>
          </cell>
          <cell r="B32" t="str">
            <v>Airtime Commission - Airtel Prepaid</v>
          </cell>
          <cell r="C32" t="str">
            <v>Revenue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</row>
        <row r="33">
          <cell r="A33" t="str">
            <v>170003</v>
          </cell>
          <cell r="B33" t="str">
            <v>Airtime Commission - Airtel Postpaid</v>
          </cell>
          <cell r="C33" t="str">
            <v>Revenue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</row>
        <row r="34">
          <cell r="A34" t="str">
            <v>170004</v>
          </cell>
          <cell r="B34" t="str">
            <v>Airtime Commission - Equitel</v>
          </cell>
          <cell r="C34" t="str">
            <v>Revenue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</row>
        <row r="35">
          <cell r="A35" t="str">
            <v>170005</v>
          </cell>
          <cell r="B35" t="str">
            <v>Airtime Commission - JTL</v>
          </cell>
          <cell r="C35" t="str">
            <v>Revenue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</row>
        <row r="36">
          <cell r="A36" t="str">
            <v>170020</v>
          </cell>
          <cell r="B36" t="str">
            <v>Electricity Commission - Prepaid</v>
          </cell>
          <cell r="C36" t="str">
            <v>Revenue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</row>
        <row r="37">
          <cell r="A37" t="str">
            <v>170021</v>
          </cell>
          <cell r="B37" t="str">
            <v>Electricity Commission - Postpaid</v>
          </cell>
          <cell r="C37" t="str">
            <v>Revenue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</row>
        <row r="38">
          <cell r="A38" t="str">
            <v>170030</v>
          </cell>
          <cell r="B38" t="str">
            <v>KASNEB Commission</v>
          </cell>
          <cell r="C38" t="str">
            <v>Revenue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</row>
        <row r="39">
          <cell r="A39" t="str">
            <v>170040</v>
          </cell>
          <cell r="B39" t="str">
            <v>Water Commission Nairobi</v>
          </cell>
          <cell r="C39" t="str">
            <v>Revenue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</row>
        <row r="40">
          <cell r="A40" t="str">
            <v>170041</v>
          </cell>
          <cell r="B40" t="str">
            <v>Water Commission Kisumu</v>
          </cell>
          <cell r="C40" t="str">
            <v>Revenue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</row>
        <row r="41">
          <cell r="A41" t="str">
            <v>170050</v>
          </cell>
          <cell r="B41" t="str">
            <v>DSTV Commission</v>
          </cell>
          <cell r="C41" t="str">
            <v>Revenue</v>
          </cell>
          <cell r="D41">
            <v>0</v>
          </cell>
          <cell r="E41">
            <v>0</v>
          </cell>
          <cell r="F41">
            <v>0</v>
          </cell>
          <cell r="G41">
            <v>-0.18337500000000001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</row>
        <row r="42">
          <cell r="A42" t="str">
            <v>170051</v>
          </cell>
          <cell r="B42" t="str">
            <v>Zuku TV Commission</v>
          </cell>
          <cell r="C42" t="str">
            <v>Revenue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</row>
        <row r="43">
          <cell r="A43" t="str">
            <v>170052</v>
          </cell>
          <cell r="B43" t="str">
            <v>GoTV Commission</v>
          </cell>
          <cell r="C43" t="str">
            <v>Revenue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</row>
        <row r="44">
          <cell r="A44" t="str">
            <v>170053</v>
          </cell>
          <cell r="B44" t="str">
            <v>Star Times Commission</v>
          </cell>
          <cell r="C44" t="str">
            <v>Revenue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U44">
            <v>0</v>
          </cell>
          <cell r="V44">
            <v>0</v>
          </cell>
        </row>
        <row r="45">
          <cell r="A45" t="str">
            <v>170060</v>
          </cell>
          <cell r="B45" t="str">
            <v>Zuku Internet Commission</v>
          </cell>
          <cell r="C45" t="str">
            <v>Revenue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U45">
            <v>0</v>
          </cell>
          <cell r="V45">
            <v>0</v>
          </cell>
        </row>
        <row r="46">
          <cell r="A46" t="str">
            <v>170061</v>
          </cell>
          <cell r="B46" t="str">
            <v>JTL Internet Commission</v>
          </cell>
          <cell r="C46" t="str">
            <v>Revenue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</row>
        <row r="47">
          <cell r="A47" t="str">
            <v>170500</v>
          </cell>
          <cell r="B47" t="str">
            <v>Commission Income - Aggregator - iPay</v>
          </cell>
          <cell r="C47" t="str">
            <v>Revenue</v>
          </cell>
          <cell r="D47">
            <v>0</v>
          </cell>
          <cell r="E47">
            <v>0</v>
          </cell>
          <cell r="F47">
            <v>-48.719736990000001</v>
          </cell>
          <cell r="G47">
            <v>-69.283388779999996</v>
          </cell>
          <cell r="H47">
            <v>-4.3193093400000002</v>
          </cell>
          <cell r="I47">
            <v>-8.8988988199999994</v>
          </cell>
          <cell r="J47">
            <v>-11.548926959999999</v>
          </cell>
          <cell r="K47">
            <v>-15.594773590000001</v>
          </cell>
          <cell r="L47">
            <v>-23.03821795</v>
          </cell>
          <cell r="M47">
            <v>-26.839646630000001</v>
          </cell>
          <cell r="N47">
            <v>-26.839646630000001</v>
          </cell>
          <cell r="O47">
            <v>-26.839646630000001</v>
          </cell>
          <cell r="P47">
            <v>-31.137887589999998</v>
          </cell>
          <cell r="Q47">
            <v>-35.67720345</v>
          </cell>
          <cell r="R47">
            <v>-40.893165379999999</v>
          </cell>
          <cell r="S47">
            <v>-46.007165000000001</v>
          </cell>
          <cell r="U47">
            <v>0</v>
          </cell>
          <cell r="V47">
            <v>-46.007165000000001</v>
          </cell>
        </row>
        <row r="48">
          <cell r="A48" t="str">
            <v>170501</v>
          </cell>
          <cell r="B48" t="str">
            <v>Commission Income - Aggregators - PayKonnect</v>
          </cell>
          <cell r="C48" t="str">
            <v>Revenue</v>
          </cell>
          <cell r="D48">
            <v>0</v>
          </cell>
          <cell r="E48">
            <v>0</v>
          </cell>
          <cell r="F48">
            <v>-8.6394832400000006</v>
          </cell>
          <cell r="G48">
            <v>-6.3171590899999996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</row>
        <row r="49">
          <cell r="A49" t="str">
            <v>180200</v>
          </cell>
          <cell r="B49" t="str">
            <v>Other Income</v>
          </cell>
          <cell r="C49" t="str">
            <v>Revenue</v>
          </cell>
          <cell r="D49">
            <v>0</v>
          </cell>
          <cell r="E49">
            <v>-2467.1845800000001</v>
          </cell>
          <cell r="F49">
            <v>0</v>
          </cell>
          <cell r="G49">
            <v>-15119.59265291</v>
          </cell>
          <cell r="H49">
            <v>-16.182274289999999</v>
          </cell>
          <cell r="I49">
            <v>-16.182274289999999</v>
          </cell>
          <cell r="J49">
            <v>-182.63161989</v>
          </cell>
          <cell r="K49">
            <v>-182.63161989</v>
          </cell>
          <cell r="L49">
            <v>-182.63161989</v>
          </cell>
          <cell r="M49">
            <v>-182.63161989</v>
          </cell>
          <cell r="N49">
            <v>-182.63161989</v>
          </cell>
          <cell r="O49">
            <v>-182.63161989</v>
          </cell>
          <cell r="P49">
            <v>-182.63161989</v>
          </cell>
          <cell r="Q49">
            <v>-182.63161989</v>
          </cell>
          <cell r="R49">
            <v>-182.63161989</v>
          </cell>
          <cell r="S49">
            <v>-182.63161989</v>
          </cell>
          <cell r="U49">
            <v>0</v>
          </cell>
          <cell r="V49">
            <v>-182.63161989</v>
          </cell>
        </row>
        <row r="50">
          <cell r="A50" t="str">
            <v>180201</v>
          </cell>
          <cell r="B50" t="str">
            <v>Foreign exchange gain</v>
          </cell>
          <cell r="C50" t="str">
            <v>Revenue</v>
          </cell>
          <cell r="D50">
            <v>0</v>
          </cell>
          <cell r="E50">
            <v>-67.619370000000004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</row>
        <row r="51">
          <cell r="A51" t="str">
            <v>180205</v>
          </cell>
          <cell r="B51" t="str">
            <v>Min Partnership Charge</v>
          </cell>
          <cell r="C51" t="str">
            <v>Revenue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-3500</v>
          </cell>
          <cell r="K51">
            <v>-7000</v>
          </cell>
          <cell r="L51">
            <v>-10500</v>
          </cell>
          <cell r="M51">
            <v>-14000</v>
          </cell>
          <cell r="N51">
            <v>-17500</v>
          </cell>
          <cell r="O51">
            <v>-21000</v>
          </cell>
          <cell r="P51">
            <v>-24500</v>
          </cell>
          <cell r="Q51">
            <v>-28000</v>
          </cell>
          <cell r="R51">
            <v>-31500</v>
          </cell>
          <cell r="S51">
            <v>-35000</v>
          </cell>
          <cell r="U51">
            <v>-35000</v>
          </cell>
          <cell r="V51">
            <v>0</v>
          </cell>
        </row>
        <row r="52">
          <cell r="A52" t="str">
            <v>190020</v>
          </cell>
          <cell r="B52" t="str">
            <v>Write Off- recoveries</v>
          </cell>
          <cell r="C52" t="str">
            <v>Revenue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-269.62</v>
          </cell>
          <cell r="J52">
            <v>-307.935</v>
          </cell>
          <cell r="K52">
            <v>-381.65499999999997</v>
          </cell>
          <cell r="L52">
            <v>-454.85500000000002</v>
          </cell>
          <cell r="M52">
            <v>-490.6191</v>
          </cell>
          <cell r="N52">
            <v>-490.6191</v>
          </cell>
          <cell r="O52">
            <v>-539.66110000000003</v>
          </cell>
          <cell r="P52">
            <v>-539.66110000000003</v>
          </cell>
          <cell r="Q52">
            <v>-573.24109999999996</v>
          </cell>
          <cell r="R52">
            <v>-573.24109999999996</v>
          </cell>
          <cell r="S52">
            <v>-573.24109999999996</v>
          </cell>
          <cell r="U52">
            <v>0</v>
          </cell>
          <cell r="V52">
            <v>-573.24109999999996</v>
          </cell>
        </row>
        <row r="53">
          <cell r="A53" t="str">
            <v>190030</v>
          </cell>
          <cell r="B53" t="str">
            <v>Reimbursement of expenses</v>
          </cell>
          <cell r="C53" t="str">
            <v>Revenue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</row>
        <row r="54">
          <cell r="A54" t="str">
            <v>190040</v>
          </cell>
          <cell r="B54" t="str">
            <v>Grant Income</v>
          </cell>
          <cell r="C54" t="str">
            <v>Revenue</v>
          </cell>
          <cell r="D54">
            <v>0</v>
          </cell>
          <cell r="E54">
            <v>-13624.5</v>
          </cell>
          <cell r="F54">
            <v>-100000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</row>
        <row r="55">
          <cell r="A55" t="str">
            <v>200000</v>
          </cell>
          <cell r="B55" t="str">
            <v>Interest Expense - I&amp;M Bank Loan Facility</v>
          </cell>
          <cell r="C55" t="str">
            <v>Expense</v>
          </cell>
          <cell r="D55">
            <v>0</v>
          </cell>
          <cell r="E55">
            <v>0</v>
          </cell>
          <cell r="F55">
            <v>0</v>
          </cell>
          <cell r="G55">
            <v>4140.1439059499999</v>
          </cell>
          <cell r="H55">
            <v>331.69927596000002</v>
          </cell>
          <cell r="I55">
            <v>631.72100095999997</v>
          </cell>
          <cell r="J55">
            <v>1008.64335611</v>
          </cell>
          <cell r="K55">
            <v>1317.20023631</v>
          </cell>
          <cell r="L55">
            <v>1996.93695551</v>
          </cell>
          <cell r="M55">
            <v>3150.9612109099999</v>
          </cell>
          <cell r="N55">
            <v>4318.2980405099997</v>
          </cell>
          <cell r="O55">
            <v>5358.3353448300004</v>
          </cell>
          <cell r="P55">
            <v>5895.0282800699997</v>
          </cell>
          <cell r="Q55">
            <v>6816.6677832699997</v>
          </cell>
          <cell r="R55">
            <v>7819.6509216000004</v>
          </cell>
          <cell r="S55">
            <v>10174.408064519999</v>
          </cell>
          <cell r="U55">
            <v>0</v>
          </cell>
          <cell r="V55">
            <v>10174.408064519999</v>
          </cell>
        </row>
        <row r="56">
          <cell r="A56" t="str">
            <v>200100</v>
          </cell>
          <cell r="B56" t="str">
            <v>Interest Expense - JP Morgan Chase Credit Card</v>
          </cell>
          <cell r="C56" t="str">
            <v>Expense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</row>
        <row r="57">
          <cell r="A57" t="str">
            <v>200200</v>
          </cell>
          <cell r="B57" t="str">
            <v>Interest Expense - Shareholders Loan</v>
          </cell>
          <cell r="C57" t="str">
            <v>Expense</v>
          </cell>
          <cell r="D57">
            <v>0</v>
          </cell>
          <cell r="E57">
            <v>0</v>
          </cell>
          <cell r="F57">
            <v>8707</v>
          </cell>
          <cell r="G57">
            <v>11789.96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</row>
        <row r="58">
          <cell r="A58" t="str">
            <v>200300</v>
          </cell>
          <cell r="B58" t="str">
            <v>Interest Expense - Other</v>
          </cell>
          <cell r="C58" t="str">
            <v>Expense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</row>
        <row r="59">
          <cell r="A59" t="str">
            <v>200400</v>
          </cell>
          <cell r="B59" t="str">
            <v>Interest Expense - Intercompany Loan</v>
          </cell>
          <cell r="C59" t="str">
            <v>Expense</v>
          </cell>
          <cell r="D59">
            <v>0</v>
          </cell>
          <cell r="E59">
            <v>0</v>
          </cell>
          <cell r="F59">
            <v>2015.5846039999999</v>
          </cell>
          <cell r="G59">
            <v>8899.9637860000003</v>
          </cell>
          <cell r="H59">
            <v>4611.0259260000003</v>
          </cell>
          <cell r="I59">
            <v>9776.4189409999999</v>
          </cell>
          <cell r="J59">
            <v>15857.860215999999</v>
          </cell>
          <cell r="K59">
            <v>21939.519163000001</v>
          </cell>
          <cell r="L59">
            <v>27094.599162999999</v>
          </cell>
          <cell r="M59">
            <v>33426.949162999997</v>
          </cell>
          <cell r="N59">
            <v>40136.054834000002</v>
          </cell>
          <cell r="O59">
            <v>47299.574833999999</v>
          </cell>
          <cell r="P59">
            <v>54879.825918000002</v>
          </cell>
          <cell r="Q59">
            <v>62892.094797999998</v>
          </cell>
          <cell r="R59">
            <v>69232.207206999999</v>
          </cell>
          <cell r="S59">
            <v>75407.187225999995</v>
          </cell>
          <cell r="U59">
            <v>0</v>
          </cell>
          <cell r="V59">
            <v>75407.187225999995</v>
          </cell>
        </row>
        <row r="60">
          <cell r="A60" t="str">
            <v>210000</v>
          </cell>
          <cell r="B60" t="str">
            <v>Interest Charged Incorrectly Loans</v>
          </cell>
          <cell r="C60" t="str">
            <v>Expense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U60">
            <v>0</v>
          </cell>
          <cell r="V60">
            <v>0</v>
          </cell>
        </row>
        <row r="61">
          <cell r="A61" t="str">
            <v>210010</v>
          </cell>
          <cell r="B61" t="str">
            <v>Interest Capitalized to customers</v>
          </cell>
          <cell r="C61" t="str">
            <v>Expense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U61">
            <v>0</v>
          </cell>
          <cell r="V61">
            <v>0</v>
          </cell>
        </row>
        <row r="62">
          <cell r="A62" t="str">
            <v>210020</v>
          </cell>
          <cell r="B62" t="str">
            <v>Interest Expense on Customer Deposits - Save Accounts</v>
          </cell>
          <cell r="C62" t="str">
            <v>Expense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</row>
        <row r="63">
          <cell r="A63" t="str">
            <v>210030</v>
          </cell>
          <cell r="B63" t="str">
            <v>Interest Expense on Customer Deposits - Fixed Deposit Accounts</v>
          </cell>
          <cell r="C63" t="str">
            <v>Expense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U63">
            <v>0</v>
          </cell>
          <cell r="V63">
            <v>0</v>
          </cell>
        </row>
        <row r="64">
          <cell r="A64" t="str">
            <v>210040</v>
          </cell>
          <cell r="B64" t="str">
            <v>Interest Expense on Customer Deposits - Daily Accrual - Save Accounts Interest expense</v>
          </cell>
          <cell r="C64" t="str">
            <v>Expense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</row>
        <row r="65">
          <cell r="A65" t="str">
            <v>210050</v>
          </cell>
          <cell r="B65" t="str">
            <v>Interest Expense on Customer Deposits - Daily Accrual - Fixed Deposit Accounts Interest expense</v>
          </cell>
          <cell r="C65" t="str">
            <v>Expense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</row>
        <row r="66">
          <cell r="A66" t="str">
            <v>210060</v>
          </cell>
          <cell r="B66" t="str">
            <v>Interest paid to customers - daily accrual</v>
          </cell>
          <cell r="C66" t="str">
            <v>Expense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</row>
        <row r="67">
          <cell r="A67" t="str">
            <v>220000</v>
          </cell>
          <cell r="B67" t="str">
            <v>Impairment Expense - Pay Portfolio</v>
          </cell>
          <cell r="C67" t="str">
            <v>Expense</v>
          </cell>
          <cell r="D67">
            <v>0</v>
          </cell>
          <cell r="E67">
            <v>0</v>
          </cell>
          <cell r="F67">
            <v>13399.311801</v>
          </cell>
          <cell r="G67">
            <v>3773.218194</v>
          </cell>
          <cell r="H67">
            <v>-13481.840512000001</v>
          </cell>
          <cell r="I67">
            <v>-11665.081126999999</v>
          </cell>
          <cell r="J67">
            <v>-13731.482227</v>
          </cell>
          <cell r="K67">
            <v>-12928.321389999999</v>
          </cell>
          <cell r="L67">
            <v>-12577.436610000001</v>
          </cell>
          <cell r="M67">
            <v>-12156.68397</v>
          </cell>
          <cell r="N67">
            <v>-11106.206700000001</v>
          </cell>
          <cell r="O67">
            <v>-8842.4875415999995</v>
          </cell>
          <cell r="P67">
            <v>-5880.1155416000001</v>
          </cell>
          <cell r="Q67">
            <v>1801.9205079999999</v>
          </cell>
          <cell r="R67">
            <v>4536.7335080000003</v>
          </cell>
          <cell r="S67">
            <v>12336.772508</v>
          </cell>
          <cell r="U67">
            <v>0</v>
          </cell>
          <cell r="V67">
            <v>12336.772508</v>
          </cell>
        </row>
        <row r="68">
          <cell r="A68" t="str">
            <v>220010</v>
          </cell>
          <cell r="B68" t="str">
            <v>Impairment Expense - Borrow Portfolio</v>
          </cell>
          <cell r="C68" t="str">
            <v>Expense</v>
          </cell>
          <cell r="D68">
            <v>0</v>
          </cell>
          <cell r="E68">
            <v>0</v>
          </cell>
          <cell r="F68">
            <v>825.96499700000004</v>
          </cell>
          <cell r="G68">
            <v>26691.606657</v>
          </cell>
          <cell r="H68">
            <v>-7707.6919360000002</v>
          </cell>
          <cell r="I68">
            <v>-8421.9156660000008</v>
          </cell>
          <cell r="J68">
            <v>-8189.6611860000003</v>
          </cell>
          <cell r="K68">
            <v>-6537.0670829999999</v>
          </cell>
          <cell r="L68">
            <v>-6062.6264430000001</v>
          </cell>
          <cell r="M68">
            <v>-3800.4050779999998</v>
          </cell>
          <cell r="N68">
            <v>-3311.2833930000002</v>
          </cell>
          <cell r="O68">
            <v>2688.1160466000001</v>
          </cell>
          <cell r="P68">
            <v>7472.4480466000005</v>
          </cell>
          <cell r="Q68">
            <v>9557.5089745999994</v>
          </cell>
          <cell r="R68">
            <v>11306.7449746</v>
          </cell>
          <cell r="S68">
            <v>15464.222974599999</v>
          </cell>
          <cell r="U68">
            <v>0</v>
          </cell>
          <cell r="V68">
            <v>15464.222974599999</v>
          </cell>
        </row>
        <row r="69">
          <cell r="A69" t="str">
            <v>220020</v>
          </cell>
          <cell r="B69" t="str">
            <v>Impairment Expense - Protect Portfolio</v>
          </cell>
          <cell r="C69" t="str">
            <v>Expense</v>
          </cell>
          <cell r="D69">
            <v>0</v>
          </cell>
          <cell r="E69">
            <v>0</v>
          </cell>
          <cell r="F69">
            <v>0</v>
          </cell>
          <cell r="G69">
            <v>1052.010822</v>
          </cell>
          <cell r="H69">
            <v>-138.32710399999999</v>
          </cell>
          <cell r="I69">
            <v>-138.32710399999999</v>
          </cell>
          <cell r="J69">
            <v>-138.32710399999999</v>
          </cell>
          <cell r="K69">
            <v>-138.32710399999999</v>
          </cell>
          <cell r="L69">
            <v>-277.77418399999999</v>
          </cell>
          <cell r="M69">
            <v>-284.76822900000002</v>
          </cell>
          <cell r="N69">
            <v>-440.37267300000002</v>
          </cell>
          <cell r="O69">
            <v>-440.37267300000002</v>
          </cell>
          <cell r="P69">
            <v>-440.37267300000002</v>
          </cell>
          <cell r="Q69">
            <v>-440.37267300000002</v>
          </cell>
          <cell r="R69">
            <v>63.922927999999999</v>
          </cell>
          <cell r="S69">
            <v>122.324687</v>
          </cell>
          <cell r="U69">
            <v>0</v>
          </cell>
          <cell r="V69">
            <v>122.324687</v>
          </cell>
        </row>
        <row r="70">
          <cell r="A70" t="str">
            <v>220100</v>
          </cell>
          <cell r="B70" t="str">
            <v>Write off - Pay</v>
          </cell>
          <cell r="C70" t="str">
            <v>Expense</v>
          </cell>
          <cell r="D70">
            <v>0</v>
          </cell>
          <cell r="E70">
            <v>0</v>
          </cell>
          <cell r="F70">
            <v>0.62553826000000001</v>
          </cell>
          <cell r="G70">
            <v>3887.3180029999999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0</v>
          </cell>
        </row>
        <row r="71">
          <cell r="A71" t="str">
            <v>220110</v>
          </cell>
          <cell r="B71" t="str">
            <v>Write off - Borrow</v>
          </cell>
          <cell r="C71" t="str">
            <v>Expense</v>
          </cell>
          <cell r="D71">
            <v>0</v>
          </cell>
          <cell r="E71">
            <v>0</v>
          </cell>
          <cell r="F71">
            <v>0</v>
          </cell>
          <cell r="G71">
            <v>857.91310332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</row>
        <row r="72">
          <cell r="A72" t="str">
            <v>220120</v>
          </cell>
          <cell r="B72" t="str">
            <v>Write off - Protect</v>
          </cell>
          <cell r="C72" t="str">
            <v>Expense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</row>
        <row r="73">
          <cell r="A73" t="str">
            <v>220210</v>
          </cell>
          <cell r="B73" t="str">
            <v>Bad Debts - Funeral Write-off</v>
          </cell>
          <cell r="C73" t="str">
            <v>Expense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</row>
        <row r="74">
          <cell r="A74" t="str">
            <v>220260</v>
          </cell>
          <cell r="B74" t="str">
            <v>Bad Debts - Recoveries - Collection Costs</v>
          </cell>
          <cell r="C74" t="str">
            <v>Expense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</row>
        <row r="75">
          <cell r="A75" t="str">
            <v>220300</v>
          </cell>
          <cell r="B75" t="str">
            <v>Research and Development Cost</v>
          </cell>
          <cell r="C75" t="str">
            <v>Expense</v>
          </cell>
          <cell r="D75">
            <v>0</v>
          </cell>
          <cell r="E75">
            <v>0</v>
          </cell>
          <cell r="F75">
            <v>179.07019869999999</v>
          </cell>
          <cell r="G75">
            <v>27.867640730000002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</row>
        <row r="76">
          <cell r="A76" t="str">
            <v>230101</v>
          </cell>
          <cell r="B76" t="str">
            <v>Email Communication</v>
          </cell>
          <cell r="C76" t="str">
            <v>Expense</v>
          </cell>
          <cell r="D76">
            <v>0</v>
          </cell>
          <cell r="E76">
            <v>0</v>
          </cell>
          <cell r="F76">
            <v>5.1263049000000001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U76">
            <v>0</v>
          </cell>
          <cell r="V76">
            <v>0</v>
          </cell>
        </row>
        <row r="77">
          <cell r="A77" t="str">
            <v>230102</v>
          </cell>
          <cell r="B77" t="str">
            <v>Digital Identity Check - Smile Identity</v>
          </cell>
          <cell r="C77" t="str">
            <v>Expense</v>
          </cell>
          <cell r="D77">
            <v>0</v>
          </cell>
          <cell r="E77">
            <v>40.35</v>
          </cell>
          <cell r="F77">
            <v>413.11636499999997</v>
          </cell>
          <cell r="G77">
            <v>483.432028</v>
          </cell>
          <cell r="H77">
            <v>7.1484800000000002</v>
          </cell>
          <cell r="I77">
            <v>126.96731465000001</v>
          </cell>
          <cell r="J77">
            <v>363.41731464999998</v>
          </cell>
          <cell r="K77">
            <v>556.85268565000001</v>
          </cell>
          <cell r="L77">
            <v>731.65268564999997</v>
          </cell>
          <cell r="M77">
            <v>967.75268564999999</v>
          </cell>
          <cell r="N77">
            <v>1309.65268565</v>
          </cell>
          <cell r="O77">
            <v>1773.0026856500001</v>
          </cell>
          <cell r="P77">
            <v>2324.7526856499999</v>
          </cell>
          <cell r="Q77">
            <v>2848.15268565</v>
          </cell>
          <cell r="R77">
            <v>3080.3026856500001</v>
          </cell>
          <cell r="S77">
            <v>3298.40268565</v>
          </cell>
          <cell r="U77">
            <v>0</v>
          </cell>
          <cell r="V77">
            <v>3298.40268565</v>
          </cell>
        </row>
        <row r="78">
          <cell r="A78" t="str">
            <v>230103</v>
          </cell>
          <cell r="B78" t="str">
            <v>Address Verification Check - OkHi</v>
          </cell>
          <cell r="C78" t="str">
            <v>Expense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>
            <v>0</v>
          </cell>
          <cell r="V78">
            <v>0</v>
          </cell>
        </row>
        <row r="79">
          <cell r="A79" t="str">
            <v>230104</v>
          </cell>
          <cell r="B79" t="str">
            <v>Credit Bureau Check - Credit Info</v>
          </cell>
          <cell r="C79" t="str">
            <v>Expense</v>
          </cell>
          <cell r="D79">
            <v>0</v>
          </cell>
          <cell r="E79">
            <v>0</v>
          </cell>
          <cell r="F79">
            <v>162.90399443000001</v>
          </cell>
          <cell r="G79">
            <v>224.80574523000001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1327.5</v>
          </cell>
          <cell r="U79">
            <v>0</v>
          </cell>
          <cell r="V79">
            <v>1327.5</v>
          </cell>
        </row>
        <row r="80">
          <cell r="A80" t="str">
            <v>230105</v>
          </cell>
          <cell r="B80" t="str">
            <v>KRA PIN Validation Check - Approve</v>
          </cell>
          <cell r="C80" t="str">
            <v>Expense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U80">
            <v>0</v>
          </cell>
          <cell r="V80">
            <v>0</v>
          </cell>
        </row>
        <row r="81">
          <cell r="A81" t="str">
            <v>230106</v>
          </cell>
          <cell r="B81" t="str">
            <v>Credit Scoring Fee - Credolab</v>
          </cell>
          <cell r="C81" t="str">
            <v>Expense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U81">
            <v>0</v>
          </cell>
          <cell r="V81">
            <v>0</v>
          </cell>
        </row>
        <row r="82">
          <cell r="A82" t="str">
            <v>230107</v>
          </cell>
          <cell r="B82" t="str">
            <v>SMS Communication - Infobip</v>
          </cell>
          <cell r="C82" t="str">
            <v>Expense</v>
          </cell>
          <cell r="D82">
            <v>0</v>
          </cell>
          <cell r="E82">
            <v>18.8386575</v>
          </cell>
          <cell r="F82">
            <v>655.02843345999997</v>
          </cell>
          <cell r="G82">
            <v>788.99418847000004</v>
          </cell>
          <cell r="H82">
            <v>321.565136</v>
          </cell>
          <cell r="I82">
            <v>402.70728600000001</v>
          </cell>
          <cell r="J82">
            <v>556.28979470000002</v>
          </cell>
          <cell r="K82">
            <v>992.18489948000001</v>
          </cell>
          <cell r="L82">
            <v>1187.1537794799999</v>
          </cell>
          <cell r="M82">
            <v>1434.0442794799999</v>
          </cell>
          <cell r="N82">
            <v>1582.67780148</v>
          </cell>
          <cell r="O82">
            <v>1773.0070174800001</v>
          </cell>
          <cell r="P82">
            <v>1889.38977348</v>
          </cell>
          <cell r="Q82">
            <v>2134.2995334799998</v>
          </cell>
          <cell r="R82">
            <v>2250.6974173100002</v>
          </cell>
          <cell r="S82">
            <v>2519.3569513100001</v>
          </cell>
          <cell r="U82">
            <v>0</v>
          </cell>
          <cell r="V82">
            <v>2519.3569513100001</v>
          </cell>
        </row>
        <row r="83">
          <cell r="A83" t="str">
            <v>230122</v>
          </cell>
          <cell r="B83" t="str">
            <v>USSD API Maintenance Cost</v>
          </cell>
          <cell r="C83" t="str">
            <v>Expense</v>
          </cell>
          <cell r="D83">
            <v>0</v>
          </cell>
          <cell r="E83">
            <v>0</v>
          </cell>
          <cell r="F83">
            <v>0</v>
          </cell>
          <cell r="G83">
            <v>1204.155</v>
          </cell>
          <cell r="H83">
            <v>160.69999999999999</v>
          </cell>
          <cell r="I83">
            <v>339.42408</v>
          </cell>
          <cell r="J83">
            <v>339.42408</v>
          </cell>
          <cell r="K83">
            <v>339.42408</v>
          </cell>
          <cell r="L83">
            <v>339.42408</v>
          </cell>
          <cell r="M83">
            <v>339.42408</v>
          </cell>
          <cell r="N83">
            <v>339.42408</v>
          </cell>
          <cell r="O83">
            <v>339.42408</v>
          </cell>
          <cell r="P83">
            <v>339.42408</v>
          </cell>
          <cell r="Q83">
            <v>339.42408</v>
          </cell>
          <cell r="R83">
            <v>339.42408</v>
          </cell>
          <cell r="S83">
            <v>339.42408</v>
          </cell>
          <cell r="U83">
            <v>0</v>
          </cell>
          <cell r="V83">
            <v>339.42408</v>
          </cell>
        </row>
        <row r="84">
          <cell r="A84" t="str">
            <v>230200</v>
          </cell>
          <cell r="B84" t="str">
            <v>Voice Communication API costs</v>
          </cell>
          <cell r="C84" t="str">
            <v>Expense</v>
          </cell>
          <cell r="D84">
            <v>0</v>
          </cell>
          <cell r="E84">
            <v>75.119547749999995</v>
          </cell>
          <cell r="F84">
            <v>16.105166310000001</v>
          </cell>
          <cell r="G84">
            <v>199.37243100000001</v>
          </cell>
          <cell r="H84">
            <v>0</v>
          </cell>
          <cell r="I84">
            <v>22.670158399999998</v>
          </cell>
          <cell r="J84">
            <v>90.061430099999995</v>
          </cell>
          <cell r="K84">
            <v>142.68581209999999</v>
          </cell>
          <cell r="L84">
            <v>142.68581209999999</v>
          </cell>
          <cell r="M84">
            <v>142.68581209999999</v>
          </cell>
          <cell r="N84">
            <v>175.2261321</v>
          </cell>
          <cell r="O84">
            <v>207.7757321</v>
          </cell>
          <cell r="P84">
            <v>207.7757321</v>
          </cell>
          <cell r="Q84">
            <v>207.7757321</v>
          </cell>
          <cell r="R84">
            <v>207.7757321</v>
          </cell>
          <cell r="S84">
            <v>207.7757321</v>
          </cell>
          <cell r="U84">
            <v>-594</v>
          </cell>
          <cell r="V84">
            <v>801.77573210000003</v>
          </cell>
        </row>
        <row r="85">
          <cell r="A85" t="str">
            <v>230210</v>
          </cell>
          <cell r="B85" t="str">
            <v>3rd Party Charge - Credit Life</v>
          </cell>
          <cell r="C85" t="str">
            <v>Expense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323.70240000000001</v>
          </cell>
          <cell r="R85">
            <v>461.28121440000001</v>
          </cell>
          <cell r="S85">
            <v>461.28121440000001</v>
          </cell>
          <cell r="U85">
            <v>0</v>
          </cell>
          <cell r="V85">
            <v>461.28121440000001</v>
          </cell>
        </row>
        <row r="86">
          <cell r="A86" t="str">
            <v>240000</v>
          </cell>
          <cell r="B86" t="str">
            <v>Sal and Wages Basic Salaries</v>
          </cell>
          <cell r="C86" t="str">
            <v>Expense</v>
          </cell>
          <cell r="D86">
            <v>0</v>
          </cell>
          <cell r="E86">
            <v>5811.8893520000001</v>
          </cell>
          <cell r="F86">
            <v>47053.090245120002</v>
          </cell>
          <cell r="G86">
            <v>156677.42261899999</v>
          </cell>
          <cell r="H86">
            <v>30308.239560000002</v>
          </cell>
          <cell r="I86">
            <v>64238.449065000001</v>
          </cell>
          <cell r="J86">
            <v>105465.861387</v>
          </cell>
          <cell r="K86">
            <v>150343.50021500001</v>
          </cell>
          <cell r="L86">
            <v>197364.937573</v>
          </cell>
          <cell r="M86">
            <v>242087.820335</v>
          </cell>
          <cell r="N86">
            <v>296974.41570100002</v>
          </cell>
          <cell r="O86">
            <v>358451.89061900001</v>
          </cell>
          <cell r="P86">
            <v>410069.462551</v>
          </cell>
          <cell r="Q86">
            <v>457566.11177100003</v>
          </cell>
          <cell r="R86">
            <v>503950.00687899999</v>
          </cell>
          <cell r="S86">
            <v>549628.52095999999</v>
          </cell>
          <cell r="U86">
            <v>157482.79999999999</v>
          </cell>
          <cell r="V86">
            <v>392145.72096000001</v>
          </cell>
        </row>
        <row r="87">
          <cell r="A87" t="str">
            <v>240010</v>
          </cell>
          <cell r="B87" t="str">
            <v>Sal and Wages Consultants &amp; Contractors</v>
          </cell>
          <cell r="C87" t="str">
            <v>Expense</v>
          </cell>
          <cell r="D87">
            <v>-30.587765520000001</v>
          </cell>
          <cell r="E87">
            <v>26764.081299199999</v>
          </cell>
          <cell r="F87">
            <v>71020.25198108</v>
          </cell>
          <cell r="G87">
            <v>51981.103969999996</v>
          </cell>
          <cell r="H87">
            <v>9178.1299999999992</v>
          </cell>
          <cell r="I87">
            <v>53212.945</v>
          </cell>
          <cell r="J87">
            <v>95103.322532000006</v>
          </cell>
          <cell r="K87">
            <v>133758.356593</v>
          </cell>
          <cell r="L87">
            <v>188195.31319300001</v>
          </cell>
          <cell r="M87">
            <v>241036.77519300001</v>
          </cell>
          <cell r="N87">
            <v>291294.64619300002</v>
          </cell>
          <cell r="O87">
            <v>333956.07519300003</v>
          </cell>
          <cell r="P87">
            <v>379439.92241300002</v>
          </cell>
          <cell r="Q87">
            <v>428863.93641299999</v>
          </cell>
          <cell r="R87">
            <v>476822.245413</v>
          </cell>
          <cell r="S87">
            <v>524833.16441299999</v>
          </cell>
          <cell r="U87">
            <v>10548.553131999972</v>
          </cell>
          <cell r="V87">
            <v>514284.61128100002</v>
          </cell>
        </row>
        <row r="88">
          <cell r="A88" t="str">
            <v>240020</v>
          </cell>
          <cell r="B88" t="str">
            <v>Sal and Wages Casual wages</v>
          </cell>
          <cell r="C88" t="str">
            <v>Expense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U88">
            <v>0</v>
          </cell>
          <cell r="V88">
            <v>0</v>
          </cell>
        </row>
        <row r="89">
          <cell r="A89" t="str">
            <v>240030</v>
          </cell>
          <cell r="B89" t="str">
            <v>Sal and Wages In lieu of notice</v>
          </cell>
          <cell r="C89" t="str">
            <v>Expense</v>
          </cell>
          <cell r="D89">
            <v>0</v>
          </cell>
          <cell r="E89">
            <v>0</v>
          </cell>
          <cell r="F89">
            <v>124.53245800000001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U89">
            <v>0</v>
          </cell>
          <cell r="V89">
            <v>0</v>
          </cell>
        </row>
        <row r="90">
          <cell r="A90" t="str">
            <v>240040</v>
          </cell>
          <cell r="B90" t="str">
            <v>Sal and Wages Medical Aid Company Contribution</v>
          </cell>
          <cell r="C90" t="str">
            <v>Expense</v>
          </cell>
          <cell r="D90">
            <v>0</v>
          </cell>
          <cell r="E90">
            <v>0</v>
          </cell>
          <cell r="F90">
            <v>2441.9887201000001</v>
          </cell>
          <cell r="G90">
            <v>5965.1120592400002</v>
          </cell>
          <cell r="H90">
            <v>855.68266470000003</v>
          </cell>
          <cell r="I90">
            <v>1940.8149126999999</v>
          </cell>
          <cell r="J90">
            <v>2885.0408896600002</v>
          </cell>
          <cell r="K90">
            <v>3783.5354697399998</v>
          </cell>
          <cell r="L90">
            <v>4667.8375473400001</v>
          </cell>
          <cell r="M90">
            <v>5605.2490429400004</v>
          </cell>
          <cell r="N90">
            <v>6458.61874334</v>
          </cell>
          <cell r="O90">
            <v>7617.9594450200002</v>
          </cell>
          <cell r="P90">
            <v>8627.3063231399992</v>
          </cell>
          <cell r="Q90">
            <v>9581.5039065000001</v>
          </cell>
          <cell r="R90">
            <v>10518.449137199999</v>
          </cell>
          <cell r="S90">
            <v>11447.072342879999</v>
          </cell>
          <cell r="U90">
            <v>0</v>
          </cell>
          <cell r="V90">
            <v>11447.072342879999</v>
          </cell>
        </row>
        <row r="91">
          <cell r="A91" t="str">
            <v>240060</v>
          </cell>
          <cell r="B91" t="str">
            <v>Sal and Wages Pension Company Contribution</v>
          </cell>
          <cell r="C91" t="str">
            <v>Expense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U91">
            <v>0</v>
          </cell>
          <cell r="V91">
            <v>0</v>
          </cell>
        </row>
        <row r="92">
          <cell r="A92" t="str">
            <v>240070</v>
          </cell>
          <cell r="B92" t="str">
            <v>Sal and Wages Pension Admin Fee</v>
          </cell>
          <cell r="C92" t="str">
            <v>Expense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U92">
            <v>0</v>
          </cell>
          <cell r="V92">
            <v>0</v>
          </cell>
        </row>
        <row r="93">
          <cell r="A93" t="str">
            <v>240080</v>
          </cell>
          <cell r="B93" t="str">
            <v>Sal and Wages Staff Incentive and Bonus</v>
          </cell>
          <cell r="C93" t="str">
            <v>Expense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138.77936800000001</v>
          </cell>
          <cell r="Q93">
            <v>255.45938200000001</v>
          </cell>
          <cell r="R93">
            <v>321.46703000000002</v>
          </cell>
          <cell r="S93">
            <v>408.14863000000003</v>
          </cell>
          <cell r="U93">
            <v>0</v>
          </cell>
          <cell r="V93">
            <v>408.14863000000003</v>
          </cell>
        </row>
        <row r="94">
          <cell r="A94" t="str">
            <v>240090</v>
          </cell>
          <cell r="B94" t="str">
            <v>Sal and Wages 13th Cheque</v>
          </cell>
          <cell r="C94" t="str">
            <v>Expense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U94">
            <v>0</v>
          </cell>
          <cell r="V94">
            <v>0</v>
          </cell>
        </row>
        <row r="95">
          <cell r="A95" t="str">
            <v>240100</v>
          </cell>
          <cell r="B95" t="str">
            <v>Sal and Wages Staff Learning and Development</v>
          </cell>
          <cell r="C95" t="str">
            <v>Expense</v>
          </cell>
          <cell r="D95">
            <v>0</v>
          </cell>
          <cell r="E95">
            <v>13.5144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773.80744000000004</v>
          </cell>
          <cell r="K95">
            <v>1510.1373100000001</v>
          </cell>
          <cell r="L95">
            <v>1611.61411</v>
          </cell>
          <cell r="M95">
            <v>6562.7042574999996</v>
          </cell>
          <cell r="N95">
            <v>6562.7042574999996</v>
          </cell>
          <cell r="O95">
            <v>6562.7042574999996</v>
          </cell>
          <cell r="P95">
            <v>6562.7042574999996</v>
          </cell>
          <cell r="Q95">
            <v>6656.5322575</v>
          </cell>
          <cell r="R95">
            <v>6656.5322575</v>
          </cell>
          <cell r="S95">
            <v>6656.5322575</v>
          </cell>
          <cell r="U95">
            <v>0</v>
          </cell>
          <cell r="V95">
            <v>6656.5322575</v>
          </cell>
        </row>
        <row r="96">
          <cell r="A96" t="str">
            <v>240140</v>
          </cell>
          <cell r="B96" t="str">
            <v>Sal and Wages Social Security (Co Contribution)</v>
          </cell>
          <cell r="C96" t="str">
            <v>Expense</v>
          </cell>
          <cell r="D96">
            <v>0</v>
          </cell>
          <cell r="E96">
            <v>74.790400000000005</v>
          </cell>
          <cell r="F96">
            <v>229.93039999999999</v>
          </cell>
          <cell r="G96">
            <v>294.90899999999999</v>
          </cell>
          <cell r="H96">
            <v>28.9224</v>
          </cell>
          <cell r="I96">
            <v>190.107</v>
          </cell>
          <cell r="J96">
            <v>190.107</v>
          </cell>
          <cell r="K96">
            <v>552.07007999999996</v>
          </cell>
          <cell r="L96">
            <v>552.07007999999996</v>
          </cell>
          <cell r="M96">
            <v>761.61383999999998</v>
          </cell>
          <cell r="N96">
            <v>943.62408000000005</v>
          </cell>
          <cell r="O96">
            <v>1129.5730799999999</v>
          </cell>
          <cell r="P96">
            <v>1319.05692</v>
          </cell>
          <cell r="Q96">
            <v>1505.5642800000001</v>
          </cell>
          <cell r="R96">
            <v>1674.7441200000001</v>
          </cell>
          <cell r="S96">
            <v>1846.38312</v>
          </cell>
          <cell r="U96">
            <v>0</v>
          </cell>
          <cell r="V96">
            <v>1846.38312</v>
          </cell>
        </row>
        <row r="97">
          <cell r="A97" t="str">
            <v>240145</v>
          </cell>
          <cell r="B97" t="str">
            <v>Housing Levy - Employer Contribution</v>
          </cell>
          <cell r="C97" t="str">
            <v>Expense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532.02499550000005</v>
          </cell>
          <cell r="P97">
            <v>1035.0286756999999</v>
          </cell>
          <cell r="Q97">
            <v>2073.0624576999999</v>
          </cell>
          <cell r="R97">
            <v>3032.2234905300002</v>
          </cell>
          <cell r="S97">
            <v>3953.40000418</v>
          </cell>
          <cell r="U97">
            <v>0</v>
          </cell>
          <cell r="V97">
            <v>3953.40000418</v>
          </cell>
        </row>
        <row r="98">
          <cell r="A98" t="str">
            <v>240150</v>
          </cell>
          <cell r="B98" t="str">
            <v>Recruitment Costs</v>
          </cell>
          <cell r="C98" t="str">
            <v>Expense</v>
          </cell>
          <cell r="D98">
            <v>0</v>
          </cell>
          <cell r="E98">
            <v>0</v>
          </cell>
          <cell r="F98">
            <v>5632.2321000000002</v>
          </cell>
          <cell r="G98">
            <v>0</v>
          </cell>
          <cell r="H98">
            <v>0</v>
          </cell>
          <cell r="I98">
            <v>0</v>
          </cell>
          <cell r="J98">
            <v>108.35328</v>
          </cell>
          <cell r="K98">
            <v>211.45872</v>
          </cell>
          <cell r="L98">
            <v>211.45872</v>
          </cell>
          <cell r="M98">
            <v>211.45872</v>
          </cell>
          <cell r="N98">
            <v>211.45872</v>
          </cell>
          <cell r="O98">
            <v>211.45872</v>
          </cell>
          <cell r="P98">
            <v>4192.7787200000002</v>
          </cell>
          <cell r="Q98">
            <v>4493.2887199999996</v>
          </cell>
          <cell r="R98">
            <v>4493.2887199999996</v>
          </cell>
          <cell r="S98">
            <v>4493.2887199999996</v>
          </cell>
          <cell r="U98">
            <v>0</v>
          </cell>
          <cell r="V98">
            <v>4493.2887199999996</v>
          </cell>
        </row>
        <row r="99">
          <cell r="A99" t="str">
            <v>240155</v>
          </cell>
          <cell r="B99" t="str">
            <v>NITA - National Industrial Training Authority</v>
          </cell>
          <cell r="C99" t="str">
            <v>Expense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45.621299999999998</v>
          </cell>
          <cell r="P99">
            <v>54.393700000000003</v>
          </cell>
          <cell r="Q99">
            <v>72.548299999999998</v>
          </cell>
          <cell r="R99">
            <v>88.958100000000002</v>
          </cell>
          <cell r="S99">
            <v>104.72955</v>
          </cell>
          <cell r="U99">
            <v>0</v>
          </cell>
          <cell r="V99">
            <v>104.72955</v>
          </cell>
        </row>
        <row r="100">
          <cell r="A100" t="str">
            <v>240160</v>
          </cell>
          <cell r="B100" t="str">
            <v>Staff Welfare</v>
          </cell>
          <cell r="C100" t="str">
            <v>Expense</v>
          </cell>
          <cell r="D100">
            <v>0</v>
          </cell>
          <cell r="E100">
            <v>285.64039200000002</v>
          </cell>
          <cell r="F100">
            <v>458.25656500000002</v>
          </cell>
          <cell r="G100">
            <v>0</v>
          </cell>
          <cell r="H100">
            <v>0</v>
          </cell>
          <cell r="I100">
            <v>164.95500000000001</v>
          </cell>
          <cell r="J100">
            <v>188.21700000000001</v>
          </cell>
          <cell r="K100">
            <v>188.21700000000001</v>
          </cell>
          <cell r="L100">
            <v>188.21700000000001</v>
          </cell>
          <cell r="M100">
            <v>188.21700000000001</v>
          </cell>
          <cell r="N100">
            <v>188.21700000000001</v>
          </cell>
          <cell r="O100">
            <v>188.21700000000001</v>
          </cell>
          <cell r="P100">
            <v>1015.31034</v>
          </cell>
          <cell r="Q100">
            <v>1015.31034</v>
          </cell>
          <cell r="R100">
            <v>1015.31034</v>
          </cell>
          <cell r="S100">
            <v>1015.31034</v>
          </cell>
          <cell r="U100">
            <v>-59.990000000000009</v>
          </cell>
          <cell r="V100">
            <v>1075.30034</v>
          </cell>
        </row>
        <row r="101">
          <cell r="A101" t="str">
            <v>240180</v>
          </cell>
          <cell r="B101" t="str">
            <v>Sal and Wages Staff Transport</v>
          </cell>
          <cell r="C101" t="str">
            <v>Expense</v>
          </cell>
          <cell r="D101">
            <v>0</v>
          </cell>
          <cell r="E101">
            <v>0</v>
          </cell>
          <cell r="F101">
            <v>0</v>
          </cell>
          <cell r="G101">
            <v>2506.5280330000001</v>
          </cell>
          <cell r="H101">
            <v>237.34814499999999</v>
          </cell>
          <cell r="I101">
            <v>769.63820099999998</v>
          </cell>
          <cell r="J101">
            <v>1092.9165230000001</v>
          </cell>
          <cell r="K101">
            <v>1392.926729</v>
          </cell>
          <cell r="L101">
            <v>1698.0237139999999</v>
          </cell>
          <cell r="M101">
            <v>2302.5212529999999</v>
          </cell>
          <cell r="N101">
            <v>2637.969893</v>
          </cell>
          <cell r="O101">
            <v>3012.2190649999998</v>
          </cell>
          <cell r="P101">
            <v>3428.4313929999998</v>
          </cell>
          <cell r="Q101">
            <v>3820.6770110000002</v>
          </cell>
          <cell r="R101">
            <v>4152.4523399999998</v>
          </cell>
          <cell r="S101">
            <v>4205.9815269999999</v>
          </cell>
          <cell r="U101">
            <v>5.9899999999997817</v>
          </cell>
          <cell r="V101">
            <v>4199.9915270000001</v>
          </cell>
        </row>
        <row r="102">
          <cell r="A102" t="str">
            <v>240190</v>
          </cell>
          <cell r="B102" t="str">
            <v>Staff Team Building</v>
          </cell>
          <cell r="C102" t="str">
            <v>Expense</v>
          </cell>
          <cell r="D102">
            <v>0</v>
          </cell>
          <cell r="E102">
            <v>0</v>
          </cell>
          <cell r="F102">
            <v>0</v>
          </cell>
          <cell r="G102">
            <v>386.48317400000002</v>
          </cell>
          <cell r="H102">
            <v>411.87025499999999</v>
          </cell>
          <cell r="I102">
            <v>858.00947914000005</v>
          </cell>
          <cell r="J102">
            <v>1545.85946154</v>
          </cell>
          <cell r="K102">
            <v>1800.9094330200001</v>
          </cell>
          <cell r="L102">
            <v>2175.6650666199998</v>
          </cell>
          <cell r="M102">
            <v>4083.4491483699999</v>
          </cell>
          <cell r="N102">
            <v>4404.5459483699997</v>
          </cell>
          <cell r="O102">
            <v>4859.5748483699999</v>
          </cell>
          <cell r="P102">
            <v>7732.9423483700002</v>
          </cell>
          <cell r="Q102">
            <v>7900.9223483699998</v>
          </cell>
          <cell r="R102">
            <v>7922.21514837</v>
          </cell>
          <cell r="S102">
            <v>8428.0038083700001</v>
          </cell>
          <cell r="U102">
            <v>0</v>
          </cell>
          <cell r="V102">
            <v>8428.0038083700001</v>
          </cell>
        </row>
        <row r="103">
          <cell r="A103" t="str">
            <v>240200</v>
          </cell>
          <cell r="B103" t="str">
            <v>Sal and Wages - Life, Accident And Disability Insurance</v>
          </cell>
          <cell r="C103" t="str">
            <v>Expense</v>
          </cell>
          <cell r="D103">
            <v>0</v>
          </cell>
          <cell r="E103">
            <v>0</v>
          </cell>
          <cell r="F103">
            <v>0</v>
          </cell>
          <cell r="G103">
            <v>501.41099750000001</v>
          </cell>
          <cell r="H103">
            <v>98.049096250000005</v>
          </cell>
          <cell r="I103">
            <v>195.24599125</v>
          </cell>
          <cell r="J103">
            <v>290.23219725000001</v>
          </cell>
          <cell r="K103">
            <v>380.61796650000002</v>
          </cell>
          <cell r="L103">
            <v>469.57601399999999</v>
          </cell>
          <cell r="M103">
            <v>569.15577525000003</v>
          </cell>
          <cell r="N103">
            <v>728.50380150000001</v>
          </cell>
          <cell r="O103">
            <v>824.90652750000004</v>
          </cell>
          <cell r="P103">
            <v>837.00569150000001</v>
          </cell>
          <cell r="Q103">
            <v>869.73040289999994</v>
          </cell>
          <cell r="R103">
            <v>901.89006519999998</v>
          </cell>
          <cell r="S103">
            <v>933.76408272000003</v>
          </cell>
          <cell r="U103">
            <v>0</v>
          </cell>
          <cell r="V103">
            <v>933.76408272000003</v>
          </cell>
        </row>
        <row r="104">
          <cell r="A104" t="str">
            <v>240210</v>
          </cell>
          <cell r="B104" t="str">
            <v>Sal and Wages - Other Staff Costs</v>
          </cell>
          <cell r="C104" t="str">
            <v>Expense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U104">
            <v>0</v>
          </cell>
          <cell r="V104">
            <v>0</v>
          </cell>
        </row>
        <row r="105">
          <cell r="A105" t="str">
            <v>240220</v>
          </cell>
          <cell r="B105" t="str">
            <v>Sal and Wages - Work Permit Cost</v>
          </cell>
          <cell r="C105" t="str">
            <v>Expense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2226.2078999999999</v>
          </cell>
          <cell r="N105">
            <v>2226.2078999999999</v>
          </cell>
          <cell r="O105">
            <v>2309.8654499999998</v>
          </cell>
          <cell r="P105">
            <v>2309.8654499999998</v>
          </cell>
          <cell r="Q105">
            <v>2364.8654499999998</v>
          </cell>
          <cell r="R105">
            <v>2364.8654499999998</v>
          </cell>
          <cell r="S105">
            <v>2364.8654499999998</v>
          </cell>
          <cell r="U105">
            <v>55</v>
          </cell>
          <cell r="V105">
            <v>2309.8654499999998</v>
          </cell>
        </row>
        <row r="106">
          <cell r="A106" t="str">
            <v>240230</v>
          </cell>
          <cell r="B106" t="str">
            <v>Staff Membership - Subscriptions</v>
          </cell>
          <cell r="C106" t="str">
            <v>Expense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U106">
            <v>0</v>
          </cell>
          <cell r="V106">
            <v>0</v>
          </cell>
        </row>
        <row r="107">
          <cell r="A107" t="str">
            <v>250000</v>
          </cell>
          <cell r="B107" t="str">
            <v>Audit Fees</v>
          </cell>
          <cell r="C107" t="str">
            <v>Expense</v>
          </cell>
          <cell r="D107">
            <v>443.97</v>
          </cell>
          <cell r="E107">
            <v>417.24</v>
          </cell>
          <cell r="F107">
            <v>4116.3090000000002</v>
          </cell>
          <cell r="G107">
            <v>4187.4970094999999</v>
          </cell>
          <cell r="H107">
            <v>408.44580654999999</v>
          </cell>
          <cell r="I107">
            <v>818.08445155000004</v>
          </cell>
          <cell r="J107">
            <v>867.84756355000002</v>
          </cell>
          <cell r="K107">
            <v>867.84756355000002</v>
          </cell>
          <cell r="L107">
            <v>867.84756355000002</v>
          </cell>
          <cell r="M107">
            <v>867.84756355000002</v>
          </cell>
          <cell r="N107">
            <v>867.84756355000002</v>
          </cell>
          <cell r="O107">
            <v>867.84756355000002</v>
          </cell>
          <cell r="P107">
            <v>867.84756355000002</v>
          </cell>
          <cell r="Q107">
            <v>867.84756355000002</v>
          </cell>
          <cell r="R107">
            <v>867.84756355000002</v>
          </cell>
          <cell r="S107">
            <v>867.84756355000002</v>
          </cell>
          <cell r="U107">
            <v>0</v>
          </cell>
          <cell r="V107">
            <v>867.84756355000002</v>
          </cell>
        </row>
        <row r="108">
          <cell r="A108" t="str">
            <v>260000</v>
          </cell>
          <cell r="B108" t="str">
            <v>Bank Charges - Standard Chartered Bank - Current Account(KES) - # 0102487568700</v>
          </cell>
          <cell r="C108" t="str">
            <v>Expense</v>
          </cell>
          <cell r="D108">
            <v>15.07272</v>
          </cell>
          <cell r="E108">
            <v>381.18513899999999</v>
          </cell>
          <cell r="F108">
            <v>772.65112020000004</v>
          </cell>
          <cell r="G108">
            <v>721.7350285</v>
          </cell>
          <cell r="H108">
            <v>60.04824</v>
          </cell>
          <cell r="I108">
            <v>131.48256000000001</v>
          </cell>
          <cell r="J108">
            <v>170.09747999999999</v>
          </cell>
          <cell r="K108">
            <v>258.23358000000002</v>
          </cell>
          <cell r="L108">
            <v>317.07029999999997</v>
          </cell>
          <cell r="M108">
            <v>360.09237000000002</v>
          </cell>
          <cell r="N108">
            <v>447.97749479999999</v>
          </cell>
          <cell r="O108">
            <v>447.97749479999999</v>
          </cell>
          <cell r="P108">
            <v>447.97749479999999</v>
          </cell>
          <cell r="Q108">
            <v>499.54057979999999</v>
          </cell>
          <cell r="R108">
            <v>534.94583990000001</v>
          </cell>
          <cell r="S108">
            <v>547.28944190000004</v>
          </cell>
          <cell r="U108">
            <v>0</v>
          </cell>
          <cell r="V108">
            <v>547.28944190000004</v>
          </cell>
        </row>
        <row r="109">
          <cell r="A109" t="str">
            <v>260010</v>
          </cell>
          <cell r="B109" t="str">
            <v>Bank Charges - Standard Chartered Bank - Current Account(USD) - # 8702487568700</v>
          </cell>
          <cell r="C109" t="str">
            <v>Expense</v>
          </cell>
          <cell r="D109">
            <v>0</v>
          </cell>
          <cell r="E109">
            <v>78.076644999999999</v>
          </cell>
          <cell r="F109">
            <v>382</v>
          </cell>
          <cell r="G109">
            <v>663.78797499999996</v>
          </cell>
          <cell r="H109">
            <v>28.225988000000001</v>
          </cell>
          <cell r="I109">
            <v>56.225988000000001</v>
          </cell>
          <cell r="J109">
            <v>168.225988</v>
          </cell>
          <cell r="K109">
            <v>224.225988</v>
          </cell>
          <cell r="L109">
            <v>252.225988</v>
          </cell>
          <cell r="M109">
            <v>304.22598799999997</v>
          </cell>
          <cell r="N109">
            <v>334.22598799999997</v>
          </cell>
          <cell r="O109">
            <v>334.22598799999997</v>
          </cell>
          <cell r="P109">
            <v>398.792328</v>
          </cell>
          <cell r="Q109">
            <v>403.36232799999999</v>
          </cell>
          <cell r="R109">
            <v>403.36232799999999</v>
          </cell>
          <cell r="S109">
            <v>403.36232799999999</v>
          </cell>
          <cell r="U109">
            <v>28</v>
          </cell>
          <cell r="V109">
            <v>375.36232799999999</v>
          </cell>
        </row>
        <row r="110">
          <cell r="A110" t="str">
            <v>260020</v>
          </cell>
          <cell r="B110" t="str">
            <v>Bank Charges - JP Morgan Chase Bank - Current Account -  # 000000600638719</v>
          </cell>
          <cell r="C110" t="str">
            <v>Expense</v>
          </cell>
          <cell r="D110">
            <v>0</v>
          </cell>
          <cell r="E110">
            <v>434</v>
          </cell>
          <cell r="F110">
            <v>1936</v>
          </cell>
          <cell r="G110">
            <v>4508</v>
          </cell>
          <cell r="H110">
            <v>0</v>
          </cell>
          <cell r="I110">
            <v>25</v>
          </cell>
          <cell r="J110">
            <v>50</v>
          </cell>
          <cell r="K110">
            <v>75</v>
          </cell>
          <cell r="L110">
            <v>75</v>
          </cell>
          <cell r="M110">
            <v>75</v>
          </cell>
          <cell r="N110">
            <v>75</v>
          </cell>
          <cell r="O110">
            <v>75</v>
          </cell>
          <cell r="P110">
            <v>155</v>
          </cell>
          <cell r="Q110">
            <v>165</v>
          </cell>
          <cell r="R110">
            <v>165</v>
          </cell>
          <cell r="S110">
            <v>165</v>
          </cell>
          <cell r="U110">
            <v>-405</v>
          </cell>
          <cell r="V110">
            <v>570</v>
          </cell>
        </row>
        <row r="111">
          <cell r="A111" t="str">
            <v>260030</v>
          </cell>
          <cell r="B111" t="str">
            <v xml:space="preserve">Bank Charges on Credit Card - Current Account - # </v>
          </cell>
          <cell r="C111" t="str">
            <v>Expense</v>
          </cell>
          <cell r="D111">
            <v>0</v>
          </cell>
          <cell r="E111">
            <v>187</v>
          </cell>
          <cell r="F111">
            <v>95</v>
          </cell>
          <cell r="G111">
            <v>95</v>
          </cell>
          <cell r="H111">
            <v>0</v>
          </cell>
          <cell r="I111">
            <v>0</v>
          </cell>
          <cell r="J111">
            <v>95</v>
          </cell>
          <cell r="K111">
            <v>95</v>
          </cell>
          <cell r="L111">
            <v>95</v>
          </cell>
          <cell r="M111">
            <v>95</v>
          </cell>
          <cell r="N111">
            <v>95</v>
          </cell>
          <cell r="O111">
            <v>1264.0382480000001</v>
          </cell>
          <cell r="P111">
            <v>1264.0382480000001</v>
          </cell>
          <cell r="Q111">
            <v>1264.0382480000001</v>
          </cell>
          <cell r="R111">
            <v>1264.0382480000001</v>
          </cell>
          <cell r="S111">
            <v>1264.0382480000001</v>
          </cell>
          <cell r="U111">
            <v>95</v>
          </cell>
          <cell r="V111">
            <v>1169.0382480000001</v>
          </cell>
        </row>
        <row r="112">
          <cell r="A112" t="str">
            <v>260039</v>
          </cell>
          <cell r="B112" t="str">
            <v>Bank Charges - I&amp;M Bank - Operations Acc</v>
          </cell>
          <cell r="C112" t="str">
            <v>Expense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125.948443</v>
          </cell>
          <cell r="R112">
            <v>259.31657240999999</v>
          </cell>
          <cell r="S112">
            <v>379.85744146000002</v>
          </cell>
          <cell r="U112">
            <v>0</v>
          </cell>
          <cell r="V112">
            <v>379.85744146000002</v>
          </cell>
        </row>
        <row r="113">
          <cell r="A113" t="str">
            <v>260040</v>
          </cell>
          <cell r="B113" t="str">
            <v>Bank Charges - I&amp;M Account - Dibursements Acc</v>
          </cell>
          <cell r="C113" t="str">
            <v>Expense</v>
          </cell>
          <cell r="D113">
            <v>0</v>
          </cell>
          <cell r="E113">
            <v>0</v>
          </cell>
          <cell r="F113">
            <v>48.625053000000001</v>
          </cell>
          <cell r="G113">
            <v>412.31958400000002</v>
          </cell>
          <cell r="H113">
            <v>24.168600000000001</v>
          </cell>
          <cell r="I113">
            <v>67.547268000000003</v>
          </cell>
          <cell r="J113">
            <v>106.506348</v>
          </cell>
          <cell r="K113">
            <v>115.329948</v>
          </cell>
          <cell r="L113">
            <v>158.155204</v>
          </cell>
          <cell r="M113">
            <v>212.5591488</v>
          </cell>
          <cell r="N113">
            <v>250.48091880000001</v>
          </cell>
          <cell r="O113">
            <v>306.82107189999999</v>
          </cell>
          <cell r="P113">
            <v>379.60278190000002</v>
          </cell>
          <cell r="Q113">
            <v>402.00956889999998</v>
          </cell>
          <cell r="R113">
            <v>445.45001739999998</v>
          </cell>
          <cell r="S113">
            <v>453.07841739999998</v>
          </cell>
          <cell r="U113">
            <v>0</v>
          </cell>
          <cell r="V113">
            <v>453.07841739999998</v>
          </cell>
        </row>
        <row r="114">
          <cell r="A114" t="str">
            <v>260041</v>
          </cell>
          <cell r="B114" t="str">
            <v>Bank Charges - GT Bank Account 2250113087</v>
          </cell>
          <cell r="C114" t="str">
            <v>Expense</v>
          </cell>
          <cell r="D114">
            <v>0</v>
          </cell>
          <cell r="E114">
            <v>0</v>
          </cell>
          <cell r="F114">
            <v>0.19515057</v>
          </cell>
          <cell r="G114">
            <v>54.04242</v>
          </cell>
          <cell r="H114">
            <v>5.3024399999999998</v>
          </cell>
          <cell r="I114">
            <v>19.912739999999999</v>
          </cell>
          <cell r="J114">
            <v>25.33464</v>
          </cell>
          <cell r="K114">
            <v>25.33464</v>
          </cell>
          <cell r="L114">
            <v>25.33464</v>
          </cell>
          <cell r="M114">
            <v>25.33464</v>
          </cell>
          <cell r="N114">
            <v>25.33464</v>
          </cell>
          <cell r="O114">
            <v>25.33464</v>
          </cell>
          <cell r="P114">
            <v>25.33464</v>
          </cell>
          <cell r="Q114">
            <v>25.33464</v>
          </cell>
          <cell r="R114">
            <v>25.33464</v>
          </cell>
          <cell r="S114">
            <v>25.33464</v>
          </cell>
          <cell r="U114">
            <v>0</v>
          </cell>
          <cell r="V114">
            <v>25.33464</v>
          </cell>
        </row>
        <row r="115">
          <cell r="A115" t="str">
            <v>260042</v>
          </cell>
          <cell r="B115" t="str">
            <v>Bank Charges - I&amp;M USD Account</v>
          </cell>
          <cell r="C115" t="str">
            <v>Expense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-15.33</v>
          </cell>
          <cell r="R115">
            <v>-3.94</v>
          </cell>
          <cell r="S115">
            <v>103.11</v>
          </cell>
          <cell r="U115">
            <v>0</v>
          </cell>
          <cell r="V115">
            <v>103.11</v>
          </cell>
        </row>
        <row r="116">
          <cell r="A116" t="str">
            <v>260043</v>
          </cell>
          <cell r="B116" t="str">
            <v>Bank Charges I&amp;M Rafiki Account</v>
          </cell>
          <cell r="C116" t="str">
            <v>Expense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6.5957470000000002</v>
          </cell>
          <cell r="S116">
            <v>6.5957470000000002</v>
          </cell>
          <cell r="U116">
            <v>-6.5957470000000002</v>
          </cell>
          <cell r="V116">
            <v>13.191494</v>
          </cell>
        </row>
        <row r="117">
          <cell r="A117" t="str">
            <v>260044</v>
          </cell>
          <cell r="B117" t="str">
            <v xml:space="preserve">Bank Charges - JAVA Sacco </v>
          </cell>
          <cell r="C117" t="str">
            <v>Expense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7.9055999999999997</v>
          </cell>
          <cell r="S117">
            <v>7.9055999999999997</v>
          </cell>
          <cell r="U117">
            <v>-7.9055999999999997</v>
          </cell>
          <cell r="V117">
            <v>15.811199999999999</v>
          </cell>
        </row>
        <row r="118">
          <cell r="A118" t="str">
            <v>260050</v>
          </cell>
          <cell r="B118" t="str">
            <v xml:space="preserve">Aggregator Transactional Fees </v>
          </cell>
          <cell r="C118" t="str">
            <v>Expense</v>
          </cell>
          <cell r="D118">
            <v>2.0749849999999999</v>
          </cell>
          <cell r="E118">
            <v>35.774315999999999</v>
          </cell>
          <cell r="F118">
            <v>198.93296050000001</v>
          </cell>
          <cell r="G118">
            <v>228.07828953999999</v>
          </cell>
          <cell r="H118">
            <v>0.86295500000000003</v>
          </cell>
          <cell r="I118">
            <v>9.2363549999999996</v>
          </cell>
          <cell r="J118">
            <v>85.525210000000001</v>
          </cell>
          <cell r="K118">
            <v>106.42681</v>
          </cell>
          <cell r="L118">
            <v>146.69412399999999</v>
          </cell>
          <cell r="M118">
            <v>152.41492400000001</v>
          </cell>
          <cell r="N118">
            <v>181.61557400000001</v>
          </cell>
          <cell r="O118">
            <v>187.14917399999999</v>
          </cell>
          <cell r="P118">
            <v>207.39317399999999</v>
          </cell>
          <cell r="Q118">
            <v>243.865082</v>
          </cell>
          <cell r="R118">
            <v>254.59803199999999</v>
          </cell>
          <cell r="S118">
            <v>262.10957500000001</v>
          </cell>
          <cell r="U118">
            <v>0</v>
          </cell>
          <cell r="V118">
            <v>262.10957500000001</v>
          </cell>
        </row>
        <row r="119">
          <cell r="A119" t="str">
            <v>270000</v>
          </cell>
          <cell r="B119" t="str">
            <v>Software Services and Support Cost</v>
          </cell>
          <cell r="C119" t="str">
            <v>Expense</v>
          </cell>
          <cell r="D119">
            <v>-269.83186229</v>
          </cell>
          <cell r="E119">
            <v>0</v>
          </cell>
          <cell r="F119">
            <v>0</v>
          </cell>
          <cell r="G119">
            <v>2668.7</v>
          </cell>
          <cell r="H119">
            <v>8.8699999999999992</v>
          </cell>
          <cell r="I119">
            <v>435.74</v>
          </cell>
          <cell r="J119">
            <v>444.61</v>
          </cell>
          <cell r="K119">
            <v>453.48</v>
          </cell>
          <cell r="L119">
            <v>462.35</v>
          </cell>
          <cell r="M119">
            <v>462.35</v>
          </cell>
          <cell r="N119">
            <v>462.35</v>
          </cell>
          <cell r="O119">
            <v>471.22</v>
          </cell>
          <cell r="P119">
            <v>471.22</v>
          </cell>
          <cell r="Q119">
            <v>471.22</v>
          </cell>
          <cell r="R119">
            <v>471.22</v>
          </cell>
          <cell r="S119">
            <v>471.22</v>
          </cell>
          <cell r="U119">
            <v>471.22</v>
          </cell>
          <cell r="V119">
            <v>0</v>
          </cell>
        </row>
        <row r="120">
          <cell r="A120" t="str">
            <v>270010</v>
          </cell>
          <cell r="B120" t="str">
            <v>Computer Expenses - Maintenance</v>
          </cell>
          <cell r="C120" t="str">
            <v>Expense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U120">
            <v>0</v>
          </cell>
          <cell r="V120">
            <v>0</v>
          </cell>
        </row>
        <row r="121">
          <cell r="A121" t="str">
            <v>270020</v>
          </cell>
          <cell r="B121" t="str">
            <v>Computer Expenses - Consumables</v>
          </cell>
          <cell r="C121" t="str">
            <v>Expense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157.01047500000001</v>
          </cell>
          <cell r="J121">
            <v>157.01047500000001</v>
          </cell>
          <cell r="K121">
            <v>157.01047500000001</v>
          </cell>
          <cell r="L121">
            <v>201.24247500000001</v>
          </cell>
          <cell r="M121">
            <v>201.24247500000001</v>
          </cell>
          <cell r="N121">
            <v>201.24247500000001</v>
          </cell>
          <cell r="O121">
            <v>201.24247500000001</v>
          </cell>
          <cell r="P121">
            <v>201.24247500000001</v>
          </cell>
          <cell r="Q121">
            <v>201.24247500000001</v>
          </cell>
          <cell r="R121">
            <v>260.60747500000002</v>
          </cell>
          <cell r="S121">
            <v>260.60747500000002</v>
          </cell>
          <cell r="U121">
            <v>0</v>
          </cell>
          <cell r="V121">
            <v>260.60747500000002</v>
          </cell>
        </row>
        <row r="122">
          <cell r="A122" t="str">
            <v>270030</v>
          </cell>
          <cell r="B122" t="str">
            <v>Computer Expenses - Scrapping of Items</v>
          </cell>
          <cell r="C122" t="str">
            <v>Expense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U122">
            <v>0</v>
          </cell>
          <cell r="V122">
            <v>0</v>
          </cell>
        </row>
        <row r="123">
          <cell r="A123" t="str">
            <v>280000</v>
          </cell>
          <cell r="B123" t="str">
            <v xml:space="preserve">Directors Fees - Executive Directors </v>
          </cell>
          <cell r="C123" t="str">
            <v>Expense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U123">
            <v>0</v>
          </cell>
          <cell r="V123">
            <v>0</v>
          </cell>
        </row>
        <row r="124">
          <cell r="A124" t="str">
            <v>280010</v>
          </cell>
          <cell r="B124" t="str">
            <v>Directors Fees - Non-Executive Directors</v>
          </cell>
          <cell r="C124" t="str">
            <v>Expense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U124">
            <v>0</v>
          </cell>
          <cell r="V124">
            <v>0</v>
          </cell>
        </row>
        <row r="125">
          <cell r="A125" t="str">
            <v>280020</v>
          </cell>
          <cell r="B125" t="str">
            <v xml:space="preserve">Directors Fees </v>
          </cell>
          <cell r="C125" t="str">
            <v>Expense</v>
          </cell>
          <cell r="D125">
            <v>0</v>
          </cell>
          <cell r="E125">
            <v>0</v>
          </cell>
          <cell r="F125">
            <v>0</v>
          </cell>
          <cell r="G125">
            <v>1272.48</v>
          </cell>
          <cell r="H125">
            <v>241.05</v>
          </cell>
          <cell r="I125">
            <v>480</v>
          </cell>
          <cell r="J125">
            <v>713.52</v>
          </cell>
          <cell r="K125">
            <v>935.73</v>
          </cell>
          <cell r="L125">
            <v>1154.43</v>
          </cell>
          <cell r="M125">
            <v>1367.88</v>
          </cell>
          <cell r="N125">
            <v>1367.88</v>
          </cell>
          <cell r="O125">
            <v>1367.88</v>
          </cell>
          <cell r="P125">
            <v>1367.88</v>
          </cell>
          <cell r="Q125">
            <v>1367.88</v>
          </cell>
          <cell r="R125">
            <v>1367.88</v>
          </cell>
          <cell r="S125">
            <v>1563.18</v>
          </cell>
          <cell r="U125">
            <v>0</v>
          </cell>
          <cell r="V125">
            <v>1563.18</v>
          </cell>
        </row>
        <row r="126">
          <cell r="A126" t="str">
            <v>280030</v>
          </cell>
          <cell r="B126" t="str">
            <v>Retainers - Non-Executive Directors</v>
          </cell>
          <cell r="C126" t="str">
            <v>Expense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</row>
        <row r="127">
          <cell r="A127" t="str">
            <v>290000</v>
          </cell>
          <cell r="B127" t="str">
            <v>Insurance - PPE</v>
          </cell>
          <cell r="C127" t="str">
            <v>Expense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U127">
            <v>0</v>
          </cell>
          <cell r="V127">
            <v>0</v>
          </cell>
        </row>
        <row r="128">
          <cell r="A128" t="str">
            <v>290010</v>
          </cell>
          <cell r="B128" t="str">
            <v>Insurance - Facilitation fees</v>
          </cell>
          <cell r="C128" t="str">
            <v>Expense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U128">
            <v>0</v>
          </cell>
          <cell r="V128">
            <v>0</v>
          </cell>
        </row>
        <row r="129">
          <cell r="A129" t="str">
            <v>290020</v>
          </cell>
          <cell r="B129" t="str">
            <v>Insurance - Other</v>
          </cell>
          <cell r="C129" t="str">
            <v>Expense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U129">
            <v>0</v>
          </cell>
          <cell r="V129">
            <v>0</v>
          </cell>
        </row>
        <row r="130">
          <cell r="A130" t="str">
            <v>290030</v>
          </cell>
          <cell r="B130" t="str">
            <v>Directors and Officers Insurance</v>
          </cell>
          <cell r="C130" t="str">
            <v>Expense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U130">
            <v>0</v>
          </cell>
          <cell r="V130">
            <v>0</v>
          </cell>
        </row>
        <row r="131">
          <cell r="A131" t="str">
            <v>300000</v>
          </cell>
          <cell r="B131" t="str">
            <v>Licences - Company</v>
          </cell>
          <cell r="C131" t="str">
            <v>Expense</v>
          </cell>
          <cell r="D131">
            <v>0</v>
          </cell>
          <cell r="E131">
            <v>0</v>
          </cell>
          <cell r="F131">
            <v>793.17232979000005</v>
          </cell>
          <cell r="G131">
            <v>387.52019531000002</v>
          </cell>
          <cell r="H131">
            <v>0</v>
          </cell>
          <cell r="I131">
            <v>2.652345</v>
          </cell>
          <cell r="J131">
            <v>26.780176279999999</v>
          </cell>
          <cell r="K131">
            <v>49.739431969999998</v>
          </cell>
          <cell r="L131">
            <v>72.336026270000005</v>
          </cell>
          <cell r="M131">
            <v>101.50517832</v>
          </cell>
          <cell r="N131">
            <v>122.13883332</v>
          </cell>
          <cell r="O131">
            <v>142.34133732000001</v>
          </cell>
          <cell r="P131">
            <v>162.13322131999999</v>
          </cell>
          <cell r="Q131">
            <v>195.08647031999999</v>
          </cell>
          <cell r="R131">
            <v>315.73896031999999</v>
          </cell>
          <cell r="S131">
            <v>334.72133631999998</v>
          </cell>
          <cell r="U131">
            <v>101.49999999999997</v>
          </cell>
          <cell r="V131">
            <v>233.22133632000001</v>
          </cell>
        </row>
        <row r="132">
          <cell r="A132" t="str">
            <v>300010</v>
          </cell>
          <cell r="B132" t="str">
            <v>Licences - Trading</v>
          </cell>
          <cell r="C132" t="str">
            <v>Expense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79.91</v>
          </cell>
          <cell r="J132">
            <v>79.91</v>
          </cell>
          <cell r="K132">
            <v>79.91</v>
          </cell>
          <cell r="L132">
            <v>79.91</v>
          </cell>
          <cell r="M132">
            <v>79.91</v>
          </cell>
          <cell r="N132">
            <v>79.91</v>
          </cell>
          <cell r="O132">
            <v>79.91</v>
          </cell>
          <cell r="P132">
            <v>79.91</v>
          </cell>
          <cell r="Q132">
            <v>79.91</v>
          </cell>
          <cell r="R132">
            <v>79.91</v>
          </cell>
          <cell r="S132">
            <v>79.91</v>
          </cell>
          <cell r="U132">
            <v>0</v>
          </cell>
          <cell r="V132">
            <v>79.91</v>
          </cell>
        </row>
        <row r="133">
          <cell r="A133" t="str">
            <v>300020</v>
          </cell>
          <cell r="B133" t="str">
            <v>Licences - Software</v>
          </cell>
          <cell r="C133" t="str">
            <v>Expense</v>
          </cell>
          <cell r="D133">
            <v>0</v>
          </cell>
          <cell r="E133">
            <v>1832.6444803899999</v>
          </cell>
          <cell r="F133">
            <v>7874.3917100500003</v>
          </cell>
          <cell r="G133">
            <v>448.90439977</v>
          </cell>
          <cell r="H133">
            <v>751.67</v>
          </cell>
          <cell r="I133">
            <v>1503.34</v>
          </cell>
          <cell r="J133">
            <v>2255.0100000000002</v>
          </cell>
          <cell r="K133">
            <v>3046.4729600000001</v>
          </cell>
          <cell r="L133">
            <v>3798.1429600000001</v>
          </cell>
          <cell r="M133">
            <v>4161.7029599999996</v>
          </cell>
          <cell r="N133">
            <v>5066.2429599999996</v>
          </cell>
          <cell r="O133">
            <v>7493.4929599999996</v>
          </cell>
          <cell r="P133">
            <v>10491.58296</v>
          </cell>
          <cell r="Q133">
            <v>13503.062959999999</v>
          </cell>
          <cell r="R133">
            <v>15897.292960000001</v>
          </cell>
          <cell r="S133">
            <v>18836.772959999998</v>
          </cell>
          <cell r="U133">
            <v>11375.379999999997</v>
          </cell>
          <cell r="V133">
            <v>7461.392960000001</v>
          </cell>
        </row>
        <row r="134">
          <cell r="A134" t="str">
            <v>300030</v>
          </cell>
          <cell r="B134" t="str">
            <v>Cloud Hosting Fees</v>
          </cell>
          <cell r="C134" t="str">
            <v>Expense</v>
          </cell>
          <cell r="D134">
            <v>0</v>
          </cell>
          <cell r="E134">
            <v>19.679794999999999</v>
          </cell>
          <cell r="F134">
            <v>1431.83</v>
          </cell>
          <cell r="G134">
            <v>1267.7387799999999</v>
          </cell>
          <cell r="H134">
            <v>10.81</v>
          </cell>
          <cell r="I134">
            <v>21.62</v>
          </cell>
          <cell r="J134">
            <v>16.21</v>
          </cell>
          <cell r="K134">
            <v>21.62</v>
          </cell>
          <cell r="L134">
            <v>27.03</v>
          </cell>
          <cell r="M134">
            <v>1409.78</v>
          </cell>
          <cell r="N134">
            <v>3713.21</v>
          </cell>
          <cell r="O134">
            <v>3713.21</v>
          </cell>
          <cell r="P134">
            <v>6106.16</v>
          </cell>
          <cell r="Q134">
            <v>8179.95</v>
          </cell>
          <cell r="R134">
            <v>10108.35</v>
          </cell>
          <cell r="S134">
            <v>11922.91</v>
          </cell>
          <cell r="U134">
            <v>-5380.4000000000015</v>
          </cell>
          <cell r="V134">
            <v>17303.310000000001</v>
          </cell>
        </row>
        <row r="135">
          <cell r="A135" t="str">
            <v>300040</v>
          </cell>
          <cell r="B135" t="str">
            <v>Local Hosting Fees</v>
          </cell>
          <cell r="C135" t="str">
            <v>Expense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U135">
            <v>0</v>
          </cell>
          <cell r="V135">
            <v>0</v>
          </cell>
        </row>
        <row r="136">
          <cell r="A136" t="str">
            <v>300050</v>
          </cell>
          <cell r="B136" t="str">
            <v>Subscriptions</v>
          </cell>
          <cell r="C136" t="str">
            <v>Expense</v>
          </cell>
          <cell r="D136">
            <v>-10.353418019999999</v>
          </cell>
          <cell r="E136">
            <v>4086.9419549999998</v>
          </cell>
          <cell r="F136">
            <v>5645.46</v>
          </cell>
          <cell r="G136">
            <v>116.1</v>
          </cell>
          <cell r="H136">
            <v>0</v>
          </cell>
          <cell r="I136">
            <v>36.278798000000002</v>
          </cell>
          <cell r="J136">
            <v>36.278798000000002</v>
          </cell>
          <cell r="K136">
            <v>36.278798000000002</v>
          </cell>
          <cell r="L136">
            <v>36.278798000000002</v>
          </cell>
          <cell r="M136">
            <v>561.458798</v>
          </cell>
          <cell r="N136">
            <v>715.38879799999995</v>
          </cell>
          <cell r="O136">
            <v>749.31879800000002</v>
          </cell>
          <cell r="P136">
            <v>1411.1787979999999</v>
          </cell>
          <cell r="Q136">
            <v>1558.598798</v>
          </cell>
          <cell r="R136">
            <v>1706.0187980000001</v>
          </cell>
          <cell r="S136">
            <v>2137.4387980000001</v>
          </cell>
          <cell r="U136">
            <v>-4373.79</v>
          </cell>
          <cell r="V136">
            <v>6511.2287980000001</v>
          </cell>
        </row>
        <row r="137">
          <cell r="A137" t="str">
            <v>300060</v>
          </cell>
          <cell r="B137" t="str">
            <v>Monthly Software Fees</v>
          </cell>
          <cell r="C137" t="str">
            <v>Expense</v>
          </cell>
          <cell r="D137">
            <v>0</v>
          </cell>
          <cell r="E137">
            <v>0</v>
          </cell>
          <cell r="F137">
            <v>5000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U137">
            <v>0</v>
          </cell>
          <cell r="V137">
            <v>0</v>
          </cell>
        </row>
        <row r="138">
          <cell r="A138" t="str">
            <v>310000</v>
          </cell>
          <cell r="B138" t="str">
            <v>Marketing - General</v>
          </cell>
          <cell r="C138" t="str">
            <v>Expense</v>
          </cell>
          <cell r="D138">
            <v>0</v>
          </cell>
          <cell r="E138">
            <v>106.9092</v>
          </cell>
          <cell r="F138">
            <v>18.076000000000001</v>
          </cell>
          <cell r="G138">
            <v>996.33856800000001</v>
          </cell>
          <cell r="H138">
            <v>0</v>
          </cell>
          <cell r="I138">
            <v>405.87200000000001</v>
          </cell>
          <cell r="J138">
            <v>907.96858199999997</v>
          </cell>
          <cell r="K138">
            <v>936.46421399999997</v>
          </cell>
          <cell r="L138">
            <v>1115.1524139999999</v>
          </cell>
          <cell r="M138">
            <v>1369.1298139999999</v>
          </cell>
          <cell r="N138">
            <v>2560.0613640000001</v>
          </cell>
          <cell r="O138">
            <v>3314.3761199999999</v>
          </cell>
          <cell r="P138">
            <v>4995.17292</v>
          </cell>
          <cell r="Q138">
            <v>6558.0737200000003</v>
          </cell>
          <cell r="R138">
            <v>8092.7863200000002</v>
          </cell>
          <cell r="S138">
            <v>9986.3913200000006</v>
          </cell>
          <cell r="U138">
            <v>4032.3800000000006</v>
          </cell>
          <cell r="V138">
            <v>5954.0113199999996</v>
          </cell>
        </row>
        <row r="139">
          <cell r="A139" t="str">
            <v>310010</v>
          </cell>
          <cell r="B139" t="str">
            <v>Marketing - Social Media Expenses</v>
          </cell>
          <cell r="C139" t="str">
            <v>Expense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U139">
            <v>0</v>
          </cell>
          <cell r="V139">
            <v>0</v>
          </cell>
        </row>
        <row r="140">
          <cell r="A140" t="str">
            <v>310020</v>
          </cell>
          <cell r="B140" t="str">
            <v>Marketing - Promotions</v>
          </cell>
          <cell r="C140" t="str">
            <v>Expense</v>
          </cell>
          <cell r="D140">
            <v>0</v>
          </cell>
          <cell r="E140">
            <v>0</v>
          </cell>
          <cell r="F140">
            <v>40.734124970000003</v>
          </cell>
          <cell r="G140">
            <v>0</v>
          </cell>
          <cell r="H140">
            <v>0</v>
          </cell>
          <cell r="I140">
            <v>115.94199999999999</v>
          </cell>
          <cell r="J140">
            <v>115.94199999999999</v>
          </cell>
          <cell r="K140">
            <v>115.94199999999999</v>
          </cell>
          <cell r="L140">
            <v>115.94199999999999</v>
          </cell>
          <cell r="M140">
            <v>115.94199999999999</v>
          </cell>
          <cell r="N140">
            <v>115.94199999999999</v>
          </cell>
          <cell r="O140">
            <v>115.94199999999999</v>
          </cell>
          <cell r="P140">
            <v>115.94199999999999</v>
          </cell>
          <cell r="Q140">
            <v>115.94199999999999</v>
          </cell>
          <cell r="R140">
            <v>115.94199999999999</v>
          </cell>
          <cell r="S140">
            <v>115.94199999999999</v>
          </cell>
          <cell r="U140">
            <v>0</v>
          </cell>
          <cell r="V140">
            <v>115.94199999999999</v>
          </cell>
        </row>
        <row r="141">
          <cell r="A141" t="str">
            <v>310030</v>
          </cell>
          <cell r="B141" t="str">
            <v>Marketing - Social Responsibilty</v>
          </cell>
          <cell r="C141" t="str">
            <v>Expense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U141">
            <v>0</v>
          </cell>
          <cell r="V141">
            <v>0</v>
          </cell>
        </row>
        <row r="142">
          <cell r="A142" t="str">
            <v>310040</v>
          </cell>
          <cell r="B142" t="str">
            <v>Marketing - Sponsorship</v>
          </cell>
          <cell r="C142" t="str">
            <v>Expense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U142">
            <v>0</v>
          </cell>
          <cell r="V142">
            <v>0</v>
          </cell>
        </row>
        <row r="143">
          <cell r="A143" t="str">
            <v>310050</v>
          </cell>
          <cell r="B143" t="str">
            <v>Marketing - Donations</v>
          </cell>
          <cell r="C143" t="str">
            <v>Expense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U143">
            <v>0</v>
          </cell>
          <cell r="V143">
            <v>0</v>
          </cell>
        </row>
        <row r="144">
          <cell r="A144" t="str">
            <v>310060</v>
          </cell>
          <cell r="B144" t="str">
            <v>Marketing - Trademark costs</v>
          </cell>
          <cell r="C144" t="str">
            <v>Expense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U144">
            <v>0</v>
          </cell>
          <cell r="V144">
            <v>0</v>
          </cell>
        </row>
        <row r="145">
          <cell r="A145" t="str">
            <v>310070</v>
          </cell>
          <cell r="B145" t="str">
            <v>Marketing - Market research</v>
          </cell>
          <cell r="C145" t="str">
            <v>Expense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U145">
            <v>0</v>
          </cell>
          <cell r="V145">
            <v>0</v>
          </cell>
        </row>
        <row r="146">
          <cell r="A146" t="str">
            <v>310080</v>
          </cell>
          <cell r="B146" t="str">
            <v>Marketing – Stakeholder engagement</v>
          </cell>
          <cell r="C146" t="str">
            <v>Expense</v>
          </cell>
          <cell r="D146">
            <v>4880.3136390199998</v>
          </cell>
          <cell r="E146">
            <v>357.50188000000003</v>
          </cell>
          <cell r="F146">
            <v>172.27437</v>
          </cell>
          <cell r="G146">
            <v>1073.7470800000001</v>
          </cell>
          <cell r="H146">
            <v>2284.549066</v>
          </cell>
          <cell r="I146">
            <v>2683.31421</v>
          </cell>
          <cell r="J146">
            <v>2775.8582000000001</v>
          </cell>
          <cell r="K146">
            <v>3073.8418099999999</v>
          </cell>
          <cell r="L146">
            <v>3483.7376920000002</v>
          </cell>
          <cell r="M146">
            <v>3532.857692</v>
          </cell>
          <cell r="N146">
            <v>3672.5466919999999</v>
          </cell>
          <cell r="O146">
            <v>3772.0466919999999</v>
          </cell>
          <cell r="P146">
            <v>3947.6163080000001</v>
          </cell>
          <cell r="Q146">
            <v>3947.6163080000001</v>
          </cell>
          <cell r="R146">
            <v>4042.696308</v>
          </cell>
          <cell r="S146">
            <v>4425.5663080000004</v>
          </cell>
          <cell r="U146">
            <v>-4491.1499999999987</v>
          </cell>
          <cell r="V146">
            <v>8916.7163079999991</v>
          </cell>
        </row>
        <row r="147">
          <cell r="A147" t="str">
            <v>320000</v>
          </cell>
          <cell r="B147" t="str">
            <v>Motor Vehicle Expenses - Fuels and oils</v>
          </cell>
          <cell r="C147" t="str">
            <v>Expense</v>
          </cell>
          <cell r="D147">
            <v>843.843299</v>
          </cell>
          <cell r="E147">
            <v>242.61036723000001</v>
          </cell>
          <cell r="F147">
            <v>102.82456000000001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U147">
            <v>0</v>
          </cell>
          <cell r="V147">
            <v>0</v>
          </cell>
        </row>
        <row r="148">
          <cell r="A148" t="str">
            <v>320010</v>
          </cell>
          <cell r="B148" t="str">
            <v>Motor Vehicle Expenses - Repairs and Maintenance</v>
          </cell>
          <cell r="C148" t="str">
            <v>Expense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U148">
            <v>0</v>
          </cell>
          <cell r="V148">
            <v>0</v>
          </cell>
        </row>
        <row r="149">
          <cell r="A149" t="str">
            <v>320020</v>
          </cell>
          <cell r="B149" t="str">
            <v>Motor Vehicle Expenses - General</v>
          </cell>
          <cell r="C149" t="str">
            <v>Expense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U149">
            <v>0</v>
          </cell>
          <cell r="V149">
            <v>0</v>
          </cell>
        </row>
        <row r="150">
          <cell r="A150" t="str">
            <v>320030</v>
          </cell>
          <cell r="B150" t="str">
            <v>Motor Vehicle Expenses - General</v>
          </cell>
          <cell r="C150" t="str">
            <v>Expense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</row>
        <row r="151">
          <cell r="A151" t="str">
            <v>330000</v>
          </cell>
          <cell r="B151" t="str">
            <v>Office Expenses - Repairs and Maintenance</v>
          </cell>
          <cell r="C151" t="str">
            <v>Expense</v>
          </cell>
          <cell r="D151">
            <v>0</v>
          </cell>
          <cell r="E151">
            <v>0</v>
          </cell>
          <cell r="F151">
            <v>0</v>
          </cell>
          <cell r="G151">
            <v>64.983999999999995</v>
          </cell>
          <cell r="H151">
            <v>0</v>
          </cell>
          <cell r="I151">
            <v>0</v>
          </cell>
          <cell r="J151">
            <v>50.032859999999999</v>
          </cell>
          <cell r="K151">
            <v>152.76246</v>
          </cell>
          <cell r="L151">
            <v>152.76246</v>
          </cell>
          <cell r="M151">
            <v>152.76246</v>
          </cell>
          <cell r="N151">
            <v>152.76246</v>
          </cell>
          <cell r="O151">
            <v>152.76246</v>
          </cell>
          <cell r="P151">
            <v>152.76246</v>
          </cell>
          <cell r="Q151">
            <v>172.53335999999999</v>
          </cell>
          <cell r="R151">
            <v>192.59321</v>
          </cell>
          <cell r="S151">
            <v>192.59321</v>
          </cell>
          <cell r="U151">
            <v>0</v>
          </cell>
          <cell r="V151">
            <v>192.59321</v>
          </cell>
        </row>
        <row r="152">
          <cell r="A152" t="str">
            <v>330010</v>
          </cell>
          <cell r="B152" t="str">
            <v>Office Expenses - Security Expenses</v>
          </cell>
          <cell r="C152" t="str">
            <v>Expense</v>
          </cell>
          <cell r="D152">
            <v>0</v>
          </cell>
          <cell r="E152">
            <v>0</v>
          </cell>
          <cell r="F152">
            <v>0</v>
          </cell>
          <cell r="G152">
            <v>122.42664000000001</v>
          </cell>
          <cell r="H152">
            <v>121.4892</v>
          </cell>
          <cell r="I152">
            <v>240.2568</v>
          </cell>
          <cell r="J152">
            <v>379.68759999999997</v>
          </cell>
          <cell r="K152">
            <v>490.98592000000002</v>
          </cell>
          <cell r="L152">
            <v>600.15232000000003</v>
          </cell>
          <cell r="M152">
            <v>707.73112000000003</v>
          </cell>
          <cell r="N152">
            <v>707.73112000000003</v>
          </cell>
          <cell r="O152">
            <v>848.08672000000001</v>
          </cell>
          <cell r="P152">
            <v>1019.5295599999999</v>
          </cell>
          <cell r="Q152">
            <v>1119.9566</v>
          </cell>
          <cell r="R152">
            <v>1242.94048</v>
          </cell>
          <cell r="S152">
            <v>1357.3664799999999</v>
          </cell>
          <cell r="U152">
            <v>0</v>
          </cell>
          <cell r="V152">
            <v>1357.3664799999999</v>
          </cell>
        </row>
        <row r="153">
          <cell r="A153" t="str">
            <v>330020</v>
          </cell>
          <cell r="B153" t="str">
            <v>Office Expenses - Office Supplies</v>
          </cell>
          <cell r="C153" t="str">
            <v>Expense</v>
          </cell>
          <cell r="D153">
            <v>0</v>
          </cell>
          <cell r="E153">
            <v>287.04633200000001</v>
          </cell>
          <cell r="F153">
            <v>76.467966000000004</v>
          </cell>
          <cell r="G153">
            <v>44.399635000000004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U153">
            <v>0</v>
          </cell>
          <cell r="V153">
            <v>0</v>
          </cell>
        </row>
        <row r="154">
          <cell r="A154" t="str">
            <v>330030</v>
          </cell>
          <cell r="B154" t="str">
            <v>Office Expenses - Setup Costs</v>
          </cell>
          <cell r="C154" t="str">
            <v>Expense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3700.8841356200001</v>
          </cell>
          <cell r="S154">
            <v>5224.72043562</v>
          </cell>
          <cell r="U154">
            <v>0</v>
          </cell>
          <cell r="V154">
            <v>5224.72043562</v>
          </cell>
        </row>
        <row r="155">
          <cell r="A155" t="str">
            <v>330040</v>
          </cell>
          <cell r="B155" t="str">
            <v>Office Expenses - Cleaning expenses</v>
          </cell>
          <cell r="C155" t="str">
            <v>Expense</v>
          </cell>
          <cell r="D155">
            <v>0</v>
          </cell>
          <cell r="E155">
            <v>5.2204620000000004</v>
          </cell>
          <cell r="F155">
            <v>25.615355999999998</v>
          </cell>
          <cell r="G155">
            <v>313.20165900000001</v>
          </cell>
          <cell r="H155">
            <v>121.4892</v>
          </cell>
          <cell r="I155">
            <v>476.22629999999998</v>
          </cell>
          <cell r="J155">
            <v>630.77959999999996</v>
          </cell>
          <cell r="K155">
            <v>742.07791999999995</v>
          </cell>
          <cell r="L155">
            <v>851.24432000000002</v>
          </cell>
          <cell r="M155">
            <v>958.82312000000002</v>
          </cell>
          <cell r="N155">
            <v>958.82312000000002</v>
          </cell>
          <cell r="O155">
            <v>1099.7637199999999</v>
          </cell>
          <cell r="P155">
            <v>1271.2065600000001</v>
          </cell>
          <cell r="Q155">
            <v>1375.6548</v>
          </cell>
          <cell r="R155">
            <v>1494.05088</v>
          </cell>
          <cell r="S155">
            <v>1609.23972</v>
          </cell>
          <cell r="U155">
            <v>0</v>
          </cell>
          <cell r="V155">
            <v>1609.23972</v>
          </cell>
        </row>
        <row r="156">
          <cell r="A156" t="str">
            <v>330050</v>
          </cell>
          <cell r="B156" t="str">
            <v>Office Expenses - Other</v>
          </cell>
          <cell r="C156" t="str">
            <v>Expense</v>
          </cell>
          <cell r="D156">
            <v>0</v>
          </cell>
          <cell r="E156">
            <v>259.82407368000003</v>
          </cell>
          <cell r="F156">
            <v>237.3792</v>
          </cell>
          <cell r="G156">
            <v>279.583302</v>
          </cell>
          <cell r="H156">
            <v>20.087499999999999</v>
          </cell>
          <cell r="I156">
            <v>25.045020000000001</v>
          </cell>
          <cell r="J156">
            <v>44.505020000000002</v>
          </cell>
          <cell r="K156">
            <v>63.02252</v>
          </cell>
          <cell r="L156">
            <v>89.650469999999999</v>
          </cell>
          <cell r="M156">
            <v>135.89796999999999</v>
          </cell>
          <cell r="N156">
            <v>135.89796999999999</v>
          </cell>
          <cell r="O156">
            <v>183.67827</v>
          </cell>
          <cell r="P156">
            <v>266.13882999999998</v>
          </cell>
          <cell r="Q156">
            <v>309.56362999999999</v>
          </cell>
          <cell r="R156">
            <v>324.91723000000002</v>
          </cell>
          <cell r="S156">
            <v>340.04595</v>
          </cell>
          <cell r="U156">
            <v>0</v>
          </cell>
          <cell r="V156">
            <v>340.04595</v>
          </cell>
        </row>
        <row r="157">
          <cell r="A157" t="str">
            <v>330060</v>
          </cell>
          <cell r="B157" t="str">
            <v>Office Expenses - Tea, Coffee, Water, Snacks</v>
          </cell>
          <cell r="C157" t="str">
            <v>Expense</v>
          </cell>
          <cell r="D157">
            <v>0</v>
          </cell>
          <cell r="E157">
            <v>488.46450199999998</v>
          </cell>
          <cell r="F157">
            <v>444.62669799999998</v>
          </cell>
          <cell r="G157">
            <v>1336.5265469999999</v>
          </cell>
          <cell r="H157">
            <v>154.030439</v>
          </cell>
          <cell r="I157">
            <v>925.87266</v>
          </cell>
          <cell r="J157">
            <v>1065.3730539999999</v>
          </cell>
          <cell r="K157">
            <v>1221.2457240000001</v>
          </cell>
          <cell r="L157">
            <v>1439.9519439999999</v>
          </cell>
          <cell r="M157">
            <v>1570.7932350000001</v>
          </cell>
          <cell r="N157">
            <v>1730.594081</v>
          </cell>
          <cell r="O157">
            <v>1800.975756</v>
          </cell>
          <cell r="P157">
            <v>7516.8064340000001</v>
          </cell>
          <cell r="Q157">
            <v>7712.6656979999998</v>
          </cell>
          <cell r="R157">
            <v>7913.7190909999999</v>
          </cell>
          <cell r="S157">
            <v>8072.2466949999998</v>
          </cell>
          <cell r="U157">
            <v>5394</v>
          </cell>
          <cell r="V157">
            <v>2678.2466949999998</v>
          </cell>
        </row>
        <row r="158">
          <cell r="A158" t="str">
            <v>340000</v>
          </cell>
          <cell r="B158" t="str">
            <v>Donations</v>
          </cell>
          <cell r="C158" t="str">
            <v>Expense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U158">
            <v>0</v>
          </cell>
          <cell r="V158">
            <v>0</v>
          </cell>
        </row>
        <row r="159">
          <cell r="A159" t="str">
            <v>340010</v>
          </cell>
          <cell r="B159" t="str">
            <v>Entertainment</v>
          </cell>
          <cell r="C159" t="str">
            <v>Expense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U159">
            <v>0</v>
          </cell>
          <cell r="V159">
            <v>0</v>
          </cell>
        </row>
        <row r="160">
          <cell r="A160" t="str">
            <v>340020</v>
          </cell>
          <cell r="B160" t="str">
            <v>Training</v>
          </cell>
          <cell r="C160" t="str">
            <v>Expense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U160">
            <v>0</v>
          </cell>
          <cell r="V160">
            <v>0</v>
          </cell>
        </row>
        <row r="161">
          <cell r="A161" t="str">
            <v>340030</v>
          </cell>
          <cell r="B161" t="str">
            <v>Fixed asset disposal loss</v>
          </cell>
          <cell r="C161" t="str">
            <v>Expense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U161">
            <v>0</v>
          </cell>
          <cell r="V161">
            <v>0</v>
          </cell>
        </row>
        <row r="162">
          <cell r="A162" t="str">
            <v>340040</v>
          </cell>
          <cell r="B162" t="str">
            <v>Realised FX Loss/Gain</v>
          </cell>
          <cell r="C162" t="str">
            <v>Expense</v>
          </cell>
          <cell r="D162">
            <v>32.432797780000001</v>
          </cell>
          <cell r="E162">
            <v>-185076.1530588</v>
          </cell>
          <cell r="F162">
            <v>186401.46864845001</v>
          </cell>
          <cell r="G162">
            <v>6941.0571183399998</v>
          </cell>
          <cell r="H162">
            <v>-58.872907580000003</v>
          </cell>
          <cell r="I162">
            <v>-694.18414820999999</v>
          </cell>
          <cell r="J162">
            <v>-1057.3366113100001</v>
          </cell>
          <cell r="K162">
            <v>-510.72826744999998</v>
          </cell>
          <cell r="L162">
            <v>-457.91585580999998</v>
          </cell>
          <cell r="M162">
            <v>-594.38821681000002</v>
          </cell>
          <cell r="N162">
            <v>1601.62438026</v>
          </cell>
          <cell r="O162">
            <v>1912.43503115</v>
          </cell>
          <cell r="P162">
            <v>2329.6977051499998</v>
          </cell>
          <cell r="Q162">
            <v>3564.1854545900001</v>
          </cell>
          <cell r="R162">
            <v>2718.5751715699998</v>
          </cell>
          <cell r="S162">
            <v>2718.5751715699998</v>
          </cell>
          <cell r="U162">
            <v>-4896.5743339700002</v>
          </cell>
          <cell r="V162">
            <v>7615.1495055400001</v>
          </cell>
        </row>
        <row r="163">
          <cell r="A163" t="str">
            <v>340045</v>
          </cell>
          <cell r="B163" t="str">
            <v>Forex loss/Gain</v>
          </cell>
          <cell r="C163" t="str">
            <v>Expense</v>
          </cell>
          <cell r="D163">
            <v>0</v>
          </cell>
          <cell r="E163">
            <v>-277.14964199999997</v>
          </cell>
          <cell r="F163">
            <v>1.4147400000000001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24.96</v>
          </cell>
          <cell r="L163">
            <v>91.96</v>
          </cell>
          <cell r="M163">
            <v>91.96</v>
          </cell>
          <cell r="N163">
            <v>91.96</v>
          </cell>
          <cell r="O163">
            <v>91.96</v>
          </cell>
          <cell r="P163">
            <v>91.96</v>
          </cell>
          <cell r="Q163">
            <v>91.96</v>
          </cell>
          <cell r="R163">
            <v>91.96</v>
          </cell>
          <cell r="S163">
            <v>91.96</v>
          </cell>
          <cell r="U163">
            <v>91.96</v>
          </cell>
          <cell r="V163">
            <v>0</v>
          </cell>
        </row>
        <row r="164">
          <cell r="A164" t="str">
            <v>340050</v>
          </cell>
          <cell r="B164" t="str">
            <v>Unrealised FX loss</v>
          </cell>
          <cell r="C164" t="str">
            <v>Expense</v>
          </cell>
          <cell r="D164">
            <v>0</v>
          </cell>
          <cell r="E164">
            <v>0</v>
          </cell>
          <cell r="F164">
            <v>22555.471818000002</v>
          </cell>
          <cell r="G164">
            <v>67404.062137159999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U164">
            <v>0</v>
          </cell>
          <cell r="V164">
            <v>0</v>
          </cell>
        </row>
        <row r="165">
          <cell r="A165" t="str">
            <v>340060</v>
          </cell>
          <cell r="B165" t="str">
            <v>Loss from FX trading operations with banks</v>
          </cell>
          <cell r="C165" t="str">
            <v>Expense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U165">
            <v>0</v>
          </cell>
          <cell r="V165">
            <v>0</v>
          </cell>
        </row>
        <row r="166">
          <cell r="A166" t="str">
            <v>340070</v>
          </cell>
          <cell r="B166" t="str">
            <v>Loss from FX operations with customers</v>
          </cell>
          <cell r="C166" t="str">
            <v>Expense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U166">
            <v>0</v>
          </cell>
          <cell r="V166">
            <v>0</v>
          </cell>
        </row>
        <row r="167">
          <cell r="A167" t="str">
            <v>340080</v>
          </cell>
          <cell r="B167" t="str">
            <v>Staff  Power App Testing Expense</v>
          </cell>
          <cell r="C167" t="str">
            <v>Expense</v>
          </cell>
          <cell r="D167">
            <v>0</v>
          </cell>
          <cell r="E167">
            <v>0</v>
          </cell>
          <cell r="F167">
            <v>231.19735595</v>
          </cell>
          <cell r="G167">
            <v>109.93348665000001</v>
          </cell>
          <cell r="H167">
            <v>2.1290100000000001</v>
          </cell>
          <cell r="I167">
            <v>2.4528750000000001</v>
          </cell>
          <cell r="J167">
            <v>5.0366049500000001</v>
          </cell>
          <cell r="K167">
            <v>10.32936419</v>
          </cell>
          <cell r="L167">
            <v>30.06723719</v>
          </cell>
          <cell r="M167">
            <v>49.185242189999997</v>
          </cell>
          <cell r="N167">
            <v>64.355992189999995</v>
          </cell>
          <cell r="O167">
            <v>64.355992189999995</v>
          </cell>
          <cell r="P167">
            <v>72.396147189999994</v>
          </cell>
          <cell r="Q167">
            <v>72.201197190000002</v>
          </cell>
          <cell r="R167">
            <v>75.422408189999999</v>
          </cell>
          <cell r="S167">
            <v>76.208882189999997</v>
          </cell>
          <cell r="U167">
            <v>0</v>
          </cell>
          <cell r="V167">
            <v>76.208882189999997</v>
          </cell>
        </row>
        <row r="168">
          <cell r="A168" t="str">
            <v>340090</v>
          </cell>
          <cell r="B168" t="str">
            <v>Cost of disposal of PPE (clearing)</v>
          </cell>
          <cell r="C168" t="str">
            <v>Expense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U168">
            <v>0</v>
          </cell>
          <cell r="V168">
            <v>0</v>
          </cell>
        </row>
        <row r="169">
          <cell r="A169" t="str">
            <v>340100</v>
          </cell>
          <cell r="B169" t="str">
            <v>Penalties and Fines</v>
          </cell>
          <cell r="C169" t="str">
            <v>Expense</v>
          </cell>
          <cell r="D169">
            <v>0</v>
          </cell>
          <cell r="E169">
            <v>0</v>
          </cell>
          <cell r="F169">
            <v>0</v>
          </cell>
          <cell r="G169">
            <v>110.943495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</row>
        <row r="170">
          <cell r="A170" t="str">
            <v>340110</v>
          </cell>
          <cell r="B170" t="str">
            <v>Operational losses</v>
          </cell>
          <cell r="C170" t="str">
            <v>Expense</v>
          </cell>
          <cell r="D170">
            <v>0</v>
          </cell>
          <cell r="E170">
            <v>0</v>
          </cell>
          <cell r="F170">
            <v>0</v>
          </cell>
          <cell r="G170">
            <v>22.300943090000001</v>
          </cell>
          <cell r="H170">
            <v>1.0271799999999999E-3</v>
          </cell>
          <cell r="I170">
            <v>1.0271799999999999E-3</v>
          </cell>
          <cell r="J170">
            <v>0.87461021999999999</v>
          </cell>
          <cell r="K170">
            <v>0.94129529999999995</v>
          </cell>
          <cell r="L170">
            <v>1.6076199900000001</v>
          </cell>
          <cell r="M170">
            <v>2.1989517599999999</v>
          </cell>
          <cell r="N170">
            <v>2.4582671899999999</v>
          </cell>
          <cell r="O170">
            <v>2.8989867500000002</v>
          </cell>
          <cell r="P170">
            <v>2.8989867500000002</v>
          </cell>
          <cell r="Q170">
            <v>3.4831163300000001</v>
          </cell>
          <cell r="R170">
            <v>4.1849188899999996</v>
          </cell>
          <cell r="S170">
            <v>4.7709149200000001</v>
          </cell>
          <cell r="U170">
            <v>0</v>
          </cell>
          <cell r="V170">
            <v>4.7709149200000001</v>
          </cell>
        </row>
        <row r="171">
          <cell r="A171" t="str">
            <v>340120</v>
          </cell>
          <cell r="B171" t="str">
            <v>Rounding-off Offset Account</v>
          </cell>
          <cell r="C171" t="str">
            <v>Expense</v>
          </cell>
          <cell r="D171">
            <v>0</v>
          </cell>
          <cell r="E171">
            <v>0</v>
          </cell>
          <cell r="F171">
            <v>1.8922870000000001E-2</v>
          </cell>
          <cell r="G171">
            <v>-0.45689631000000003</v>
          </cell>
          <cell r="H171">
            <v>2.090734E-2</v>
          </cell>
          <cell r="I171">
            <v>-9.2280760000000003E-2</v>
          </cell>
          <cell r="J171">
            <v>-0.24777381000000001</v>
          </cell>
          <cell r="K171">
            <v>-0.24049557999999999</v>
          </cell>
          <cell r="L171">
            <v>-0.24049557999999999</v>
          </cell>
          <cell r="M171">
            <v>-0.22843485999999999</v>
          </cell>
          <cell r="N171">
            <v>-0.21279469000000001</v>
          </cell>
          <cell r="O171">
            <v>-0.21279469000000001</v>
          </cell>
          <cell r="P171">
            <v>-0.15285877</v>
          </cell>
          <cell r="Q171">
            <v>-0.15285877</v>
          </cell>
          <cell r="R171">
            <v>-8.6878769999999994E-2</v>
          </cell>
          <cell r="S171">
            <v>-8.6878769999999994E-2</v>
          </cell>
          <cell r="U171">
            <v>0</v>
          </cell>
          <cell r="V171">
            <v>-8.6878769999999994E-2</v>
          </cell>
        </row>
        <row r="172">
          <cell r="A172" t="str">
            <v>350000</v>
          </cell>
          <cell r="B172" t="str">
            <v>Postage and Delivery</v>
          </cell>
          <cell r="C172" t="str">
            <v>Expense</v>
          </cell>
          <cell r="D172">
            <v>0</v>
          </cell>
          <cell r="E172">
            <v>30.210249999999998</v>
          </cell>
          <cell r="F172">
            <v>14.143459</v>
          </cell>
          <cell r="G172">
            <v>29.910499999999999</v>
          </cell>
          <cell r="H172">
            <v>0</v>
          </cell>
          <cell r="I172">
            <v>0</v>
          </cell>
          <cell r="J172">
            <v>3.044</v>
          </cell>
          <cell r="K172">
            <v>3.044</v>
          </cell>
          <cell r="L172">
            <v>3.044</v>
          </cell>
          <cell r="M172">
            <v>13.0656</v>
          </cell>
          <cell r="N172">
            <v>79.433999999999997</v>
          </cell>
          <cell r="O172">
            <v>94.705399999999997</v>
          </cell>
          <cell r="P172">
            <v>105.8396</v>
          </cell>
          <cell r="Q172">
            <v>116.53045</v>
          </cell>
          <cell r="R172">
            <v>159.99805000000001</v>
          </cell>
          <cell r="S172">
            <v>169.12020000000001</v>
          </cell>
          <cell r="U172">
            <v>0</v>
          </cell>
          <cell r="V172">
            <v>169.12020000000001</v>
          </cell>
        </row>
        <row r="173">
          <cell r="A173" t="str">
            <v>360000</v>
          </cell>
          <cell r="B173" t="str">
            <v>Depreciation - Comp Equipment</v>
          </cell>
          <cell r="C173" t="str">
            <v>Expense</v>
          </cell>
          <cell r="D173">
            <v>0</v>
          </cell>
          <cell r="E173">
            <v>516.90599999999995</v>
          </cell>
          <cell r="F173">
            <v>767.31806900000004</v>
          </cell>
          <cell r="G173">
            <v>1413.1430849999999</v>
          </cell>
          <cell r="H173">
            <v>209.764768</v>
          </cell>
          <cell r="I173">
            <v>468.84295800000001</v>
          </cell>
          <cell r="J173">
            <v>780.66720799999996</v>
          </cell>
          <cell r="K173">
            <v>1171.4171699999999</v>
          </cell>
          <cell r="L173">
            <v>1642.385366</v>
          </cell>
          <cell r="M173">
            <v>1995.834891</v>
          </cell>
          <cell r="N173">
            <v>2374.7105510000001</v>
          </cell>
          <cell r="O173">
            <v>2749.9262469999999</v>
          </cell>
          <cell r="P173">
            <v>3121.0695350000001</v>
          </cell>
          <cell r="Q173">
            <v>3488.5016770000002</v>
          </cell>
          <cell r="R173">
            <v>3852.0913049999999</v>
          </cell>
          <cell r="S173">
            <v>4214.8927249999997</v>
          </cell>
          <cell r="U173">
            <v>197.99999999999955</v>
          </cell>
          <cell r="V173">
            <v>4016.8927250000002</v>
          </cell>
        </row>
        <row r="174">
          <cell r="A174" t="str">
            <v>360010</v>
          </cell>
          <cell r="B174" t="str">
            <v>Depreciation - Furn and Fittings</v>
          </cell>
          <cell r="C174" t="str">
            <v>Expense</v>
          </cell>
          <cell r="D174">
            <v>0</v>
          </cell>
          <cell r="E174">
            <v>0</v>
          </cell>
          <cell r="F174">
            <v>283.31668000000002</v>
          </cell>
          <cell r="G174">
            <v>1437.8226749999999</v>
          </cell>
          <cell r="H174">
            <v>160.83276799999999</v>
          </cell>
          <cell r="I174">
            <v>320.28926799999999</v>
          </cell>
          <cell r="J174">
            <v>463.99001800000002</v>
          </cell>
          <cell r="K174">
            <v>605.40218900000002</v>
          </cell>
          <cell r="L174">
            <v>766.77362900000003</v>
          </cell>
          <cell r="M174">
            <v>919.76747399999999</v>
          </cell>
          <cell r="N174">
            <v>1071.0410790000001</v>
          </cell>
          <cell r="O174">
            <v>1219.1537430000001</v>
          </cell>
          <cell r="P174">
            <v>1364.6000349999999</v>
          </cell>
          <cell r="Q174">
            <v>1507.6164879999999</v>
          </cell>
          <cell r="R174">
            <v>1648.11709</v>
          </cell>
          <cell r="S174">
            <v>1788.1016199999999</v>
          </cell>
          <cell r="U174">
            <v>0</v>
          </cell>
          <cell r="V174">
            <v>1788.1016199999999</v>
          </cell>
        </row>
        <row r="175">
          <cell r="A175" t="str">
            <v>360020</v>
          </cell>
          <cell r="B175" t="str">
            <v>Depreciation - Office Equipment</v>
          </cell>
          <cell r="C175" t="str">
            <v>Expense</v>
          </cell>
          <cell r="D175">
            <v>50.257404000000001</v>
          </cell>
          <cell r="E175">
            <v>359.38714499999998</v>
          </cell>
          <cell r="F175">
            <v>320.34226000000001</v>
          </cell>
          <cell r="G175">
            <v>161.188467</v>
          </cell>
          <cell r="H175">
            <v>55.212575999999999</v>
          </cell>
          <cell r="I175">
            <v>98.184791000000004</v>
          </cell>
          <cell r="J175">
            <v>103.30116599999999</v>
          </cell>
          <cell r="K175">
            <v>145.960679</v>
          </cell>
          <cell r="L175">
            <v>183.960679</v>
          </cell>
          <cell r="M175">
            <v>226.464474</v>
          </cell>
          <cell r="N175">
            <v>268.91762899999998</v>
          </cell>
          <cell r="O175">
            <v>320.20458100000002</v>
          </cell>
          <cell r="P175">
            <v>369.29754100000002</v>
          </cell>
          <cell r="Q175">
            <v>417.75956400000001</v>
          </cell>
          <cell r="R175">
            <v>465.75004999999999</v>
          </cell>
          <cell r="S175">
            <v>513.70384000000001</v>
          </cell>
          <cell r="U175">
            <v>0</v>
          </cell>
          <cell r="V175">
            <v>513.70384000000001</v>
          </cell>
        </row>
        <row r="176">
          <cell r="A176" t="str">
            <v>360030</v>
          </cell>
          <cell r="B176" t="str">
            <v>Armotization- Credolab software</v>
          </cell>
          <cell r="C176" t="str">
            <v>Expense</v>
          </cell>
          <cell r="D176">
            <v>0</v>
          </cell>
          <cell r="E176">
            <v>1550.8590999999999</v>
          </cell>
          <cell r="F176">
            <v>5374.384626</v>
          </cell>
          <cell r="G176">
            <v>3665.8634999999999</v>
          </cell>
          <cell r="H176">
            <v>225.562656</v>
          </cell>
          <cell r="I176">
            <v>446.15462100000002</v>
          </cell>
          <cell r="J176">
            <v>660.28749600000003</v>
          </cell>
          <cell r="K176">
            <v>867.00645899999995</v>
          </cell>
          <cell r="L176">
            <v>1071.7315289999999</v>
          </cell>
          <cell r="M176">
            <v>1271.542074</v>
          </cell>
          <cell r="N176">
            <v>1469.1059789999999</v>
          </cell>
          <cell r="O176">
            <v>1662.5416829999999</v>
          </cell>
          <cell r="P176">
            <v>1852.495095</v>
          </cell>
          <cell r="Q176">
            <v>2038.9662149999999</v>
          </cell>
          <cell r="R176">
            <v>2222.4605369999999</v>
          </cell>
          <cell r="S176">
            <v>2405.2808669999999</v>
          </cell>
          <cell r="U176">
            <v>0</v>
          </cell>
          <cell r="V176">
            <v>2405.2808669999999</v>
          </cell>
        </row>
        <row r="177">
          <cell r="A177" t="str">
            <v>360040</v>
          </cell>
          <cell r="B177" t="str">
            <v>Amortization- Power Core software</v>
          </cell>
          <cell r="C177" t="str">
            <v>Expense</v>
          </cell>
          <cell r="D177">
            <v>0</v>
          </cell>
          <cell r="E177">
            <v>0</v>
          </cell>
          <cell r="F177">
            <v>21324</v>
          </cell>
          <cell r="G177">
            <v>137893.69</v>
          </cell>
          <cell r="H177">
            <v>15057</v>
          </cell>
          <cell r="I177">
            <v>30114</v>
          </cell>
          <cell r="J177">
            <v>45171</v>
          </cell>
          <cell r="K177">
            <v>60228</v>
          </cell>
          <cell r="L177">
            <v>75285</v>
          </cell>
          <cell r="M177">
            <v>90342</v>
          </cell>
          <cell r="N177">
            <v>105399</v>
          </cell>
          <cell r="O177">
            <v>120456</v>
          </cell>
          <cell r="P177">
            <v>135513</v>
          </cell>
          <cell r="Q177">
            <v>150570</v>
          </cell>
          <cell r="R177">
            <v>165627</v>
          </cell>
          <cell r="S177">
            <v>180684</v>
          </cell>
          <cell r="U177">
            <v>180684</v>
          </cell>
          <cell r="V177">
            <v>0</v>
          </cell>
        </row>
        <row r="178">
          <cell r="A178" t="str">
            <v>360060</v>
          </cell>
          <cell r="B178" t="str">
            <v>Amortization - Other Intangible Assets</v>
          </cell>
          <cell r="C178" t="str">
            <v>Expense</v>
          </cell>
          <cell r="D178">
            <v>0</v>
          </cell>
          <cell r="E178">
            <v>0</v>
          </cell>
          <cell r="F178">
            <v>11.984931</v>
          </cell>
          <cell r="G178">
            <v>68.720916000000003</v>
          </cell>
          <cell r="H178">
            <v>5.4376639999999998</v>
          </cell>
          <cell r="I178">
            <v>10.755499</v>
          </cell>
          <cell r="J178">
            <v>15.917624</v>
          </cell>
          <cell r="K178">
            <v>20.901021</v>
          </cell>
          <cell r="L178">
            <v>25.836351000000001</v>
          </cell>
          <cell r="M178">
            <v>30.653206000000001</v>
          </cell>
          <cell r="N178">
            <v>35.415900999999998</v>
          </cell>
          <cell r="O178">
            <v>40.079076999999998</v>
          </cell>
          <cell r="P178">
            <v>44.658304999999999</v>
          </cell>
          <cell r="Q178">
            <v>49.161031999999999</v>
          </cell>
          <cell r="R178">
            <v>53.58455</v>
          </cell>
          <cell r="S178">
            <v>57.991819999999997</v>
          </cell>
          <cell r="U178">
            <v>0</v>
          </cell>
          <cell r="V178">
            <v>57.991819999999997</v>
          </cell>
        </row>
        <row r="179">
          <cell r="A179" t="str">
            <v>360070</v>
          </cell>
          <cell r="B179" t="str">
            <v>Depreciation Right of Use Assets - Motor Vehicles</v>
          </cell>
          <cell r="C179" t="str">
            <v>Expense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U179">
            <v>0</v>
          </cell>
          <cell r="V179">
            <v>0</v>
          </cell>
        </row>
        <row r="180">
          <cell r="A180" t="str">
            <v>360080</v>
          </cell>
          <cell r="B180" t="str">
            <v>Depreciation Right of Use Assets - Equipment</v>
          </cell>
          <cell r="C180" t="str">
            <v>Expense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U180">
            <v>0</v>
          </cell>
          <cell r="V180">
            <v>0</v>
          </cell>
        </row>
        <row r="181">
          <cell r="A181" t="str">
            <v>360090</v>
          </cell>
          <cell r="B181" t="str">
            <v>Depreciation Research &amp; Development Costs</v>
          </cell>
          <cell r="C181" t="str">
            <v>Expense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U181">
            <v>0</v>
          </cell>
          <cell r="V181">
            <v>0</v>
          </cell>
        </row>
        <row r="182">
          <cell r="A182" t="str">
            <v>360100</v>
          </cell>
          <cell r="B182" t="str">
            <v>Depreciation - Audit Adjustment</v>
          </cell>
          <cell r="C182" t="str">
            <v>Expense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</row>
        <row r="183">
          <cell r="A183" t="str">
            <v>370000</v>
          </cell>
          <cell r="B183" t="str">
            <v>Printing and Stationery</v>
          </cell>
          <cell r="C183" t="str">
            <v>Expense</v>
          </cell>
          <cell r="D183">
            <v>51.550800000000002</v>
          </cell>
          <cell r="E183">
            <v>126.017915</v>
          </cell>
          <cell r="F183">
            <v>68.909453999999997</v>
          </cell>
          <cell r="G183">
            <v>36.361190000000001</v>
          </cell>
          <cell r="H183">
            <v>43.141374999999996</v>
          </cell>
          <cell r="I183">
            <v>205.164299</v>
          </cell>
          <cell r="J183">
            <v>228.73574400000001</v>
          </cell>
          <cell r="K183">
            <v>310.569952</v>
          </cell>
          <cell r="L183">
            <v>322.37411200000003</v>
          </cell>
          <cell r="M183">
            <v>359.98527999999999</v>
          </cell>
          <cell r="N183">
            <v>378.49664000000001</v>
          </cell>
          <cell r="O183">
            <v>427.35514000000001</v>
          </cell>
          <cell r="P183">
            <v>427.35514000000001</v>
          </cell>
          <cell r="Q183">
            <v>434.54126000000002</v>
          </cell>
          <cell r="R183">
            <v>434.54126000000002</v>
          </cell>
          <cell r="S183">
            <v>434.54126000000002</v>
          </cell>
          <cell r="U183">
            <v>0</v>
          </cell>
          <cell r="V183">
            <v>434.54126000000002</v>
          </cell>
        </row>
        <row r="184">
          <cell r="A184" t="str">
            <v>370010</v>
          </cell>
          <cell r="B184" t="str">
            <v>Other consumables</v>
          </cell>
          <cell r="C184" t="str">
            <v>Expense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</row>
        <row r="185">
          <cell r="A185" t="str">
            <v>370020</v>
          </cell>
          <cell r="B185" t="str">
            <v>Photocopying Costs</v>
          </cell>
          <cell r="C185" t="str">
            <v>Expense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</row>
        <row r="186">
          <cell r="A186" t="str">
            <v>380000</v>
          </cell>
          <cell r="B186" t="str">
            <v>Professional Fees - Legal fees</v>
          </cell>
          <cell r="C186" t="str">
            <v>Expense</v>
          </cell>
          <cell r="D186">
            <v>4332.37</v>
          </cell>
          <cell r="E186">
            <v>22208.060736880001</v>
          </cell>
          <cell r="F186">
            <v>19186.913105</v>
          </cell>
          <cell r="G186">
            <v>79102.565149999995</v>
          </cell>
          <cell r="H186">
            <v>2286.80825</v>
          </cell>
          <cell r="I186">
            <v>2497.6309999999999</v>
          </cell>
          <cell r="J186">
            <v>10263.81828</v>
          </cell>
          <cell r="K186">
            <v>11455.624470000001</v>
          </cell>
          <cell r="L186">
            <v>15648.46377</v>
          </cell>
          <cell r="M186">
            <v>19430.138319999998</v>
          </cell>
          <cell r="N186">
            <v>21727.37127</v>
          </cell>
          <cell r="O186">
            <v>32347.176230000001</v>
          </cell>
          <cell r="P186">
            <v>33781.65079</v>
          </cell>
          <cell r="Q186">
            <v>34663.426939999998</v>
          </cell>
          <cell r="R186">
            <v>38070.321759999999</v>
          </cell>
          <cell r="S186">
            <v>40240.581203399997</v>
          </cell>
          <cell r="U186">
            <v>27790.559999999998</v>
          </cell>
          <cell r="V186">
            <v>12450.0212034</v>
          </cell>
        </row>
        <row r="187">
          <cell r="A187" t="str">
            <v>380001</v>
          </cell>
          <cell r="B187" t="str">
            <v>Professional Fees - Management fees</v>
          </cell>
          <cell r="C187" t="str">
            <v>Expense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</row>
        <row r="188">
          <cell r="A188" t="str">
            <v>380002</v>
          </cell>
          <cell r="B188" t="str">
            <v>Professional Fees - Consultation fees</v>
          </cell>
          <cell r="C188" t="str">
            <v>Expense</v>
          </cell>
          <cell r="D188">
            <v>0</v>
          </cell>
          <cell r="E188">
            <v>0</v>
          </cell>
          <cell r="F188">
            <v>600</v>
          </cell>
          <cell r="G188">
            <v>0</v>
          </cell>
          <cell r="H188">
            <v>0</v>
          </cell>
          <cell r="I188">
            <v>0</v>
          </cell>
          <cell r="J188">
            <v>600</v>
          </cell>
          <cell r="K188">
            <v>600</v>
          </cell>
          <cell r="L188">
            <v>600</v>
          </cell>
          <cell r="M188">
            <v>600</v>
          </cell>
          <cell r="N188">
            <v>600</v>
          </cell>
          <cell r="O188">
            <v>600</v>
          </cell>
          <cell r="P188">
            <v>600</v>
          </cell>
          <cell r="Q188">
            <v>600</v>
          </cell>
          <cell r="R188">
            <v>600</v>
          </cell>
          <cell r="S188">
            <v>600</v>
          </cell>
          <cell r="U188">
            <v>0</v>
          </cell>
          <cell r="V188">
            <v>600</v>
          </cell>
        </row>
        <row r="189">
          <cell r="A189" t="str">
            <v>380003</v>
          </cell>
          <cell r="B189" t="str">
            <v>Professional Fees - Systems Development</v>
          </cell>
          <cell r="C189" t="str">
            <v>Expense</v>
          </cell>
          <cell r="D189">
            <v>0</v>
          </cell>
          <cell r="E189">
            <v>0</v>
          </cell>
          <cell r="F189">
            <v>1163.6099999999999</v>
          </cell>
          <cell r="G189">
            <v>2866.4063999999998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</row>
        <row r="190">
          <cell r="A190" t="str">
            <v>380004</v>
          </cell>
          <cell r="B190" t="str">
            <v>Professional Fees - Accounting Services</v>
          </cell>
          <cell r="C190" t="str">
            <v>Expense</v>
          </cell>
          <cell r="D190">
            <v>194.51501999999999</v>
          </cell>
          <cell r="E190">
            <v>1457.09</v>
          </cell>
          <cell r="F190">
            <v>5418.8887999999997</v>
          </cell>
          <cell r="G190">
            <v>4750</v>
          </cell>
          <cell r="H190">
            <v>400</v>
          </cell>
          <cell r="I190">
            <v>480</v>
          </cell>
          <cell r="J190">
            <v>800</v>
          </cell>
          <cell r="K190">
            <v>800</v>
          </cell>
          <cell r="L190">
            <v>880</v>
          </cell>
          <cell r="M190">
            <v>987</v>
          </cell>
          <cell r="N190">
            <v>987</v>
          </cell>
          <cell r="O190">
            <v>987</v>
          </cell>
          <cell r="P190">
            <v>987</v>
          </cell>
          <cell r="Q190">
            <v>1187</v>
          </cell>
          <cell r="R190">
            <v>5267</v>
          </cell>
          <cell r="S190">
            <v>5267</v>
          </cell>
          <cell r="U190">
            <v>5267</v>
          </cell>
          <cell r="V190">
            <v>0</v>
          </cell>
        </row>
        <row r="191">
          <cell r="A191" t="str">
            <v>380005</v>
          </cell>
          <cell r="B191" t="str">
            <v>Professional Fees - Tax Services</v>
          </cell>
          <cell r="C191" t="str">
            <v>Expense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U191">
            <v>0</v>
          </cell>
          <cell r="V191">
            <v>0</v>
          </cell>
        </row>
        <row r="192">
          <cell r="A192" t="str">
            <v>380006</v>
          </cell>
          <cell r="B192" t="str">
            <v>Professional Fees - Design</v>
          </cell>
          <cell r="C192" t="str">
            <v>Expense</v>
          </cell>
          <cell r="D192">
            <v>0</v>
          </cell>
          <cell r="E192">
            <v>700</v>
          </cell>
          <cell r="F192">
            <v>4095.7928000000002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</row>
        <row r="193">
          <cell r="A193" t="str">
            <v>380007</v>
          </cell>
          <cell r="B193" t="str">
            <v>Professional Fees - Other</v>
          </cell>
          <cell r="C193" t="str">
            <v>Expense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</row>
        <row r="194">
          <cell r="A194" t="str">
            <v>390000</v>
          </cell>
          <cell r="B194" t="str">
            <v>Rent Premises</v>
          </cell>
          <cell r="C194" t="str">
            <v>Expense</v>
          </cell>
          <cell r="D194">
            <v>14651.324640000001</v>
          </cell>
          <cell r="E194">
            <v>6900.81</v>
          </cell>
          <cell r="F194">
            <v>10242.33</v>
          </cell>
          <cell r="G194">
            <v>16189.01</v>
          </cell>
          <cell r="H194">
            <v>3334.5250000000001</v>
          </cell>
          <cell r="I194">
            <v>8854.4830000000002</v>
          </cell>
          <cell r="J194">
            <v>12084.843000000001</v>
          </cell>
          <cell r="K194">
            <v>15158.748</v>
          </cell>
          <cell r="L194">
            <v>18184.098000000002</v>
          </cell>
          <cell r="M194">
            <v>21136.823</v>
          </cell>
          <cell r="N194">
            <v>24056.348000000002</v>
          </cell>
          <cell r="O194">
            <v>26914.867999999999</v>
          </cell>
          <cell r="P194">
            <v>29715.288</v>
          </cell>
          <cell r="Q194">
            <v>32476.282999999999</v>
          </cell>
          <cell r="R194">
            <v>35186.233</v>
          </cell>
          <cell r="S194">
            <v>37872.112999999998</v>
          </cell>
          <cell r="U194">
            <v>0</v>
          </cell>
          <cell r="V194">
            <v>37872.112999999998</v>
          </cell>
        </row>
        <row r="195">
          <cell r="A195" t="str">
            <v>400000</v>
          </cell>
          <cell r="B195" t="str">
            <v>Repairs and Maintenance - Furniture and Fittings</v>
          </cell>
          <cell r="C195" t="str">
            <v>Expense</v>
          </cell>
          <cell r="D195">
            <v>0</v>
          </cell>
          <cell r="E195">
            <v>0</v>
          </cell>
          <cell r="F195">
            <v>0</v>
          </cell>
          <cell r="G195">
            <v>8.8030000000000008</v>
          </cell>
          <cell r="H195">
            <v>0</v>
          </cell>
          <cell r="I195">
            <v>0</v>
          </cell>
          <cell r="J195">
            <v>19.02</v>
          </cell>
          <cell r="K195">
            <v>31.160699999999999</v>
          </cell>
          <cell r="L195">
            <v>31.160699999999999</v>
          </cell>
          <cell r="M195">
            <v>31.160699999999999</v>
          </cell>
          <cell r="N195">
            <v>31.160699999999999</v>
          </cell>
          <cell r="O195">
            <v>31.160699999999999</v>
          </cell>
          <cell r="P195">
            <v>31.160699999999999</v>
          </cell>
          <cell r="Q195">
            <v>31.160699999999999</v>
          </cell>
          <cell r="R195">
            <v>31.160699999999999</v>
          </cell>
          <cell r="S195">
            <v>31.160699999999999</v>
          </cell>
          <cell r="U195">
            <v>0</v>
          </cell>
          <cell r="V195">
            <v>31.160699999999999</v>
          </cell>
        </row>
        <row r="196">
          <cell r="A196" t="str">
            <v>400010</v>
          </cell>
          <cell r="B196" t="str">
            <v>Repairs and Maintenance - Computer Equipment</v>
          </cell>
          <cell r="C196" t="str">
            <v>Expense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120.9464</v>
          </cell>
          <cell r="J196">
            <v>120.9464</v>
          </cell>
          <cell r="K196">
            <v>120.9464</v>
          </cell>
          <cell r="L196">
            <v>120.9464</v>
          </cell>
          <cell r="M196">
            <v>120.9464</v>
          </cell>
          <cell r="N196">
            <v>120.9464</v>
          </cell>
          <cell r="O196">
            <v>120.9464</v>
          </cell>
          <cell r="P196">
            <v>120.9464</v>
          </cell>
          <cell r="Q196">
            <v>120.9464</v>
          </cell>
          <cell r="R196">
            <v>150.86689999999999</v>
          </cell>
          <cell r="S196">
            <v>150.86689999999999</v>
          </cell>
          <cell r="U196">
            <v>0</v>
          </cell>
          <cell r="V196">
            <v>150.86689999999999</v>
          </cell>
        </row>
        <row r="197">
          <cell r="A197" t="str">
            <v>400020</v>
          </cell>
          <cell r="B197" t="str">
            <v>Repairs and Maintenance - Office Equipment</v>
          </cell>
          <cell r="C197" t="str">
            <v>Expense</v>
          </cell>
          <cell r="D197">
            <v>0</v>
          </cell>
          <cell r="E197">
            <v>0</v>
          </cell>
          <cell r="F197">
            <v>36.408000000000001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U197">
            <v>0</v>
          </cell>
          <cell r="V197">
            <v>0</v>
          </cell>
        </row>
        <row r="198">
          <cell r="A198" t="str">
            <v>400030</v>
          </cell>
          <cell r="B198" t="str">
            <v>Repairs and Maintenance - Setup Costs</v>
          </cell>
          <cell r="C198" t="str">
            <v>Expense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</row>
        <row r="199">
          <cell r="A199" t="str">
            <v>410000</v>
          </cell>
          <cell r="B199" t="str">
            <v>Internet Expenses</v>
          </cell>
          <cell r="C199" t="str">
            <v>Expense</v>
          </cell>
          <cell r="D199">
            <v>0</v>
          </cell>
          <cell r="E199">
            <v>625.13926700000002</v>
          </cell>
          <cell r="F199">
            <v>599.4135</v>
          </cell>
          <cell r="G199">
            <v>1071.0189929999999</v>
          </cell>
          <cell r="H199">
            <v>84.745500000000007</v>
          </cell>
          <cell r="I199">
            <v>925.50595999999996</v>
          </cell>
          <cell r="J199">
            <v>1263.3656329999999</v>
          </cell>
          <cell r="K199">
            <v>1376.857233</v>
          </cell>
          <cell r="L199">
            <v>1512.0477330000001</v>
          </cell>
          <cell r="M199">
            <v>1624.8334829999999</v>
          </cell>
          <cell r="N199">
            <v>1624.8334829999999</v>
          </cell>
          <cell r="O199">
            <v>1652.385483</v>
          </cell>
          <cell r="P199">
            <v>1847.0585349999999</v>
          </cell>
          <cell r="Q199">
            <v>2033.6941690000001</v>
          </cell>
          <cell r="R199">
            <v>2224.5436490000002</v>
          </cell>
          <cell r="S199">
            <v>2409.4074780000001</v>
          </cell>
          <cell r="U199">
            <v>0</v>
          </cell>
          <cell r="V199">
            <v>2409.4074780000001</v>
          </cell>
        </row>
        <row r="200">
          <cell r="A200" t="str">
            <v>410010</v>
          </cell>
          <cell r="B200" t="str">
            <v>Telephone Cellular</v>
          </cell>
          <cell r="C200" t="str">
            <v>Expense</v>
          </cell>
          <cell r="D200">
            <v>0</v>
          </cell>
          <cell r="E200">
            <v>10.9185</v>
          </cell>
          <cell r="F200">
            <v>650.26453000000004</v>
          </cell>
          <cell r="G200">
            <v>1210.3785499999999</v>
          </cell>
          <cell r="H200">
            <v>80.349999999999994</v>
          </cell>
          <cell r="I200">
            <v>232.48589999999999</v>
          </cell>
          <cell r="J200">
            <v>349.24590000000001</v>
          </cell>
          <cell r="K200">
            <v>552.61090000000002</v>
          </cell>
          <cell r="L200">
            <v>661.96090000000004</v>
          </cell>
          <cell r="M200">
            <v>803.11450000000002</v>
          </cell>
          <cell r="N200">
            <v>824.40049999999997</v>
          </cell>
          <cell r="O200">
            <v>824.40049999999997</v>
          </cell>
          <cell r="P200">
            <v>954.09706000000006</v>
          </cell>
          <cell r="Q200">
            <v>1063.1060600000001</v>
          </cell>
          <cell r="R200">
            <v>1177.6071750000001</v>
          </cell>
          <cell r="S200">
            <v>1268.001563</v>
          </cell>
          <cell r="U200">
            <v>0</v>
          </cell>
          <cell r="V200">
            <v>1268.001563</v>
          </cell>
        </row>
        <row r="201">
          <cell r="A201" t="str">
            <v>420000</v>
          </cell>
          <cell r="B201" t="str">
            <v>Travel and Accomodation - Domestic</v>
          </cell>
          <cell r="C201" t="str">
            <v>Expense</v>
          </cell>
          <cell r="D201">
            <v>32.629780740000001</v>
          </cell>
          <cell r="E201">
            <v>649.47816575000002</v>
          </cell>
          <cell r="F201">
            <v>0</v>
          </cell>
          <cell r="G201">
            <v>0</v>
          </cell>
          <cell r="H201">
            <v>0</v>
          </cell>
          <cell r="I201">
            <v>669.44712000000004</v>
          </cell>
          <cell r="J201">
            <v>669.44712000000004</v>
          </cell>
          <cell r="K201">
            <v>669.44712000000004</v>
          </cell>
          <cell r="L201">
            <v>669.44712000000004</v>
          </cell>
          <cell r="M201">
            <v>669.44712000000004</v>
          </cell>
          <cell r="N201">
            <v>669.44712000000004</v>
          </cell>
          <cell r="O201">
            <v>1323.7601199999999</v>
          </cell>
          <cell r="P201">
            <v>1438.47612</v>
          </cell>
          <cell r="Q201">
            <v>1652.78792</v>
          </cell>
          <cell r="R201">
            <v>1999.0899199999999</v>
          </cell>
          <cell r="S201">
            <v>2230.4649199999999</v>
          </cell>
          <cell r="U201">
            <v>0</v>
          </cell>
          <cell r="V201">
            <v>2230.4649199999999</v>
          </cell>
        </row>
        <row r="202">
          <cell r="A202" t="str">
            <v>420010</v>
          </cell>
          <cell r="B202" t="str">
            <v>Travel and Accomodation - International</v>
          </cell>
          <cell r="C202" t="str">
            <v>Expense</v>
          </cell>
          <cell r="D202">
            <v>2519.5412042900002</v>
          </cell>
          <cell r="E202">
            <v>1335.61718877</v>
          </cell>
          <cell r="F202">
            <v>909.63181274999999</v>
          </cell>
          <cell r="G202">
            <v>17548.409372999999</v>
          </cell>
          <cell r="H202">
            <v>0</v>
          </cell>
          <cell r="I202">
            <v>5684.9122500000003</v>
          </cell>
          <cell r="J202">
            <v>6988.9800800000003</v>
          </cell>
          <cell r="K202">
            <v>7950.7200800000001</v>
          </cell>
          <cell r="L202">
            <v>8357.4600800000007</v>
          </cell>
          <cell r="M202">
            <v>9663.3200799999995</v>
          </cell>
          <cell r="N202">
            <v>9727.1600799999997</v>
          </cell>
          <cell r="O202">
            <v>12123.640079999999</v>
          </cell>
          <cell r="P202">
            <v>17075.110079999999</v>
          </cell>
          <cell r="Q202">
            <v>19284.812099999999</v>
          </cell>
          <cell r="R202">
            <v>21436.611002000001</v>
          </cell>
          <cell r="S202">
            <v>21436.611002000001</v>
          </cell>
          <cell r="U202">
            <v>-201.69000000000051</v>
          </cell>
          <cell r="V202">
            <v>21638.301002</v>
          </cell>
        </row>
        <row r="203">
          <cell r="A203" t="str">
            <v>420020</v>
          </cell>
          <cell r="B203" t="str">
            <v>Travel and Accomodation – Board Meetings</v>
          </cell>
          <cell r="C203" t="str">
            <v>Expense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U203">
            <v>0</v>
          </cell>
          <cell r="V203">
            <v>0</v>
          </cell>
        </row>
        <row r="204">
          <cell r="A204" t="str">
            <v>420030</v>
          </cell>
          <cell r="B204" t="str">
            <v>Travel and Accomodation – Consultants</v>
          </cell>
          <cell r="C204" t="str">
            <v>Expense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U204">
            <v>0</v>
          </cell>
          <cell r="V204">
            <v>0</v>
          </cell>
        </row>
        <row r="205">
          <cell r="A205" t="str">
            <v>420040</v>
          </cell>
          <cell r="B205" t="str">
            <v>Travel and Accomodation - Air fares</v>
          </cell>
          <cell r="C205" t="str">
            <v>Expense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U205">
            <v>0</v>
          </cell>
          <cell r="V205">
            <v>0</v>
          </cell>
        </row>
        <row r="206">
          <cell r="A206" t="str">
            <v>420050</v>
          </cell>
          <cell r="B206" t="str">
            <v>Travel &amp; Accomodation - Workshop Expenses</v>
          </cell>
          <cell r="C206" t="str">
            <v>Expense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538.00019999999995</v>
          </cell>
          <cell r="M206">
            <v>538.00019999999995</v>
          </cell>
          <cell r="N206">
            <v>538.00019999999995</v>
          </cell>
          <cell r="O206">
            <v>538.00019999999995</v>
          </cell>
          <cell r="P206">
            <v>538.00019999999995</v>
          </cell>
          <cell r="Q206">
            <v>538.00019999999995</v>
          </cell>
          <cell r="R206">
            <v>538.00019999999995</v>
          </cell>
          <cell r="S206">
            <v>538.00019999999995</v>
          </cell>
          <cell r="U206">
            <v>0</v>
          </cell>
          <cell r="V206">
            <v>538.00019999999995</v>
          </cell>
        </row>
        <row r="207">
          <cell r="A207" t="str">
            <v>430000</v>
          </cell>
          <cell r="B207" t="str">
            <v xml:space="preserve">Water </v>
          </cell>
          <cell r="C207" t="str">
            <v>Expense</v>
          </cell>
          <cell r="D207">
            <v>0</v>
          </cell>
          <cell r="E207">
            <v>53.271594999999998</v>
          </cell>
          <cell r="F207">
            <v>104.842067</v>
          </cell>
          <cell r="G207">
            <v>100.74299999999999</v>
          </cell>
          <cell r="H207">
            <v>40.174999999999997</v>
          </cell>
          <cell r="I207">
            <v>80</v>
          </cell>
          <cell r="J207">
            <v>118.92</v>
          </cell>
          <cell r="K207">
            <v>155.95500000000001</v>
          </cell>
          <cell r="L207">
            <v>192.405</v>
          </cell>
          <cell r="M207">
            <v>227.98</v>
          </cell>
          <cell r="N207">
            <v>227.98</v>
          </cell>
          <cell r="O207">
            <v>262.42</v>
          </cell>
          <cell r="P207">
            <v>313.90049199999999</v>
          </cell>
          <cell r="Q207">
            <v>347.10049199999997</v>
          </cell>
          <cell r="R207">
            <v>385.72100599999999</v>
          </cell>
          <cell r="S207">
            <v>394.22704399999998</v>
          </cell>
          <cell r="U207">
            <v>0</v>
          </cell>
          <cell r="V207">
            <v>394.22704399999998</v>
          </cell>
        </row>
        <row r="208">
          <cell r="A208" t="str">
            <v>430010</v>
          </cell>
          <cell r="B208" t="str">
            <v>Electricity Costs</v>
          </cell>
          <cell r="C208" t="str">
            <v>Expense</v>
          </cell>
          <cell r="D208">
            <v>0</v>
          </cell>
          <cell r="E208">
            <v>114.594016</v>
          </cell>
          <cell r="F208">
            <v>230.06326000000001</v>
          </cell>
          <cell r="G208">
            <v>467.46328999999997</v>
          </cell>
          <cell r="H208">
            <v>120.52500000000001</v>
          </cell>
          <cell r="I208">
            <v>408.44592</v>
          </cell>
          <cell r="J208">
            <v>525.20591999999999</v>
          </cell>
          <cell r="K208">
            <v>636.31092000000001</v>
          </cell>
          <cell r="L208">
            <v>745.66092000000003</v>
          </cell>
          <cell r="M208">
            <v>852.38592000000006</v>
          </cell>
          <cell r="N208">
            <v>852.38592000000006</v>
          </cell>
          <cell r="O208">
            <v>1059.02592</v>
          </cell>
          <cell r="P208">
            <v>1261.4659200000001</v>
          </cell>
          <cell r="Q208">
            <v>1460.6659199999999</v>
          </cell>
          <cell r="R208">
            <v>1622.57584</v>
          </cell>
          <cell r="S208">
            <v>1782.8359359999999</v>
          </cell>
          <cell r="U208">
            <v>0</v>
          </cell>
          <cell r="V208">
            <v>1782.8359359999999</v>
          </cell>
        </row>
        <row r="209">
          <cell r="A209" t="str">
            <v>430020</v>
          </cell>
          <cell r="B209" t="str">
            <v>Other Utilities</v>
          </cell>
          <cell r="C209" t="str">
            <v>Expense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</row>
        <row r="210">
          <cell r="A210" t="str">
            <v>440000</v>
          </cell>
          <cell r="B210" t="str">
            <v>Management fees paid</v>
          </cell>
          <cell r="C210" t="str">
            <v>Expense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U210">
            <v>0</v>
          </cell>
          <cell r="V210">
            <v>0</v>
          </cell>
        </row>
        <row r="211">
          <cell r="A211" t="str">
            <v>440010</v>
          </cell>
          <cell r="B211" t="str">
            <v>VAT on Management fees paid</v>
          </cell>
          <cell r="C211" t="str">
            <v>Expense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U211">
            <v>0</v>
          </cell>
          <cell r="V211">
            <v>0</v>
          </cell>
        </row>
        <row r="212">
          <cell r="A212" t="str">
            <v>440020</v>
          </cell>
          <cell r="B212" t="str">
            <v>Guarantee fees paid</v>
          </cell>
          <cell r="C212" t="str">
            <v>Expense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U212">
            <v>0</v>
          </cell>
          <cell r="V212">
            <v>0</v>
          </cell>
        </row>
        <row r="213">
          <cell r="A213" t="str">
            <v>440030</v>
          </cell>
          <cell r="B213" t="str">
            <v>VAT on Guarantee fees paid</v>
          </cell>
          <cell r="C213" t="str">
            <v>Expense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U213">
            <v>0</v>
          </cell>
          <cell r="V213">
            <v>0</v>
          </cell>
        </row>
        <row r="214">
          <cell r="A214" t="str">
            <v>440040</v>
          </cell>
          <cell r="B214" t="str">
            <v>Arrangement fees paid</v>
          </cell>
          <cell r="C214" t="str">
            <v>Expense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</row>
        <row r="215">
          <cell r="A215" t="str">
            <v>440050</v>
          </cell>
          <cell r="B215" t="str">
            <v>Royalties paid</v>
          </cell>
          <cell r="C215" t="str">
            <v>Expense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U215">
            <v>0</v>
          </cell>
          <cell r="V215">
            <v>0</v>
          </cell>
        </row>
        <row r="216">
          <cell r="A216" t="str">
            <v>450000</v>
          </cell>
          <cell r="B216" t="str">
            <v>Dividend paid</v>
          </cell>
          <cell r="C216" t="str">
            <v>Expense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U216">
            <v>0</v>
          </cell>
          <cell r="V216">
            <v>0</v>
          </cell>
        </row>
        <row r="217">
          <cell r="A217" t="str">
            <v>450010</v>
          </cell>
          <cell r="B217" t="str">
            <v>Dividend paid – Preference Shares</v>
          </cell>
          <cell r="C217" t="str">
            <v>Expense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U217">
            <v>0</v>
          </cell>
          <cell r="V217">
            <v>0</v>
          </cell>
        </row>
        <row r="218">
          <cell r="A218" t="str">
            <v>460000</v>
          </cell>
          <cell r="B218" t="str">
            <v>Agency fees insurance</v>
          </cell>
          <cell r="C218" t="str">
            <v>Expense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U218">
            <v>0</v>
          </cell>
          <cell r="V218">
            <v>0</v>
          </cell>
        </row>
        <row r="219">
          <cell r="A219" t="str">
            <v>460010</v>
          </cell>
          <cell r="B219" t="str">
            <v>Brokerage fees insurance</v>
          </cell>
          <cell r="C219" t="str">
            <v>Expense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U219">
            <v>0</v>
          </cell>
          <cell r="V219">
            <v>0</v>
          </cell>
        </row>
        <row r="220">
          <cell r="A220" t="str">
            <v>570000</v>
          </cell>
          <cell r="B220" t="str">
            <v>Corporate Taxation - Current year</v>
          </cell>
          <cell r="C220" t="str">
            <v>Expense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U220">
            <v>0</v>
          </cell>
          <cell r="V220">
            <v>0</v>
          </cell>
        </row>
        <row r="221">
          <cell r="A221" t="str">
            <v>570010</v>
          </cell>
          <cell r="B221" t="str">
            <v>Corporate Taxation - Prior year</v>
          </cell>
          <cell r="C221" t="str">
            <v>Expense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U221">
            <v>0</v>
          </cell>
          <cell r="V221">
            <v>0</v>
          </cell>
        </row>
        <row r="222">
          <cell r="A222" t="str">
            <v>570020</v>
          </cell>
          <cell r="B222" t="str">
            <v>Tax penalty</v>
          </cell>
          <cell r="C222" t="str">
            <v>Expense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456.84183000000002</v>
          </cell>
          <cell r="R222">
            <v>456.84183000000002</v>
          </cell>
          <cell r="S222">
            <v>456.84183000000002</v>
          </cell>
          <cell r="U222">
            <v>0</v>
          </cell>
          <cell r="V222">
            <v>456.84183000000002</v>
          </cell>
        </row>
        <row r="223">
          <cell r="A223" t="str">
            <v>570030</v>
          </cell>
          <cell r="B223" t="str">
            <v>Tax interest</v>
          </cell>
          <cell r="C223" t="str">
            <v>Expense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U223">
            <v>0</v>
          </cell>
          <cell r="V223">
            <v>0</v>
          </cell>
        </row>
        <row r="224">
          <cell r="A224" t="str">
            <v>570040</v>
          </cell>
          <cell r="B224" t="str">
            <v>Fringe benefits tax</v>
          </cell>
          <cell r="C224" t="str">
            <v>Expense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U224">
            <v>0</v>
          </cell>
          <cell r="V224">
            <v>0</v>
          </cell>
        </row>
        <row r="225">
          <cell r="A225" t="str">
            <v>570050</v>
          </cell>
          <cell r="B225" t="str">
            <v>Deferred Taxation</v>
          </cell>
          <cell r="C225" t="str">
            <v>Expense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U225">
            <v>0</v>
          </cell>
          <cell r="V225">
            <v>0</v>
          </cell>
        </row>
        <row r="226">
          <cell r="A226" t="str">
            <v>570060</v>
          </cell>
          <cell r="B226" t="str">
            <v>Franchise Tax</v>
          </cell>
          <cell r="C226" t="str">
            <v>Expense</v>
          </cell>
          <cell r="D226">
            <v>0</v>
          </cell>
          <cell r="E226">
            <v>0</v>
          </cell>
          <cell r="F226">
            <v>0</v>
          </cell>
          <cell r="G226">
            <v>1250</v>
          </cell>
          <cell r="H226">
            <v>0</v>
          </cell>
          <cell r="I226">
            <v>0</v>
          </cell>
          <cell r="J226">
            <v>866.99</v>
          </cell>
          <cell r="K226">
            <v>866.99</v>
          </cell>
          <cell r="L226">
            <v>866.99</v>
          </cell>
          <cell r="M226">
            <v>866.99</v>
          </cell>
          <cell r="N226">
            <v>866.99</v>
          </cell>
          <cell r="O226">
            <v>866.99</v>
          </cell>
          <cell r="P226">
            <v>866.99</v>
          </cell>
          <cell r="Q226">
            <v>866.99</v>
          </cell>
          <cell r="R226">
            <v>866.99</v>
          </cell>
          <cell r="S226">
            <v>866.99</v>
          </cell>
          <cell r="U226">
            <v>866.99</v>
          </cell>
          <cell r="V226">
            <v>0</v>
          </cell>
        </row>
        <row r="227">
          <cell r="A227" t="str">
            <v>580000</v>
          </cell>
          <cell r="B227" t="str">
            <v>VAT - Input Tax</v>
          </cell>
          <cell r="C227" t="str">
            <v>Expense</v>
          </cell>
          <cell r="D227">
            <v>0</v>
          </cell>
          <cell r="E227">
            <v>0</v>
          </cell>
          <cell r="F227">
            <v>4826.5455259999999</v>
          </cell>
          <cell r="G227">
            <v>500.38505864000001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U227">
            <v>0</v>
          </cell>
          <cell r="V227">
            <v>0</v>
          </cell>
        </row>
        <row r="228">
          <cell r="A228" t="str">
            <v>580010</v>
          </cell>
          <cell r="B228" t="str">
            <v>VAT - Output Tax</v>
          </cell>
          <cell r="C228" t="str">
            <v>Expense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</row>
        <row r="229">
          <cell r="A229" t="str">
            <v>580020</v>
          </cell>
          <cell r="B229" t="str">
            <v>VAT Unclaimed</v>
          </cell>
          <cell r="C229" t="str">
            <v>Expense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U229">
            <v>0</v>
          </cell>
          <cell r="V229">
            <v>0</v>
          </cell>
        </row>
        <row r="230">
          <cell r="A230" t="str">
            <v>590000</v>
          </cell>
          <cell r="B230" t="str">
            <v>Withholding Tax - Interest</v>
          </cell>
          <cell r="C230" t="str">
            <v>Expense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U230">
            <v>0</v>
          </cell>
          <cell r="V230">
            <v>0</v>
          </cell>
        </row>
        <row r="231">
          <cell r="A231" t="str">
            <v>590010</v>
          </cell>
          <cell r="B231" t="str">
            <v>Withholding Tax - Management Fees</v>
          </cell>
          <cell r="C231" t="str">
            <v>Expense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U231">
            <v>0</v>
          </cell>
          <cell r="V231">
            <v>0</v>
          </cell>
        </row>
        <row r="232">
          <cell r="A232" t="str">
            <v>590020</v>
          </cell>
          <cell r="B232" t="str">
            <v>Withholding Tax - Guarantee Fees</v>
          </cell>
          <cell r="C232" t="str">
            <v>Expense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</row>
        <row r="233">
          <cell r="A233" t="str">
            <v>590030</v>
          </cell>
          <cell r="B233" t="str">
            <v>Withholding Tax - Commission</v>
          </cell>
          <cell r="C233" t="str">
            <v>Expense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</row>
        <row r="234">
          <cell r="A234" t="str">
            <v>590040</v>
          </cell>
          <cell r="B234" t="str">
            <v>Withholding Tax - Dividends</v>
          </cell>
          <cell r="C234" t="str">
            <v>Expense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</row>
        <row r="235">
          <cell r="A235" t="str">
            <v>590050</v>
          </cell>
          <cell r="B235" t="str">
            <v>Withholding Tax - Contract and Consulting Fees</v>
          </cell>
          <cell r="C235" t="str">
            <v>Expense</v>
          </cell>
          <cell r="D235">
            <v>0</v>
          </cell>
          <cell r="E235">
            <v>-0.22415199999999999</v>
          </cell>
          <cell r="F235">
            <v>0.19133500000000001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114</v>
          </cell>
          <cell r="P235">
            <v>114</v>
          </cell>
          <cell r="Q235">
            <v>114</v>
          </cell>
          <cell r="R235">
            <v>114</v>
          </cell>
          <cell r="S235">
            <v>114</v>
          </cell>
          <cell r="U235">
            <v>0</v>
          </cell>
          <cell r="V235">
            <v>114</v>
          </cell>
        </row>
        <row r="236">
          <cell r="A236" t="str">
            <v>600000</v>
          </cell>
          <cell r="B236" t="str">
            <v>Loans and Advances to Customers - Pay</v>
          </cell>
          <cell r="C236" t="str">
            <v>Asset</v>
          </cell>
          <cell r="D236">
            <v>0</v>
          </cell>
          <cell r="E236">
            <v>1492.059837</v>
          </cell>
          <cell r="F236">
            <v>48069.685915260001</v>
          </cell>
          <cell r="G236">
            <v>82515.114031970006</v>
          </cell>
          <cell r="H236">
            <v>108019.60472333001</v>
          </cell>
          <cell r="I236">
            <v>109202.25481088999</v>
          </cell>
          <cell r="J236">
            <v>120074.23368268</v>
          </cell>
          <cell r="K236">
            <v>138508.90970851001</v>
          </cell>
          <cell r="L236">
            <v>145968.41849421</v>
          </cell>
          <cell r="M236">
            <v>168803.82221702</v>
          </cell>
          <cell r="N236">
            <v>198772.31085293001</v>
          </cell>
          <cell r="O236">
            <v>206443.08216088</v>
          </cell>
          <cell r="P236">
            <v>219141.14883269</v>
          </cell>
          <cell r="Q236">
            <v>227946.52351458999</v>
          </cell>
          <cell r="R236">
            <v>244351.03852552999</v>
          </cell>
          <cell r="S236">
            <v>238604.1091919</v>
          </cell>
          <cell r="U236">
            <v>0</v>
          </cell>
          <cell r="V236">
            <v>238604.1091919</v>
          </cell>
        </row>
        <row r="237">
          <cell r="A237" t="str">
            <v>600010</v>
          </cell>
          <cell r="B237" t="str">
            <v>Loans and Advances to Customers - Pay NPA</v>
          </cell>
          <cell r="C237" t="str">
            <v>Asset</v>
          </cell>
          <cell r="D237">
            <v>0</v>
          </cell>
          <cell r="E237">
            <v>0</v>
          </cell>
          <cell r="F237">
            <v>385.56414804000002</v>
          </cell>
          <cell r="G237">
            <v>4869.6184370399997</v>
          </cell>
          <cell r="H237">
            <v>4472.0346424400004</v>
          </cell>
          <cell r="I237">
            <v>4446.50062944</v>
          </cell>
          <cell r="J237">
            <v>4367.0923247800001</v>
          </cell>
          <cell r="K237">
            <v>4361.8845919799996</v>
          </cell>
          <cell r="L237">
            <v>4709.1923447999998</v>
          </cell>
          <cell r="M237">
            <v>5215.4640702999995</v>
          </cell>
          <cell r="N237">
            <v>5066.9098217000001</v>
          </cell>
          <cell r="O237">
            <v>5043.1139666999998</v>
          </cell>
          <cell r="P237">
            <v>5207.8579249000004</v>
          </cell>
          <cell r="Q237">
            <v>4713.4124209000001</v>
          </cell>
          <cell r="R237">
            <v>4072.4622276199998</v>
          </cell>
          <cell r="S237">
            <v>4149.3063045999997</v>
          </cell>
          <cell r="U237">
            <v>0</v>
          </cell>
          <cell r="V237">
            <v>4149.3063045999997</v>
          </cell>
        </row>
        <row r="238">
          <cell r="A238" t="str">
            <v>600020</v>
          </cell>
          <cell r="B238" t="str">
            <v>Loans and Advances - Pay Shadow</v>
          </cell>
          <cell r="C238" t="str">
            <v>Asset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</row>
        <row r="239">
          <cell r="A239" t="str">
            <v>600030</v>
          </cell>
          <cell r="B239" t="str">
            <v>Loans and Advances - Pay Frozen</v>
          </cell>
          <cell r="C239" t="str">
            <v>Asset</v>
          </cell>
          <cell r="D239">
            <v>0</v>
          </cell>
          <cell r="E239">
            <v>0</v>
          </cell>
          <cell r="F239">
            <v>4.0692340299999996</v>
          </cell>
          <cell r="G239">
            <v>4501.5638892799998</v>
          </cell>
          <cell r="H239">
            <v>4501.5638892799998</v>
          </cell>
          <cell r="I239">
            <v>4501.5638892799998</v>
          </cell>
          <cell r="J239">
            <v>4501.5638892799998</v>
          </cell>
          <cell r="K239">
            <v>4501.5638892799998</v>
          </cell>
          <cell r="L239">
            <v>4501.5638892799998</v>
          </cell>
          <cell r="M239">
            <v>4501.56216632</v>
          </cell>
          <cell r="N239">
            <v>4501.56216632</v>
          </cell>
          <cell r="O239">
            <v>4501.56216632</v>
          </cell>
          <cell r="P239">
            <v>4501.56216632</v>
          </cell>
          <cell r="Q239">
            <v>4501.56216632</v>
          </cell>
          <cell r="R239">
            <v>4501.56216632</v>
          </cell>
          <cell r="S239">
            <v>4501.56216632</v>
          </cell>
          <cell r="U239">
            <v>0</v>
          </cell>
          <cell r="V239">
            <v>4501.56216632</v>
          </cell>
        </row>
        <row r="240">
          <cell r="A240" t="str">
            <v>600040</v>
          </cell>
          <cell r="B240" t="str">
            <v>Loans and Advances to Customers - Pay WO</v>
          </cell>
          <cell r="C240" t="str">
            <v>Asset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</row>
        <row r="241">
          <cell r="A241" t="str">
            <v>600100</v>
          </cell>
          <cell r="B241" t="str">
            <v>Loans and Advances to Customers - Borrow</v>
          </cell>
          <cell r="C241" t="str">
            <v>Asset</v>
          </cell>
          <cell r="D241">
            <v>0</v>
          </cell>
          <cell r="E241">
            <v>0</v>
          </cell>
          <cell r="F241">
            <v>9414.4861093599993</v>
          </cell>
          <cell r="G241">
            <v>260942.96811578001</v>
          </cell>
          <cell r="H241">
            <v>267561.03854744998</v>
          </cell>
          <cell r="I241">
            <v>266932.89904808998</v>
          </cell>
          <cell r="J241">
            <v>272711.70015553001</v>
          </cell>
          <cell r="K241">
            <v>290169.21367378999</v>
          </cell>
          <cell r="L241">
            <v>291416.43368160998</v>
          </cell>
          <cell r="M241">
            <v>327843.35360392998</v>
          </cell>
          <cell r="N241">
            <v>336043.25855165999</v>
          </cell>
          <cell r="O241">
            <v>350967.33574716002</v>
          </cell>
          <cell r="P241">
            <v>371415.75512376998</v>
          </cell>
          <cell r="Q241">
            <v>368595.98882486997</v>
          </cell>
          <cell r="R241">
            <v>355685.34475121001</v>
          </cell>
          <cell r="S241">
            <v>380264.66290515999</v>
          </cell>
          <cell r="U241">
            <v>0</v>
          </cell>
          <cell r="V241">
            <v>380264.66290515999</v>
          </cell>
        </row>
        <row r="242">
          <cell r="A242" t="str">
            <v>600105</v>
          </cell>
          <cell r="B242" t="str">
            <v>Loan top up account</v>
          </cell>
          <cell r="C242" t="str">
            <v>Asset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U242">
            <v>0</v>
          </cell>
          <cell r="V242">
            <v>0</v>
          </cell>
        </row>
        <row r="243">
          <cell r="A243" t="str">
            <v>600110</v>
          </cell>
          <cell r="B243" t="str">
            <v>Loans and Advances to Customers - Borrow NPA</v>
          </cell>
          <cell r="C243" t="str">
            <v>Asset</v>
          </cell>
          <cell r="D243">
            <v>0</v>
          </cell>
          <cell r="E243">
            <v>0</v>
          </cell>
          <cell r="F243">
            <v>0</v>
          </cell>
          <cell r="G243">
            <v>8414.9811622399993</v>
          </cell>
          <cell r="H243">
            <v>8326.2085677699997</v>
          </cell>
          <cell r="I243">
            <v>8340.3098962500007</v>
          </cell>
          <cell r="J243">
            <v>8345.1500088499997</v>
          </cell>
          <cell r="K243">
            <v>6869.8701476799997</v>
          </cell>
          <cell r="L243">
            <v>5734.4924259600002</v>
          </cell>
          <cell r="M243">
            <v>5547.61694902</v>
          </cell>
          <cell r="N243">
            <v>5124.2983050599996</v>
          </cell>
          <cell r="O243">
            <v>4681.3752598999999</v>
          </cell>
          <cell r="P243">
            <v>4339.7611084199998</v>
          </cell>
          <cell r="Q243">
            <v>4122.42166086</v>
          </cell>
          <cell r="R243">
            <v>3637.00435449</v>
          </cell>
          <cell r="S243">
            <v>3108.7228509400002</v>
          </cell>
          <cell r="U243">
            <v>0</v>
          </cell>
          <cell r="V243">
            <v>3108.7228509400002</v>
          </cell>
        </row>
        <row r="244">
          <cell r="A244" t="str">
            <v>600120</v>
          </cell>
          <cell r="B244" t="str">
            <v>Loans and Advances to Customers - Borrow Shadow</v>
          </cell>
          <cell r="C244" t="str">
            <v>Asset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</row>
        <row r="245">
          <cell r="A245" t="str">
            <v>600130</v>
          </cell>
          <cell r="B245" t="str">
            <v>Loans and Advances to Customers - Borrow Frozen</v>
          </cell>
          <cell r="C245" t="str">
            <v>Asset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U245">
            <v>0</v>
          </cell>
          <cell r="V245">
            <v>0</v>
          </cell>
        </row>
        <row r="246">
          <cell r="A246" t="str">
            <v>600140</v>
          </cell>
          <cell r="B246" t="str">
            <v>Loans and Advances to Customers - Borrow WO</v>
          </cell>
          <cell r="C246" t="str">
            <v>Asset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</row>
        <row r="247">
          <cell r="A247" t="str">
            <v>600200</v>
          </cell>
          <cell r="B247" t="str">
            <v>Loans and Advances to Customers - Protect</v>
          </cell>
          <cell r="C247" t="str">
            <v>Asset</v>
          </cell>
          <cell r="D247">
            <v>0</v>
          </cell>
          <cell r="E247">
            <v>10.527102299999999</v>
          </cell>
          <cell r="F247">
            <v>6621.3935599699998</v>
          </cell>
          <cell r="G247">
            <v>14121.919745740001</v>
          </cell>
          <cell r="H247">
            <v>12771.81914267</v>
          </cell>
          <cell r="I247">
            <v>14131.78985463</v>
          </cell>
          <cell r="J247">
            <v>12734.77388155</v>
          </cell>
          <cell r="K247">
            <v>10078.21303771</v>
          </cell>
          <cell r="L247">
            <v>9378.5510738899993</v>
          </cell>
          <cell r="M247">
            <v>9221.2551303100008</v>
          </cell>
          <cell r="N247">
            <v>9157.1255717099993</v>
          </cell>
          <cell r="O247">
            <v>9402.7972344999998</v>
          </cell>
          <cell r="P247">
            <v>10309.57089218</v>
          </cell>
          <cell r="Q247">
            <v>10454.72904479</v>
          </cell>
          <cell r="R247">
            <v>10701.42685571</v>
          </cell>
          <cell r="S247">
            <v>11427.11868159</v>
          </cell>
          <cell r="U247">
            <v>0</v>
          </cell>
          <cell r="V247">
            <v>11427.11868159</v>
          </cell>
        </row>
        <row r="248">
          <cell r="A248" t="str">
            <v>600210</v>
          </cell>
          <cell r="B248" t="str">
            <v>Loans and Advances to Customers - Protect NPA</v>
          </cell>
          <cell r="C248" t="str">
            <v>Asset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-0.85680495999999995</v>
          </cell>
          <cell r="K248">
            <v>-36.087601710000001</v>
          </cell>
          <cell r="L248">
            <v>-71.017936340000006</v>
          </cell>
          <cell r="M248">
            <v>-101.18312915999999</v>
          </cell>
          <cell r="N248">
            <v>-103.74061542</v>
          </cell>
          <cell r="O248">
            <v>-103.74061542</v>
          </cell>
          <cell r="P248">
            <v>-103.74061542</v>
          </cell>
          <cell r="Q248">
            <v>-103.74061542</v>
          </cell>
          <cell r="R248">
            <v>-103.74061542</v>
          </cell>
          <cell r="S248">
            <v>-103.74061542</v>
          </cell>
          <cell r="U248">
            <v>0</v>
          </cell>
          <cell r="V248">
            <v>-103.74061542</v>
          </cell>
        </row>
        <row r="249">
          <cell r="A249" t="str">
            <v>600220</v>
          </cell>
          <cell r="B249" t="str">
            <v>Loans and Advances to Customers - Protect Shadow</v>
          </cell>
          <cell r="C249" t="str">
            <v>Asset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U249">
            <v>0</v>
          </cell>
          <cell r="V249">
            <v>0</v>
          </cell>
        </row>
        <row r="250">
          <cell r="A250" t="str">
            <v>600230</v>
          </cell>
          <cell r="B250" t="str">
            <v>Loans and Advances to Customers - Protect Frozen</v>
          </cell>
          <cell r="C250" t="str">
            <v>Asset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U250">
            <v>0</v>
          </cell>
          <cell r="V250">
            <v>0</v>
          </cell>
        </row>
        <row r="251">
          <cell r="A251" t="str">
            <v>600240</v>
          </cell>
          <cell r="B251" t="str">
            <v>Loans and Advances to Customers - Protect WO</v>
          </cell>
          <cell r="C251" t="str">
            <v>Asset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</row>
        <row r="252">
          <cell r="A252" t="str">
            <v>610000</v>
          </cell>
          <cell r="B252" t="str">
            <v>Provisions - loans and advances - Pay Provision for impairment</v>
          </cell>
          <cell r="C252" t="str">
            <v>Asset</v>
          </cell>
          <cell r="D252">
            <v>0</v>
          </cell>
          <cell r="E252">
            <v>0</v>
          </cell>
          <cell r="F252">
            <v>-13343.518452</v>
          </cell>
          <cell r="G252">
            <v>-17116.890621999999</v>
          </cell>
          <cell r="H252">
            <v>-3635.0501100000001</v>
          </cell>
          <cell r="I252">
            <v>-5451.8094950000004</v>
          </cell>
          <cell r="J252">
            <v>-3385.4083949999999</v>
          </cell>
          <cell r="K252">
            <v>-4188.5692319999998</v>
          </cell>
          <cell r="L252">
            <v>-4539.4540120000001</v>
          </cell>
          <cell r="M252">
            <v>-4960.2066519999998</v>
          </cell>
          <cell r="N252">
            <v>-6010.6839220000002</v>
          </cell>
          <cell r="O252">
            <v>-8274.4030803999995</v>
          </cell>
          <cell r="P252">
            <v>-22708.375080400001</v>
          </cell>
          <cell r="Q252">
            <v>-30390.41113</v>
          </cell>
          <cell r="R252">
            <v>-33125.224130000002</v>
          </cell>
          <cell r="S252">
            <v>-40925.263129999999</v>
          </cell>
          <cell r="U252">
            <v>0</v>
          </cell>
          <cell r="V252">
            <v>-40925.263129999999</v>
          </cell>
        </row>
        <row r="253">
          <cell r="A253" t="str">
            <v>610010</v>
          </cell>
          <cell r="B253" t="str">
            <v>Provisions - loans and advances - Pay NPA</v>
          </cell>
          <cell r="C253" t="str">
            <v>Asset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</row>
        <row r="254">
          <cell r="A254" t="str">
            <v>610020</v>
          </cell>
          <cell r="B254" t="str">
            <v>Provisions - loans and advances - Pay WO</v>
          </cell>
          <cell r="C254" t="str">
            <v>Asset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U254">
            <v>0</v>
          </cell>
          <cell r="V254">
            <v>0</v>
          </cell>
        </row>
        <row r="255">
          <cell r="A255" t="str">
            <v>610030</v>
          </cell>
          <cell r="B255" t="str">
            <v>Interest Accrual loans and advances- Borrow</v>
          </cell>
          <cell r="C255" t="str">
            <v>Asset</v>
          </cell>
          <cell r="D255">
            <v>0</v>
          </cell>
          <cell r="E255">
            <v>0</v>
          </cell>
          <cell r="F255">
            <v>0</v>
          </cell>
          <cell r="G255">
            <v>6682.5577118700003</v>
          </cell>
          <cell r="H255">
            <v>10977.462518189999</v>
          </cell>
          <cell r="I255">
            <v>14637.80776274</v>
          </cell>
          <cell r="J255">
            <v>19009.03528724</v>
          </cell>
          <cell r="K255">
            <v>22427.040572239999</v>
          </cell>
          <cell r="L255">
            <v>25903.85374798</v>
          </cell>
          <cell r="M255">
            <v>29665.587469900001</v>
          </cell>
          <cell r="N255">
            <v>34288.938179800003</v>
          </cell>
          <cell r="O255">
            <v>39001.810482399997</v>
          </cell>
          <cell r="P255">
            <v>43821.045213960002</v>
          </cell>
          <cell r="Q255">
            <v>48582.60054616</v>
          </cell>
          <cell r="R255">
            <v>53469.567326880002</v>
          </cell>
          <cell r="S255">
            <v>59191.657030529997</v>
          </cell>
          <cell r="U255">
            <v>0</v>
          </cell>
          <cell r="V255">
            <v>59191.657030529997</v>
          </cell>
        </row>
        <row r="256">
          <cell r="A256" t="str">
            <v>610100</v>
          </cell>
          <cell r="B256" t="str">
            <v>Provisions - loans and advances - Borrow Provision for impairment</v>
          </cell>
          <cell r="C256" t="str">
            <v>Asset</v>
          </cell>
          <cell r="D256">
            <v>0</v>
          </cell>
          <cell r="E256">
            <v>0</v>
          </cell>
          <cell r="F256">
            <v>-825.96499700000004</v>
          </cell>
          <cell r="G256">
            <v>-27517.571653999999</v>
          </cell>
          <cell r="H256">
            <v>-19809.879718</v>
          </cell>
          <cell r="I256">
            <v>-19095.655987999999</v>
          </cell>
          <cell r="J256">
            <v>-19327.910467999998</v>
          </cell>
          <cell r="K256">
            <v>-20980.504571000001</v>
          </cell>
          <cell r="L256">
            <v>-21454.945210999998</v>
          </cell>
          <cell r="M256">
            <v>-23717.166576</v>
          </cell>
          <cell r="N256">
            <v>-24206.288261000002</v>
          </cell>
          <cell r="O256">
            <v>-30205.6877006</v>
          </cell>
          <cell r="P256">
            <v>-37014.419700600003</v>
          </cell>
          <cell r="Q256">
            <v>-39099.480628600002</v>
          </cell>
          <cell r="R256">
            <v>-40848.716628599999</v>
          </cell>
          <cell r="S256">
            <v>-45006.194628600002</v>
          </cell>
          <cell r="U256">
            <v>0</v>
          </cell>
          <cell r="V256">
            <v>-45006.194628600002</v>
          </cell>
        </row>
        <row r="257">
          <cell r="A257" t="str">
            <v>610110</v>
          </cell>
          <cell r="B257" t="str">
            <v>Provisions - loans and advances - Borrow NPA</v>
          </cell>
          <cell r="C257" t="str">
            <v>Asset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</row>
        <row r="258">
          <cell r="A258" t="str">
            <v>610120</v>
          </cell>
          <cell r="B258" t="str">
            <v>Provisions - loans and advances - Borrow WO</v>
          </cell>
          <cell r="C258" t="str">
            <v>Asset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U258">
            <v>0</v>
          </cell>
          <cell r="V258">
            <v>0</v>
          </cell>
        </row>
        <row r="259">
          <cell r="A259" t="str">
            <v>610130</v>
          </cell>
          <cell r="B259" t="str">
            <v>Provisions - loans and advances - Borrow Interest in Suspense</v>
          </cell>
          <cell r="C259" t="str">
            <v>Asset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U259">
            <v>0</v>
          </cell>
          <cell r="V259">
            <v>0</v>
          </cell>
        </row>
        <row r="260">
          <cell r="A260" t="str">
            <v>610200</v>
          </cell>
          <cell r="B260" t="str">
            <v>Provisions - loans and advances - Protect Provision for impairment</v>
          </cell>
          <cell r="C260" t="str">
            <v>Asset</v>
          </cell>
          <cell r="D260">
            <v>0</v>
          </cell>
          <cell r="E260">
            <v>0</v>
          </cell>
          <cell r="F260">
            <v>0</v>
          </cell>
          <cell r="G260">
            <v>-1052.010822</v>
          </cell>
          <cell r="H260">
            <v>-913.683718</v>
          </cell>
          <cell r="I260">
            <v>-913.683718</v>
          </cell>
          <cell r="J260">
            <v>-913.683718</v>
          </cell>
          <cell r="K260">
            <v>-913.683718</v>
          </cell>
          <cell r="L260">
            <v>-774.23663799999997</v>
          </cell>
          <cell r="M260">
            <v>-767.24259300000006</v>
          </cell>
          <cell r="N260">
            <v>-611.638149</v>
          </cell>
          <cell r="O260">
            <v>-611.638149</v>
          </cell>
          <cell r="P260">
            <v>-611.638149</v>
          </cell>
          <cell r="Q260">
            <v>-611.638149</v>
          </cell>
          <cell r="R260">
            <v>-1115.9337499999999</v>
          </cell>
          <cell r="S260">
            <v>-1174.335509</v>
          </cell>
          <cell r="U260">
            <v>0</v>
          </cell>
          <cell r="V260">
            <v>-1174.335509</v>
          </cell>
        </row>
        <row r="261">
          <cell r="A261" t="str">
            <v>610210</v>
          </cell>
          <cell r="B261" t="str">
            <v>Provisions - loans and advances - Protect NPA</v>
          </cell>
          <cell r="C261" t="str">
            <v>Asset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U261">
            <v>0</v>
          </cell>
          <cell r="V261">
            <v>0</v>
          </cell>
        </row>
        <row r="262">
          <cell r="A262" t="str">
            <v>610220</v>
          </cell>
          <cell r="B262" t="str">
            <v>Provisions - loans and advances - Protect WO</v>
          </cell>
          <cell r="C262" t="str">
            <v>Asset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</row>
        <row r="263">
          <cell r="A263" t="str">
            <v>610230</v>
          </cell>
          <cell r="B263" t="str">
            <v>Provisions - loans and advances - Protect Interest in Suspense</v>
          </cell>
          <cell r="C263" t="str">
            <v>Asset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U263">
            <v>0</v>
          </cell>
          <cell r="V263">
            <v>0</v>
          </cell>
        </row>
        <row r="264">
          <cell r="A264" t="str">
            <v>620000</v>
          </cell>
          <cell r="B264" t="str">
            <v>CCE - SCB - Current Account(KES) - # 0102487568700</v>
          </cell>
          <cell r="C264" t="str">
            <v>Asset</v>
          </cell>
          <cell r="D264">
            <v>4826.9272799999999</v>
          </cell>
          <cell r="E264">
            <v>1070.51230895</v>
          </cell>
          <cell r="F264">
            <v>35903.10212671</v>
          </cell>
          <cell r="G264">
            <v>7766.7401258299997</v>
          </cell>
          <cell r="H264">
            <v>-2615.84043273</v>
          </cell>
          <cell r="I264">
            <v>19871.628396349999</v>
          </cell>
          <cell r="J264">
            <v>20978.778266640002</v>
          </cell>
          <cell r="K264">
            <v>9178.4458310600003</v>
          </cell>
          <cell r="L264">
            <v>58972.625266919997</v>
          </cell>
          <cell r="M264">
            <v>47128.341480800002</v>
          </cell>
          <cell r="N264">
            <v>36639.799696829999</v>
          </cell>
          <cell r="O264">
            <v>14207.09602187</v>
          </cell>
          <cell r="P264">
            <v>9766.0305141699992</v>
          </cell>
          <cell r="Q264">
            <v>31191.526493519999</v>
          </cell>
          <cell r="R264">
            <v>32379.854545760001</v>
          </cell>
          <cell r="S264">
            <v>32998.245419979998</v>
          </cell>
          <cell r="U264">
            <v>3043.9971799999985</v>
          </cell>
          <cell r="V264">
            <v>29954.248239979999</v>
          </cell>
        </row>
        <row r="265">
          <cell r="A265" t="str">
            <v>620010</v>
          </cell>
          <cell r="B265" t="str">
            <v>CCE - SCB - Current Account(USD) - # 8702487568700</v>
          </cell>
          <cell r="C265" t="str">
            <v>Asset</v>
          </cell>
          <cell r="D265">
            <v>0</v>
          </cell>
          <cell r="E265">
            <v>-2.82555E-3</v>
          </cell>
          <cell r="F265">
            <v>-557496.42990347999</v>
          </cell>
          <cell r="G265">
            <v>-1188225.9000577601</v>
          </cell>
          <cell r="H265">
            <v>-1221366.12195098</v>
          </cell>
          <cell r="I265">
            <v>-1279612.2161083999</v>
          </cell>
          <cell r="J265">
            <v>-1357824.0072103001</v>
          </cell>
          <cell r="K265">
            <v>-1440461.60409416</v>
          </cell>
          <cell r="L265">
            <v>-1447042.4019257999</v>
          </cell>
          <cell r="M265">
            <v>-1531605.3959647999</v>
          </cell>
          <cell r="N265">
            <v>-1604346.1953618701</v>
          </cell>
          <cell r="O265">
            <v>-1619580.19741276</v>
          </cell>
          <cell r="P265">
            <v>-1619754.79615811</v>
          </cell>
          <cell r="Q265">
            <v>-1613938.9711575501</v>
          </cell>
          <cell r="R265">
            <v>-1614560.1449663499</v>
          </cell>
          <cell r="S265">
            <v>-1618560.1449663499</v>
          </cell>
          <cell r="U265">
            <v>-1619557.4656660298</v>
          </cell>
          <cell r="V265">
            <v>997.3206996798981</v>
          </cell>
        </row>
        <row r="266">
          <cell r="A266" t="str">
            <v>620020</v>
          </cell>
          <cell r="B266" t="str">
            <v>CCE - JPM - Current Account (USD) -  # 000000600638719</v>
          </cell>
          <cell r="C266" t="str">
            <v>Asset</v>
          </cell>
          <cell r="D266">
            <v>0</v>
          </cell>
          <cell r="E266">
            <v>279151.0522256</v>
          </cell>
          <cell r="F266">
            <v>784076.40585829003</v>
          </cell>
          <cell r="G266">
            <v>3367761.2058582902</v>
          </cell>
          <cell r="H266">
            <v>3326107.2258582902</v>
          </cell>
          <cell r="I266">
            <v>3274572.8958582901</v>
          </cell>
          <cell r="J266">
            <v>3218932.3983262898</v>
          </cell>
          <cell r="K266">
            <v>3244450.53126529</v>
          </cell>
          <cell r="L266">
            <v>3223045.8156652902</v>
          </cell>
          <cell r="M266">
            <v>3158266.8156652902</v>
          </cell>
          <cell r="N266">
            <v>3142080.8156652902</v>
          </cell>
          <cell r="O266">
            <v>2986272.9627452898</v>
          </cell>
          <cell r="P266">
            <v>2546473.9627452898</v>
          </cell>
          <cell r="Q266">
            <v>2285250.9627452898</v>
          </cell>
          <cell r="R266">
            <v>2188873.2727452898</v>
          </cell>
          <cell r="S266">
            <v>2200266.8427452901</v>
          </cell>
          <cell r="U266">
            <v>2616038.7298070001</v>
          </cell>
          <cell r="V266">
            <v>-415771.88706171</v>
          </cell>
        </row>
        <row r="267">
          <cell r="A267" t="str">
            <v>620030</v>
          </cell>
          <cell r="B267" t="str">
            <v>CCE - SCB - Guaranty Trust Bank GT - 2250113087</v>
          </cell>
          <cell r="C267" t="str">
            <v>Asset</v>
          </cell>
          <cell r="D267">
            <v>0</v>
          </cell>
          <cell r="E267">
            <v>0</v>
          </cell>
          <cell r="F267">
            <v>0</v>
          </cell>
          <cell r="G267">
            <v>70.227580000000003</v>
          </cell>
          <cell r="H267">
            <v>64.925139999999999</v>
          </cell>
          <cell r="I267">
            <v>50.314839999999997</v>
          </cell>
          <cell r="J267">
            <v>44.892940000000003</v>
          </cell>
          <cell r="K267">
            <v>44.892940000000003</v>
          </cell>
          <cell r="L267">
            <v>44.892940000000003</v>
          </cell>
          <cell r="M267">
            <v>44.892940000000003</v>
          </cell>
          <cell r="N267">
            <v>44.892940000000003</v>
          </cell>
          <cell r="O267">
            <v>44.892940000000003</v>
          </cell>
          <cell r="P267">
            <v>44.892940000000003</v>
          </cell>
          <cell r="Q267">
            <v>44.892940000000003</v>
          </cell>
          <cell r="R267">
            <v>44.892940000000003</v>
          </cell>
          <cell r="S267">
            <v>44.892940000000003</v>
          </cell>
          <cell r="U267">
            <v>0</v>
          </cell>
          <cell r="V267">
            <v>44.892940000000003</v>
          </cell>
        </row>
        <row r="268">
          <cell r="A268" t="str">
            <v>620100</v>
          </cell>
          <cell r="B268" t="str">
            <v>CCE I&amp;M Disbursement Bank Account</v>
          </cell>
          <cell r="C268" t="str">
            <v>Asset</v>
          </cell>
          <cell r="D268">
            <v>0</v>
          </cell>
          <cell r="E268">
            <v>0</v>
          </cell>
          <cell r="F268">
            <v>6462.5638234099997</v>
          </cell>
          <cell r="G268">
            <v>9332.4839132699999</v>
          </cell>
          <cell r="H268">
            <v>-36355.093890030003</v>
          </cell>
          <cell r="I268">
            <v>-37559.143563060003</v>
          </cell>
          <cell r="J268">
            <v>-39416.437321669997</v>
          </cell>
          <cell r="K268">
            <v>-28860.95648443</v>
          </cell>
          <cell r="L268">
            <v>-109473.55615094</v>
          </cell>
          <cell r="M268">
            <v>-104874.88642572</v>
          </cell>
          <cell r="N268">
            <v>-110790.52065131</v>
          </cell>
          <cell r="O268">
            <v>-11468.16643429</v>
          </cell>
          <cell r="P268">
            <v>-86202.342049400002</v>
          </cell>
          <cell r="Q268">
            <v>-80060.742099440002</v>
          </cell>
          <cell r="R268">
            <v>-148076.30737917</v>
          </cell>
          <cell r="S268">
            <v>-285725.58036699001</v>
          </cell>
          <cell r="U268">
            <v>0</v>
          </cell>
          <cell r="V268">
            <v>-285725.58036699001</v>
          </cell>
        </row>
        <row r="269">
          <cell r="A269" t="str">
            <v>620101</v>
          </cell>
          <cell r="B269" t="str">
            <v>I&amp;M Bank - KENAFRIC INDUSTRIES LTD</v>
          </cell>
          <cell r="C269" t="str">
            <v>Asset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U269">
            <v>0</v>
          </cell>
          <cell r="V269">
            <v>0</v>
          </cell>
        </row>
        <row r="270">
          <cell r="A270" t="str">
            <v>620102</v>
          </cell>
          <cell r="B270" t="str">
            <v>I&amp;M Bank - JAVA REGULATED NON-WDT SACCO SOCIETY LTD</v>
          </cell>
          <cell r="C270" t="str">
            <v>Asset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5371.8</v>
          </cell>
          <cell r="R270">
            <v>11973.394399999999</v>
          </cell>
          <cell r="S270">
            <v>28362.800693739999</v>
          </cell>
          <cell r="U270">
            <v>-9871.4062937399976</v>
          </cell>
          <cell r="V270">
            <v>38234.206987479993</v>
          </cell>
        </row>
        <row r="271">
          <cell r="A271" t="str">
            <v>620103</v>
          </cell>
          <cell r="B271" t="str">
            <v>I&amp;M Bank - RAFIKI MICRO FINANCE BANK LIMITED</v>
          </cell>
          <cell r="C271" t="str">
            <v>Asset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6899.0216730000002</v>
          </cell>
          <cell r="R271">
            <v>11091.604606499999</v>
          </cell>
          <cell r="S271">
            <v>19545.215406619998</v>
          </cell>
          <cell r="U271">
            <v>-4086.0486958199981</v>
          </cell>
          <cell r="V271">
            <v>23631.264102439996</v>
          </cell>
        </row>
        <row r="272">
          <cell r="A272" t="str">
            <v>620110</v>
          </cell>
          <cell r="B272" t="str">
            <v>CCE I&amp;M - Fixed Deposit Interest Receivable</v>
          </cell>
          <cell r="C272" t="str">
            <v>Asset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264.40697399999999</v>
          </cell>
          <cell r="I272">
            <v>497.90470399999998</v>
          </cell>
          <cell r="J272">
            <v>748.35741399999995</v>
          </cell>
          <cell r="K272">
            <v>982.79790300000002</v>
          </cell>
          <cell r="L272">
            <v>1220.4153229999999</v>
          </cell>
          <cell r="M272">
            <v>1454.577088</v>
          </cell>
          <cell r="N272">
            <v>1686.1059729999999</v>
          </cell>
          <cell r="O272">
            <v>1912.7969410000001</v>
          </cell>
          <cell r="P272">
            <v>2134.880369</v>
          </cell>
          <cell r="Q272">
            <v>2353.4752309999999</v>
          </cell>
          <cell r="R272">
            <v>2568.2853279999999</v>
          </cell>
          <cell r="S272">
            <v>2777.5005550000001</v>
          </cell>
          <cell r="U272">
            <v>0</v>
          </cell>
          <cell r="V272">
            <v>2777.5005550000001</v>
          </cell>
        </row>
        <row r="273">
          <cell r="A273" t="str">
            <v>620115</v>
          </cell>
          <cell r="B273" t="str">
            <v>CCE I&amp;M -  USD Fixed Deposit Interest  Receivable</v>
          </cell>
          <cell r="C273" t="str">
            <v>Asset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 t="str">
            <v>Check</v>
          </cell>
          <cell r="V273" t="e">
            <v>#VALUE!</v>
          </cell>
        </row>
        <row r="274">
          <cell r="A274" t="str">
            <v>620120</v>
          </cell>
          <cell r="B274" t="str">
            <v>CCE I&amp;M USD Account - 00102759791250</v>
          </cell>
          <cell r="C274" t="str">
            <v>Asset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350020</v>
          </cell>
          <cell r="Q274">
            <v>74744.33</v>
          </cell>
          <cell r="R274">
            <v>2880.94</v>
          </cell>
          <cell r="S274">
            <v>3576.89</v>
          </cell>
          <cell r="U274">
            <v>0</v>
          </cell>
          <cell r="V274">
            <v>3576.89</v>
          </cell>
        </row>
        <row r="275">
          <cell r="A275" t="str">
            <v>620130</v>
          </cell>
          <cell r="B275" t="str">
            <v>CCE I&amp;M Fixed Deposit  Account</v>
          </cell>
          <cell r="C275" t="str">
            <v>Asset</v>
          </cell>
          <cell r="D275">
            <v>0</v>
          </cell>
          <cell r="E275">
            <v>0</v>
          </cell>
          <cell r="F275">
            <v>0</v>
          </cell>
          <cell r="G275">
            <v>40615</v>
          </cell>
          <cell r="H275">
            <v>40615</v>
          </cell>
          <cell r="I275">
            <v>40615</v>
          </cell>
          <cell r="J275">
            <v>40615</v>
          </cell>
          <cell r="K275">
            <v>40615</v>
          </cell>
          <cell r="L275">
            <v>40615</v>
          </cell>
          <cell r="M275">
            <v>40615</v>
          </cell>
          <cell r="N275">
            <v>40615</v>
          </cell>
          <cell r="O275">
            <v>40615</v>
          </cell>
          <cell r="P275">
            <v>40615</v>
          </cell>
          <cell r="Q275">
            <v>40615</v>
          </cell>
          <cell r="R275">
            <v>40615</v>
          </cell>
          <cell r="S275">
            <v>40615</v>
          </cell>
          <cell r="U275">
            <v>0</v>
          </cell>
          <cell r="V275">
            <v>40615</v>
          </cell>
        </row>
        <row r="276">
          <cell r="A276" t="str">
            <v>620135</v>
          </cell>
          <cell r="B276" t="str">
            <v>CCE I&amp;M USD Fixed Deposit Account</v>
          </cell>
          <cell r="C276" t="str">
            <v>Asset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351582</v>
          </cell>
          <cell r="R276">
            <v>353217</v>
          </cell>
          <cell r="S276">
            <v>354852</v>
          </cell>
          <cell r="U276">
            <v>0</v>
          </cell>
          <cell r="V276">
            <v>354852</v>
          </cell>
        </row>
        <row r="277">
          <cell r="A277" t="str">
            <v>620140</v>
          </cell>
          <cell r="B277" t="str">
            <v>CCE  I&amp;M Operations Account - 00102759796350</v>
          </cell>
          <cell r="C277" t="str">
            <v>Asset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9342.3939580000006</v>
          </cell>
          <cell r="Q277">
            <v>20261.597331000001</v>
          </cell>
          <cell r="R277">
            <v>14418.935020340001</v>
          </cell>
          <cell r="S277">
            <v>17986.497293249999</v>
          </cell>
          <cell r="U277">
            <v>0</v>
          </cell>
          <cell r="V277">
            <v>17986.497293249999</v>
          </cell>
        </row>
        <row r="278">
          <cell r="A278" t="str">
            <v>620200</v>
          </cell>
          <cell r="B278" t="str">
            <v>CCE M-PESA B2C Account #982653 - Utility Account</v>
          </cell>
          <cell r="C278" t="str">
            <v>Asset</v>
          </cell>
          <cell r="D278">
            <v>0</v>
          </cell>
          <cell r="E278">
            <v>863.38629900000001</v>
          </cell>
          <cell r="F278">
            <v>3097.4119709500001</v>
          </cell>
          <cell r="G278">
            <v>41865.083766349999</v>
          </cell>
          <cell r="H278">
            <v>23318.26827443</v>
          </cell>
          <cell r="I278">
            <v>19785.128653340002</v>
          </cell>
          <cell r="J278">
            <v>18546.65295724</v>
          </cell>
          <cell r="K278">
            <v>41718.472609010001</v>
          </cell>
          <cell r="L278">
            <v>15588.53599749</v>
          </cell>
          <cell r="M278">
            <v>17949.33004556</v>
          </cell>
          <cell r="N278">
            <v>22019.00388955</v>
          </cell>
          <cell r="O278">
            <v>-11668.44925607</v>
          </cell>
          <cell r="P278">
            <v>10708.52925299</v>
          </cell>
          <cell r="Q278">
            <v>13036.55960809</v>
          </cell>
          <cell r="R278">
            <v>75497.109138159998</v>
          </cell>
          <cell r="S278">
            <v>136476.14097606999</v>
          </cell>
          <cell r="U278">
            <v>0</v>
          </cell>
          <cell r="V278">
            <v>136476.14097606999</v>
          </cell>
        </row>
        <row r="279">
          <cell r="A279" t="str">
            <v>620201</v>
          </cell>
          <cell r="B279" t="str">
            <v>CCE M-PESA B2C Account #982653 - Working Account</v>
          </cell>
          <cell r="C279" t="str">
            <v>Asset</v>
          </cell>
          <cell r="D279">
            <v>0</v>
          </cell>
          <cell r="E279">
            <v>0</v>
          </cell>
          <cell r="F279">
            <v>9168.6337210000002</v>
          </cell>
          <cell r="G279">
            <v>416.01572099999998</v>
          </cell>
          <cell r="H279">
            <v>480.51572099999998</v>
          </cell>
          <cell r="I279">
            <v>544.51572099999998</v>
          </cell>
          <cell r="J279">
            <v>15660.265721</v>
          </cell>
          <cell r="K279">
            <v>1813.465721</v>
          </cell>
          <cell r="L279">
            <v>16369.465721</v>
          </cell>
          <cell r="M279">
            <v>16253.465721</v>
          </cell>
          <cell r="N279">
            <v>1797.465721</v>
          </cell>
          <cell r="O279">
            <v>22686.465721</v>
          </cell>
          <cell r="P279">
            <v>2442.465721</v>
          </cell>
          <cell r="Q279">
            <v>2422.465721</v>
          </cell>
          <cell r="R279">
            <v>2462.465721</v>
          </cell>
          <cell r="S279">
            <v>2492.465721</v>
          </cell>
          <cell r="U279">
            <v>0</v>
          </cell>
          <cell r="V279">
            <v>2492.465721</v>
          </cell>
        </row>
        <row r="280">
          <cell r="A280" t="str">
            <v>620205</v>
          </cell>
          <cell r="B280" t="str">
            <v>CCE Mpesa-0799002628</v>
          </cell>
          <cell r="C280" t="str">
            <v>Asset</v>
          </cell>
          <cell r="D280">
            <v>0</v>
          </cell>
          <cell r="E280">
            <v>133.42492799999999</v>
          </cell>
          <cell r="F280">
            <v>8.5171326000000001</v>
          </cell>
          <cell r="G280">
            <v>258.62853586</v>
          </cell>
          <cell r="H280">
            <v>113.17659786</v>
          </cell>
          <cell r="I280">
            <v>340.56839586000001</v>
          </cell>
          <cell r="J280">
            <v>178.93483886000001</v>
          </cell>
          <cell r="K280">
            <v>282.93202286000002</v>
          </cell>
          <cell r="L280">
            <v>191.16310885999999</v>
          </cell>
          <cell r="M280">
            <v>282.73044986000002</v>
          </cell>
          <cell r="N280">
            <v>250.29381286</v>
          </cell>
          <cell r="O280">
            <v>335.64151285999998</v>
          </cell>
          <cell r="P280">
            <v>226.41432685999999</v>
          </cell>
          <cell r="Q280">
            <v>207.84889985999999</v>
          </cell>
          <cell r="R280">
            <v>271.51795786000002</v>
          </cell>
          <cell r="S280">
            <v>354.59925385999998</v>
          </cell>
          <cell r="U280">
            <v>0</v>
          </cell>
          <cell r="V280">
            <v>354.59925385999998</v>
          </cell>
        </row>
        <row r="281">
          <cell r="A281" t="str">
            <v>620210</v>
          </cell>
          <cell r="B281" t="str">
            <v>CCE M-PESA B2B Account #982465</v>
          </cell>
          <cell r="C281" t="str">
            <v>Asset</v>
          </cell>
          <cell r="D281">
            <v>0</v>
          </cell>
          <cell r="E281">
            <v>916.95876999999996</v>
          </cell>
          <cell r="F281">
            <v>1209.7448426599999</v>
          </cell>
          <cell r="G281">
            <v>2060.2143300500002</v>
          </cell>
          <cell r="H281">
            <v>766.9448198</v>
          </cell>
          <cell r="I281">
            <v>691.2180803</v>
          </cell>
          <cell r="J281">
            <v>2193.2970540199999</v>
          </cell>
          <cell r="K281">
            <v>2961.89586977</v>
          </cell>
          <cell r="L281">
            <v>1701.1631965199999</v>
          </cell>
          <cell r="M281">
            <v>1601.37486352</v>
          </cell>
          <cell r="N281">
            <v>2119.9111607200002</v>
          </cell>
          <cell r="O281">
            <v>1357.5548183200001</v>
          </cell>
          <cell r="P281">
            <v>1073.9913501999999</v>
          </cell>
          <cell r="Q281">
            <v>1316.0029466000001</v>
          </cell>
          <cell r="R281">
            <v>3315.8422906000001</v>
          </cell>
          <cell r="S281">
            <v>5271.4806615999996</v>
          </cell>
          <cell r="U281">
            <v>0</v>
          </cell>
          <cell r="V281">
            <v>5271.4806615999996</v>
          </cell>
        </row>
        <row r="282">
          <cell r="A282" t="str">
            <v>620220</v>
          </cell>
          <cell r="B282" t="str">
            <v>CCE M-PESA C2B Account</v>
          </cell>
          <cell r="C282" t="str">
            <v>Asset</v>
          </cell>
          <cell r="D282">
            <v>0</v>
          </cell>
          <cell r="E282">
            <v>0</v>
          </cell>
          <cell r="F282">
            <v>4175.9643991000003</v>
          </cell>
          <cell r="G282">
            <v>2782.05115239</v>
          </cell>
          <cell r="H282">
            <v>1372.28487103</v>
          </cell>
          <cell r="I282">
            <v>459.80509612999998</v>
          </cell>
          <cell r="J282">
            <v>1001.62790719</v>
          </cell>
          <cell r="K282">
            <v>-19.682326549999999</v>
          </cell>
          <cell r="L282">
            <v>11363.43496757</v>
          </cell>
          <cell r="M282">
            <v>3901.1772017200001</v>
          </cell>
          <cell r="N282">
            <v>5538.3982750599998</v>
          </cell>
          <cell r="O282">
            <v>6735.3917167400004</v>
          </cell>
          <cell r="P282">
            <v>5389.6390879299997</v>
          </cell>
          <cell r="Q282">
            <v>2133.4264413999999</v>
          </cell>
          <cell r="R282">
            <v>4542.5061091899997</v>
          </cell>
          <cell r="S282">
            <v>3336.68930765</v>
          </cell>
          <cell r="U282">
            <v>0</v>
          </cell>
          <cell r="V282">
            <v>3336.68930765</v>
          </cell>
        </row>
        <row r="283">
          <cell r="A283" t="str">
            <v>620300</v>
          </cell>
          <cell r="B283" t="str">
            <v>CCE iPay Africa- Kenya</v>
          </cell>
          <cell r="C283" t="str">
            <v>Asset</v>
          </cell>
          <cell r="D283">
            <v>0</v>
          </cell>
          <cell r="E283">
            <v>216.558255</v>
          </cell>
          <cell r="F283">
            <v>333.27384762000003</v>
          </cell>
          <cell r="G283">
            <v>200.75147559999999</v>
          </cell>
          <cell r="H283">
            <v>68.767452939999998</v>
          </cell>
          <cell r="I283">
            <v>155.77768742000001</v>
          </cell>
          <cell r="J283">
            <v>250.25858656</v>
          </cell>
          <cell r="K283">
            <v>337.52574119000002</v>
          </cell>
          <cell r="L283">
            <v>243.34968054999999</v>
          </cell>
          <cell r="M283">
            <v>298.55469622999999</v>
          </cell>
          <cell r="N283">
            <v>443.73728523</v>
          </cell>
          <cell r="O283">
            <v>585.91202023000005</v>
          </cell>
          <cell r="P283">
            <v>1146.5130981899999</v>
          </cell>
          <cell r="Q283">
            <v>2002.71006805</v>
          </cell>
          <cell r="R283">
            <v>5840.8441576900004</v>
          </cell>
          <cell r="S283">
            <v>2692.5659333100002</v>
          </cell>
          <cell r="U283">
            <v>-967.95409999999993</v>
          </cell>
          <cell r="V283">
            <v>3660.5200333100001</v>
          </cell>
        </row>
        <row r="284">
          <cell r="A284" t="str">
            <v>620301</v>
          </cell>
          <cell r="B284" t="str">
            <v>CCE iPay Africa- Uganda</v>
          </cell>
          <cell r="C284" t="str">
            <v>Asset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500</v>
          </cell>
          <cell r="U284">
            <v>-500</v>
          </cell>
          <cell r="V284">
            <v>1000</v>
          </cell>
        </row>
        <row r="285">
          <cell r="A285" t="str">
            <v>620305</v>
          </cell>
          <cell r="B285" t="str">
            <v>Customer Support  - 0746433441</v>
          </cell>
          <cell r="C285" t="str">
            <v>Asset</v>
          </cell>
          <cell r="D285">
            <v>0</v>
          </cell>
          <cell r="E285">
            <v>0</v>
          </cell>
          <cell r="F285">
            <v>1.717578</v>
          </cell>
          <cell r="G285">
            <v>4.1704319999999999</v>
          </cell>
          <cell r="H285">
            <v>4.1704319999999999</v>
          </cell>
          <cell r="I285">
            <v>4.1704319999999999</v>
          </cell>
          <cell r="J285">
            <v>4.1704319999999999</v>
          </cell>
          <cell r="K285">
            <v>4.1704319999999999</v>
          </cell>
          <cell r="L285">
            <v>4.1704319999999999</v>
          </cell>
          <cell r="M285">
            <v>4.1704319999999999</v>
          </cell>
          <cell r="N285">
            <v>4.1704319999999999</v>
          </cell>
          <cell r="O285">
            <v>4.1704319999999999</v>
          </cell>
          <cell r="P285">
            <v>4.1704319999999999</v>
          </cell>
          <cell r="Q285">
            <v>4.1704319999999999</v>
          </cell>
          <cell r="R285">
            <v>4.1704319999999999</v>
          </cell>
          <cell r="S285">
            <v>4.1704319999999999</v>
          </cell>
          <cell r="U285">
            <v>0</v>
          </cell>
          <cell r="V285">
            <v>4.1704319999999999</v>
          </cell>
        </row>
        <row r="286">
          <cell r="A286" t="str">
            <v>620310</v>
          </cell>
          <cell r="B286" t="str">
            <v>CCE PayKonnect</v>
          </cell>
          <cell r="C286" t="str">
            <v>Asset</v>
          </cell>
          <cell r="D286">
            <v>0</v>
          </cell>
          <cell r="E286">
            <v>30.95719725</v>
          </cell>
          <cell r="F286">
            <v>189.45569510999999</v>
          </cell>
          <cell r="G286">
            <v>295.7315802</v>
          </cell>
          <cell r="H286">
            <v>295.7315802</v>
          </cell>
          <cell r="I286">
            <v>295.7315802</v>
          </cell>
          <cell r="J286">
            <v>295.7315802</v>
          </cell>
          <cell r="K286">
            <v>295.7315802</v>
          </cell>
          <cell r="L286">
            <v>295.7315802</v>
          </cell>
          <cell r="M286">
            <v>295.7315802</v>
          </cell>
          <cell r="N286">
            <v>295.7315802</v>
          </cell>
          <cell r="O286">
            <v>295.7315802</v>
          </cell>
          <cell r="P286">
            <v>295.7315802</v>
          </cell>
          <cell r="Q286">
            <v>295.7315802</v>
          </cell>
          <cell r="R286">
            <v>295.7315802</v>
          </cell>
          <cell r="S286">
            <v>295.7315802</v>
          </cell>
          <cell r="U286">
            <v>0</v>
          </cell>
          <cell r="V286">
            <v>295.7315802</v>
          </cell>
        </row>
        <row r="287">
          <cell r="A287" t="str">
            <v>620320</v>
          </cell>
          <cell r="B287" t="str">
            <v>CCE Smile Identity Prepaid Account</v>
          </cell>
          <cell r="C287" t="str">
            <v>Asset</v>
          </cell>
          <cell r="D287">
            <v>983.2533707</v>
          </cell>
          <cell r="E287">
            <v>942.90337069999998</v>
          </cell>
          <cell r="F287">
            <v>529.78700570000001</v>
          </cell>
          <cell r="G287">
            <v>46.354977699999999</v>
          </cell>
          <cell r="H287">
            <v>39.2064977</v>
          </cell>
          <cell r="I287">
            <v>-80.61233695</v>
          </cell>
          <cell r="J287">
            <v>-317.06233694999997</v>
          </cell>
          <cell r="K287">
            <v>-510.49770795000001</v>
          </cell>
          <cell r="L287">
            <v>-685.29770795000002</v>
          </cell>
          <cell r="M287">
            <v>-921.39770795000004</v>
          </cell>
          <cell r="N287">
            <v>-1263.2977079499999</v>
          </cell>
          <cell r="O287">
            <v>-1226.64770795</v>
          </cell>
          <cell r="P287">
            <v>-778.39770795000004</v>
          </cell>
          <cell r="Q287">
            <v>-301.79770795000002</v>
          </cell>
          <cell r="R287">
            <v>-533.94770794999999</v>
          </cell>
          <cell r="S287">
            <v>-752.04770795000002</v>
          </cell>
          <cell r="U287">
            <v>-1000</v>
          </cell>
          <cell r="V287">
            <v>247.95229204999998</v>
          </cell>
        </row>
        <row r="288">
          <cell r="A288" t="str">
            <v>620330</v>
          </cell>
          <cell r="B288" t="str">
            <v>CCE Infobip Prepaid Account</v>
          </cell>
          <cell r="C288" t="str">
            <v>Asset</v>
          </cell>
          <cell r="D288">
            <v>0</v>
          </cell>
          <cell r="E288">
            <v>27.7163425</v>
          </cell>
          <cell r="F288">
            <v>166.93416214000001</v>
          </cell>
          <cell r="G288">
            <v>427.13517467000003</v>
          </cell>
          <cell r="H288">
            <v>105.57003867</v>
          </cell>
          <cell r="I288">
            <v>24.427888670000002</v>
          </cell>
          <cell r="J288">
            <v>447.36216997000002</v>
          </cell>
          <cell r="K288">
            <v>187.79448919000001</v>
          </cell>
          <cell r="L288">
            <v>-7.1743908100000002</v>
          </cell>
          <cell r="M288">
            <v>-0.74069381000000001</v>
          </cell>
          <cell r="N288">
            <v>17.274980190000001</v>
          </cell>
          <cell r="O288">
            <v>148.66973419000001</v>
          </cell>
          <cell r="P288">
            <v>192.81369419000001</v>
          </cell>
          <cell r="Q288">
            <v>183.71360619000001</v>
          </cell>
          <cell r="R288">
            <v>199.14109836</v>
          </cell>
          <cell r="S288">
            <v>120.98488436</v>
          </cell>
          <cell r="U288">
            <v>-104.38</v>
          </cell>
          <cell r="V288">
            <v>225.36488435999999</v>
          </cell>
        </row>
        <row r="289">
          <cell r="A289" t="str">
            <v>620335</v>
          </cell>
          <cell r="B289" t="str">
            <v>CCE Africa's Talking Prepaid Account</v>
          </cell>
          <cell r="C289" t="str">
            <v>Asset</v>
          </cell>
          <cell r="D289">
            <v>0</v>
          </cell>
          <cell r="E289">
            <v>0</v>
          </cell>
          <cell r="F289">
            <v>231.75815369</v>
          </cell>
          <cell r="G289">
            <v>98.541642690000003</v>
          </cell>
          <cell r="H289">
            <v>117.26636268999999</v>
          </cell>
          <cell r="I289">
            <v>94.440764290000004</v>
          </cell>
          <cell r="J289">
            <v>263.08125259000002</v>
          </cell>
          <cell r="K289">
            <v>245.33111059000001</v>
          </cell>
          <cell r="L289">
            <v>279.27271058999997</v>
          </cell>
          <cell r="M289">
            <v>350.88271058999999</v>
          </cell>
          <cell r="N289">
            <v>350.88271058999999</v>
          </cell>
          <cell r="O289">
            <v>911.28271058999997</v>
          </cell>
          <cell r="P289">
            <v>1078.34191059</v>
          </cell>
          <cell r="Q289">
            <v>1243.5515105899999</v>
          </cell>
          <cell r="R289">
            <v>1401.4955105900001</v>
          </cell>
          <cell r="S289">
            <v>1562.2715105899999</v>
          </cell>
          <cell r="U289">
            <v>0</v>
          </cell>
          <cell r="V289">
            <v>1562.2715105899999</v>
          </cell>
        </row>
        <row r="290">
          <cell r="A290" t="str">
            <v>620340</v>
          </cell>
          <cell r="B290" t="str">
            <v>CCE Beyonic Limited</v>
          </cell>
          <cell r="C290" t="str">
            <v>Asset</v>
          </cell>
          <cell r="D290">
            <v>0</v>
          </cell>
          <cell r="E290">
            <v>0</v>
          </cell>
          <cell r="F290">
            <v>705.22449600000004</v>
          </cell>
          <cell r="G290">
            <v>151.81449599999999</v>
          </cell>
          <cell r="H290">
            <v>151.81449599999999</v>
          </cell>
          <cell r="I290">
            <v>151.81449599999999</v>
          </cell>
          <cell r="J290">
            <v>151.81449599999999</v>
          </cell>
          <cell r="K290">
            <v>151.81449599999999</v>
          </cell>
          <cell r="L290">
            <v>151.81449599999999</v>
          </cell>
          <cell r="M290">
            <v>151.81449599999999</v>
          </cell>
          <cell r="N290">
            <v>151.81449599999999</v>
          </cell>
          <cell r="O290">
            <v>151.81449599999999</v>
          </cell>
          <cell r="P290">
            <v>151.81449599999999</v>
          </cell>
          <cell r="Q290">
            <v>151.81449599999999</v>
          </cell>
          <cell r="R290">
            <v>151.81449599999999</v>
          </cell>
          <cell r="S290">
            <v>151.81449599999999</v>
          </cell>
          <cell r="U290">
            <v>194.15301100000002</v>
          </cell>
          <cell r="V290">
            <v>-42.338515000000029</v>
          </cell>
        </row>
        <row r="291">
          <cell r="A291" t="str">
            <v>620350</v>
          </cell>
          <cell r="B291" t="str">
            <v>CCE Giftchain Africa Limited</v>
          </cell>
          <cell r="C291" t="str">
            <v>Asset</v>
          </cell>
          <cell r="D291">
            <v>0</v>
          </cell>
          <cell r="E291">
            <v>0</v>
          </cell>
          <cell r="F291">
            <v>1007.397073</v>
          </cell>
          <cell r="G291">
            <v>3539.0818106000002</v>
          </cell>
          <cell r="H291">
            <v>3539.0818106000002</v>
          </cell>
          <cell r="I291">
            <v>3539.0024751000001</v>
          </cell>
          <cell r="J291">
            <v>3539.0810250999998</v>
          </cell>
          <cell r="K291">
            <v>3539.0810250999998</v>
          </cell>
          <cell r="L291">
            <v>3039.9157710999998</v>
          </cell>
          <cell r="M291">
            <v>3039.8432329000002</v>
          </cell>
          <cell r="N291">
            <v>3039.8432329000002</v>
          </cell>
          <cell r="O291">
            <v>3039.8432329000002</v>
          </cell>
          <cell r="P291">
            <v>3039.6720378999999</v>
          </cell>
          <cell r="Q291">
            <v>3039.3275236999998</v>
          </cell>
          <cell r="R291">
            <v>3039.3275236999998</v>
          </cell>
          <cell r="S291">
            <v>3039.3268837000001</v>
          </cell>
          <cell r="U291">
            <v>0</v>
          </cell>
          <cell r="V291">
            <v>3039.3268837000001</v>
          </cell>
        </row>
        <row r="292">
          <cell r="A292" t="str">
            <v>620360</v>
          </cell>
          <cell r="B292" t="str">
            <v>CCE Flutterwave</v>
          </cell>
          <cell r="C292" t="str">
            <v>Asset</v>
          </cell>
          <cell r="D292">
            <v>0</v>
          </cell>
          <cell r="E292">
            <v>0</v>
          </cell>
          <cell r="F292">
            <v>1796.4233059999999</v>
          </cell>
          <cell r="G292">
            <v>2113.7992251400001</v>
          </cell>
          <cell r="H292">
            <v>2113.7992251400001</v>
          </cell>
          <cell r="I292">
            <v>2113.7992251400001</v>
          </cell>
          <cell r="J292">
            <v>2113.7992251400001</v>
          </cell>
          <cell r="K292">
            <v>2113.7992251400001</v>
          </cell>
          <cell r="L292">
            <v>2113.7992251400001</v>
          </cell>
          <cell r="M292">
            <v>2113.7992251400001</v>
          </cell>
          <cell r="N292">
            <v>2113.7992251400001</v>
          </cell>
          <cell r="O292">
            <v>2113.7992251400001</v>
          </cell>
          <cell r="P292">
            <v>2113.7992251400001</v>
          </cell>
          <cell r="Q292">
            <v>1668.6403751400001</v>
          </cell>
          <cell r="R292">
            <v>2081.4865751399998</v>
          </cell>
          <cell r="S292">
            <v>2081.4865751399998</v>
          </cell>
          <cell r="U292">
            <v>569.58705423000015</v>
          </cell>
          <cell r="V292">
            <v>1511.8995209099996</v>
          </cell>
        </row>
        <row r="293">
          <cell r="A293" t="str">
            <v>620400</v>
          </cell>
          <cell r="B293" t="str">
            <v xml:space="preserve">CCE Petty Cash Floats </v>
          </cell>
          <cell r="C293" t="str">
            <v>Asset</v>
          </cell>
          <cell r="D293">
            <v>0</v>
          </cell>
          <cell r="E293">
            <v>92.162233999999998</v>
          </cell>
          <cell r="F293">
            <v>8.3108889999999995</v>
          </cell>
          <cell r="G293">
            <v>8.3108889999999995</v>
          </cell>
          <cell r="H293">
            <v>8.3108889999999995</v>
          </cell>
          <cell r="I293">
            <v>8.3108889999999995</v>
          </cell>
          <cell r="J293">
            <v>8.3108889999999995</v>
          </cell>
          <cell r="K293">
            <v>8.3108889999999995</v>
          </cell>
          <cell r="L293">
            <v>8.3108889999999995</v>
          </cell>
          <cell r="M293">
            <v>8.3108889999999995</v>
          </cell>
          <cell r="N293">
            <v>8.3108889999999995</v>
          </cell>
          <cell r="O293">
            <v>8.3108889999999995</v>
          </cell>
          <cell r="P293">
            <v>8.3108889999999995</v>
          </cell>
          <cell r="Q293">
            <v>8.3108889999999995</v>
          </cell>
          <cell r="R293">
            <v>8.3108889999999995</v>
          </cell>
          <cell r="S293">
            <v>8.3108889999999995</v>
          </cell>
          <cell r="U293">
            <v>0</v>
          </cell>
          <cell r="V293">
            <v>8.3108889999999995</v>
          </cell>
        </row>
        <row r="294">
          <cell r="A294" t="str">
            <v>620410</v>
          </cell>
          <cell r="B294" t="str">
            <v>Customer Accounts Receivable</v>
          </cell>
          <cell r="C294" t="str">
            <v>Asset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</row>
        <row r="295">
          <cell r="A295" t="str">
            <v>620420</v>
          </cell>
          <cell r="B295" t="str">
            <v xml:space="preserve">CCE Cash on hand </v>
          </cell>
          <cell r="C295" t="str">
            <v>Asset</v>
          </cell>
          <cell r="D295">
            <v>0</v>
          </cell>
          <cell r="E295">
            <v>0</v>
          </cell>
          <cell r="F295">
            <v>12.092377000000001</v>
          </cell>
          <cell r="G295">
            <v>0.47093600000000002</v>
          </cell>
          <cell r="H295">
            <v>0.47093600000000002</v>
          </cell>
          <cell r="I295">
            <v>0.47093600000000002</v>
          </cell>
          <cell r="J295">
            <v>0.47093600000000002</v>
          </cell>
          <cell r="K295">
            <v>0.47093600000000002</v>
          </cell>
          <cell r="L295">
            <v>0.47093600000000002</v>
          </cell>
          <cell r="M295">
            <v>0.47093600000000002</v>
          </cell>
          <cell r="N295">
            <v>0.47093600000000002</v>
          </cell>
          <cell r="O295">
            <v>0.47093600000000002</v>
          </cell>
          <cell r="P295">
            <v>0.47093600000000002</v>
          </cell>
          <cell r="Q295">
            <v>0.47093600000000002</v>
          </cell>
          <cell r="R295">
            <v>0.47093600000000002</v>
          </cell>
          <cell r="S295">
            <v>0.47093600000000002</v>
          </cell>
          <cell r="U295">
            <v>0</v>
          </cell>
          <cell r="V295">
            <v>0.47093600000000002</v>
          </cell>
        </row>
        <row r="296">
          <cell r="A296" t="str">
            <v>620500</v>
          </cell>
          <cell r="B296" t="str">
            <v>Britam MMF savings receivable</v>
          </cell>
          <cell r="C296" t="str">
            <v>Asset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</row>
        <row r="297">
          <cell r="A297" t="str">
            <v>630000</v>
          </cell>
          <cell r="B297" t="str">
            <v>Insurance Co.Sundry Debtor</v>
          </cell>
          <cell r="C297" t="str">
            <v>Asset</v>
          </cell>
          <cell r="D297">
            <v>0</v>
          </cell>
          <cell r="E297">
            <v>0</v>
          </cell>
          <cell r="F297">
            <v>615.99262199999998</v>
          </cell>
          <cell r="G297">
            <v>337.38408249999998</v>
          </cell>
          <cell r="H297">
            <v>382.12933329999998</v>
          </cell>
          <cell r="I297">
            <v>382.12933329999998</v>
          </cell>
          <cell r="J297">
            <v>382.12933329999998</v>
          </cell>
          <cell r="K297">
            <v>382.12933329999998</v>
          </cell>
          <cell r="L297">
            <v>382.12933329999998</v>
          </cell>
          <cell r="M297">
            <v>382.12933329999998</v>
          </cell>
          <cell r="N297">
            <v>382.12933329999998</v>
          </cell>
          <cell r="O297">
            <v>275.59267929999999</v>
          </cell>
          <cell r="P297">
            <v>275.59267929999999</v>
          </cell>
          <cell r="Q297">
            <v>275.59267929999999</v>
          </cell>
          <cell r="R297">
            <v>275.59267929999999</v>
          </cell>
          <cell r="S297">
            <v>275.59267929999999</v>
          </cell>
          <cell r="U297">
            <v>0</v>
          </cell>
          <cell r="V297">
            <v>275.59267929999999</v>
          </cell>
        </row>
        <row r="298">
          <cell r="A298" t="str">
            <v>630010</v>
          </cell>
          <cell r="B298" t="str">
            <v>Gaurantee Deposit - Rent</v>
          </cell>
          <cell r="C298" t="str">
            <v>Asset</v>
          </cell>
          <cell r="D298">
            <v>0</v>
          </cell>
          <cell r="E298">
            <v>2017.645</v>
          </cell>
          <cell r="F298">
            <v>2017.645</v>
          </cell>
          <cell r="G298">
            <v>24594.375400000001</v>
          </cell>
          <cell r="H298">
            <v>24594.375400000001</v>
          </cell>
          <cell r="I298">
            <v>24594.375400000001</v>
          </cell>
          <cell r="J298">
            <v>24594.375400000001</v>
          </cell>
          <cell r="K298">
            <v>24594.375400000001</v>
          </cell>
          <cell r="L298">
            <v>24594.375400000001</v>
          </cell>
          <cell r="M298">
            <v>24594.375400000001</v>
          </cell>
          <cell r="N298">
            <v>24594.375400000001</v>
          </cell>
          <cell r="O298">
            <v>24594.375400000001</v>
          </cell>
          <cell r="P298">
            <v>24594.375400000001</v>
          </cell>
          <cell r="Q298">
            <v>24594.375400000001</v>
          </cell>
          <cell r="R298">
            <v>24594.375400000001</v>
          </cell>
          <cell r="S298">
            <v>24594.375400000001</v>
          </cell>
          <cell r="U298">
            <v>0</v>
          </cell>
          <cell r="V298">
            <v>24594.375400000001</v>
          </cell>
        </row>
        <row r="299">
          <cell r="A299" t="str">
            <v>630020</v>
          </cell>
          <cell r="B299" t="str">
            <v>Staff Loans and advances</v>
          </cell>
          <cell r="C299" t="str">
            <v>Asset</v>
          </cell>
          <cell r="D299">
            <v>0</v>
          </cell>
          <cell r="E299">
            <v>14.0998644</v>
          </cell>
          <cell r="F299">
            <v>1699.8240649700001</v>
          </cell>
          <cell r="G299">
            <v>278.50594396999998</v>
          </cell>
          <cell r="H299">
            <v>278.50594396999998</v>
          </cell>
          <cell r="I299">
            <v>215.76774477000001</v>
          </cell>
          <cell r="J299">
            <v>215.76774477000001</v>
          </cell>
          <cell r="K299">
            <v>245.57974476999999</v>
          </cell>
          <cell r="L299">
            <v>216.69974477</v>
          </cell>
          <cell r="M299">
            <v>216.69974477</v>
          </cell>
          <cell r="N299">
            <v>216.69974477</v>
          </cell>
          <cell r="O299">
            <v>217.10474477</v>
          </cell>
          <cell r="P299">
            <v>4545.2066727700003</v>
          </cell>
          <cell r="Q299">
            <v>3807.4465227699998</v>
          </cell>
          <cell r="R299">
            <v>3076.1639007700001</v>
          </cell>
          <cell r="S299">
            <v>2663.3666067700001</v>
          </cell>
          <cell r="U299">
            <v>50.842910000000302</v>
          </cell>
          <cell r="V299">
            <v>2612.5236967699998</v>
          </cell>
        </row>
        <row r="300">
          <cell r="A300" t="str">
            <v>630025</v>
          </cell>
          <cell r="B300" t="str">
            <v>Other Current Assets - Staff Imprest</v>
          </cell>
          <cell r="C300" t="str">
            <v>Asset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</row>
        <row r="301">
          <cell r="A301" t="str">
            <v>630026</v>
          </cell>
          <cell r="B301" t="str">
            <v>Testing receivable Account</v>
          </cell>
          <cell r="C301" t="str">
            <v>Asset</v>
          </cell>
          <cell r="D301">
            <v>0</v>
          </cell>
          <cell r="E301">
            <v>0</v>
          </cell>
          <cell r="F301">
            <v>0.78839685000000004</v>
          </cell>
          <cell r="G301">
            <v>12.56772548</v>
          </cell>
          <cell r="H301">
            <v>12.56772548</v>
          </cell>
          <cell r="I301">
            <v>12.56772548</v>
          </cell>
          <cell r="J301">
            <v>12.56772548</v>
          </cell>
          <cell r="K301">
            <v>12.56772548</v>
          </cell>
          <cell r="L301">
            <v>12.56772548</v>
          </cell>
          <cell r="M301">
            <v>12.56772548</v>
          </cell>
          <cell r="N301">
            <v>12.56772548</v>
          </cell>
          <cell r="O301">
            <v>12.56772548</v>
          </cell>
          <cell r="P301">
            <v>12.56772548</v>
          </cell>
          <cell r="Q301">
            <v>12.56772548</v>
          </cell>
          <cell r="R301">
            <v>12.56772548</v>
          </cell>
          <cell r="S301">
            <v>12.56772548</v>
          </cell>
          <cell r="U301">
            <v>15.681598999999999</v>
          </cell>
          <cell r="V301">
            <v>-3.1138735199999985</v>
          </cell>
        </row>
        <row r="302">
          <cell r="A302" t="str">
            <v>630027</v>
          </cell>
          <cell r="B302" t="str">
            <v xml:space="preserve">Cash Back Reward </v>
          </cell>
          <cell r="C302" t="str">
            <v>Asset</v>
          </cell>
          <cell r="D302">
            <v>0</v>
          </cell>
          <cell r="E302">
            <v>0</v>
          </cell>
          <cell r="F302">
            <v>0.12216299999999999</v>
          </cell>
          <cell r="G302">
            <v>0.12216299999999999</v>
          </cell>
          <cell r="H302">
            <v>0.12216299999999999</v>
          </cell>
          <cell r="I302">
            <v>0.12216299999999999</v>
          </cell>
          <cell r="J302">
            <v>0.12216299999999999</v>
          </cell>
          <cell r="K302">
            <v>0.12216299999999999</v>
          </cell>
          <cell r="L302">
            <v>0.12216299999999999</v>
          </cell>
          <cell r="M302">
            <v>0.12216299999999999</v>
          </cell>
          <cell r="N302">
            <v>0.12216299999999999</v>
          </cell>
          <cell r="O302">
            <v>0.12216299999999999</v>
          </cell>
          <cell r="P302">
            <v>0.12216299999999999</v>
          </cell>
          <cell r="Q302">
            <v>0.12216299999999999</v>
          </cell>
          <cell r="R302">
            <v>0.12216299999999999</v>
          </cell>
          <cell r="S302">
            <v>0.12216299999999999</v>
          </cell>
          <cell r="U302">
            <v>0</v>
          </cell>
          <cell r="V302">
            <v>0.12216299999999999</v>
          </cell>
        </row>
        <row r="303">
          <cell r="A303" t="str">
            <v>630030</v>
          </cell>
          <cell r="B303" t="str">
            <v>Other Current Assets - Premium Commission receivable - insurance</v>
          </cell>
          <cell r="C303" t="str">
            <v>Asset</v>
          </cell>
          <cell r="D303">
            <v>0</v>
          </cell>
          <cell r="E303">
            <v>0</v>
          </cell>
          <cell r="F303">
            <v>1.2851999999999999</v>
          </cell>
          <cell r="G303">
            <v>1.2851999999999999</v>
          </cell>
          <cell r="H303">
            <v>1.2851999999999999</v>
          </cell>
          <cell r="I303">
            <v>1.2851999999999999</v>
          </cell>
          <cell r="J303">
            <v>1.2851999999999999</v>
          </cell>
          <cell r="K303">
            <v>1.2851999999999999</v>
          </cell>
          <cell r="L303">
            <v>1.2851999999999999</v>
          </cell>
          <cell r="M303">
            <v>1.2851999999999999</v>
          </cell>
          <cell r="N303">
            <v>1.2851999999999999</v>
          </cell>
          <cell r="O303">
            <v>1.2851999999999999</v>
          </cell>
          <cell r="P303">
            <v>1.2851999999999999</v>
          </cell>
          <cell r="Q303">
            <v>1.2851999999999999</v>
          </cell>
          <cell r="R303">
            <v>1.2851999999999999</v>
          </cell>
          <cell r="S303">
            <v>1.2851999999999999</v>
          </cell>
          <cell r="U303">
            <v>0</v>
          </cell>
          <cell r="V303">
            <v>1.2851999999999999</v>
          </cell>
        </row>
        <row r="304">
          <cell r="A304" t="str">
            <v>630031</v>
          </cell>
          <cell r="B304" t="str">
            <v>Other Currect Assets - iPay Commission Receivable</v>
          </cell>
          <cell r="C304" t="str">
            <v>Asset</v>
          </cell>
          <cell r="D304">
            <v>0</v>
          </cell>
          <cell r="E304">
            <v>0</v>
          </cell>
          <cell r="F304">
            <v>48.182802369999997</v>
          </cell>
          <cell r="G304">
            <v>49.01556617</v>
          </cell>
          <cell r="H304">
            <v>49.01556617</v>
          </cell>
          <cell r="I304">
            <v>49.01556617</v>
          </cell>
          <cell r="J304">
            <v>49.01556617</v>
          </cell>
          <cell r="K304">
            <v>49.01556617</v>
          </cell>
          <cell r="L304">
            <v>49.01556617</v>
          </cell>
          <cell r="M304">
            <v>49.01556617</v>
          </cell>
          <cell r="N304">
            <v>49.01556617</v>
          </cell>
          <cell r="O304">
            <v>49.01556617</v>
          </cell>
          <cell r="P304">
            <v>49.01556617</v>
          </cell>
          <cell r="Q304">
            <v>49.01556617</v>
          </cell>
          <cell r="R304">
            <v>49.01556617</v>
          </cell>
          <cell r="S304">
            <v>49.01556617</v>
          </cell>
          <cell r="U304">
            <v>0</v>
          </cell>
          <cell r="V304">
            <v>49.01556617</v>
          </cell>
        </row>
        <row r="305">
          <cell r="A305" t="str">
            <v>630035</v>
          </cell>
          <cell r="B305" t="str">
            <v>Grant Receivable</v>
          </cell>
          <cell r="C305" t="str">
            <v>Asset</v>
          </cell>
          <cell r="D305">
            <v>0</v>
          </cell>
          <cell r="E305">
            <v>0</v>
          </cell>
          <cell r="F305">
            <v>4</v>
          </cell>
          <cell r="G305">
            <v>4</v>
          </cell>
          <cell r="H305">
            <v>4</v>
          </cell>
          <cell r="I305">
            <v>4</v>
          </cell>
          <cell r="J305">
            <v>4</v>
          </cell>
          <cell r="K305">
            <v>4</v>
          </cell>
          <cell r="L305">
            <v>4</v>
          </cell>
          <cell r="M305">
            <v>4</v>
          </cell>
          <cell r="N305">
            <v>4</v>
          </cell>
          <cell r="O305">
            <v>4</v>
          </cell>
          <cell r="P305">
            <v>4</v>
          </cell>
          <cell r="Q305">
            <v>4</v>
          </cell>
          <cell r="R305">
            <v>4</v>
          </cell>
          <cell r="S305">
            <v>4</v>
          </cell>
          <cell r="U305">
            <v>0</v>
          </cell>
          <cell r="V305">
            <v>4</v>
          </cell>
        </row>
        <row r="306">
          <cell r="A306" t="str">
            <v>630040</v>
          </cell>
          <cell r="B306" t="str">
            <v>Prepaid Expenses</v>
          </cell>
          <cell r="C306" t="str">
            <v>Asset</v>
          </cell>
          <cell r="D306">
            <v>0</v>
          </cell>
          <cell r="E306">
            <v>-1074.3985243899999</v>
          </cell>
          <cell r="F306">
            <v>-6660.06216331</v>
          </cell>
          <cell r="G306">
            <v>483.59291768000003</v>
          </cell>
          <cell r="H306">
            <v>5757.8581067300001</v>
          </cell>
          <cell r="I306">
            <v>2872.95254909</v>
          </cell>
          <cell r="J306">
            <v>-1664.06124955</v>
          </cell>
          <cell r="K306">
            <v>1792.65069795</v>
          </cell>
          <cell r="L306">
            <v>-2634.9333570499998</v>
          </cell>
          <cell r="M306">
            <v>-12411.9985762</v>
          </cell>
          <cell r="N306">
            <v>-7741.9659078499999</v>
          </cell>
          <cell r="O306">
            <v>-3053.96498453</v>
          </cell>
          <cell r="P306">
            <v>-8966.0474706500008</v>
          </cell>
          <cell r="Q306">
            <v>-6334.0912484099999</v>
          </cell>
          <cell r="R306">
            <v>-3610.34811141</v>
          </cell>
          <cell r="S306">
            <v>7784.38520599</v>
          </cell>
          <cell r="U306">
            <v>-27714.89</v>
          </cell>
          <cell r="V306">
            <v>35499.275205990001</v>
          </cell>
        </row>
        <row r="307">
          <cell r="A307" t="str">
            <v>640000</v>
          </cell>
          <cell r="B307" t="str">
            <v>Intercompany Account- receivable</v>
          </cell>
          <cell r="C307" t="str">
            <v>Asset</v>
          </cell>
          <cell r="D307">
            <v>0</v>
          </cell>
          <cell r="E307">
            <v>0</v>
          </cell>
          <cell r="F307">
            <v>0</v>
          </cell>
          <cell r="G307">
            <v>-380.081277</v>
          </cell>
          <cell r="H307">
            <v>-380.081277</v>
          </cell>
          <cell r="I307">
            <v>-380.081277</v>
          </cell>
          <cell r="J307">
            <v>2656.9887229999999</v>
          </cell>
          <cell r="K307">
            <v>2656.9887229999999</v>
          </cell>
          <cell r="L307">
            <v>2656.9887229999999</v>
          </cell>
          <cell r="M307">
            <v>5134.7287230000002</v>
          </cell>
          <cell r="N307">
            <v>41595.818722999997</v>
          </cell>
          <cell r="O307">
            <v>184151.47872300001</v>
          </cell>
          <cell r="P307">
            <v>241258.38872300001</v>
          </cell>
          <cell r="Q307">
            <v>297891.128723</v>
          </cell>
          <cell r="R307">
            <v>342340.51872300002</v>
          </cell>
          <cell r="S307">
            <v>346274.01872300002</v>
          </cell>
          <cell r="U307">
            <v>37451.840279380034</v>
          </cell>
          <cell r="V307">
            <v>308822.17844361998</v>
          </cell>
        </row>
        <row r="308">
          <cell r="A308" t="str">
            <v>640001</v>
          </cell>
          <cell r="B308" t="str">
            <v>Interest receivable intercompany loan</v>
          </cell>
          <cell r="C308" t="str">
            <v>Asset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106.6365</v>
          </cell>
          <cell r="V308">
            <v>-106.6365</v>
          </cell>
        </row>
        <row r="309">
          <cell r="A309" t="str">
            <v>640002</v>
          </cell>
          <cell r="B309" t="str">
            <v>Intercompany Account- PFW Loan receivable</v>
          </cell>
          <cell r="C309" t="str">
            <v>Asset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U309">
            <v>0</v>
          </cell>
          <cell r="V309">
            <v>0</v>
          </cell>
        </row>
        <row r="310">
          <cell r="A310" t="str">
            <v>650000</v>
          </cell>
          <cell r="B310" t="str">
            <v>PPE-Furn and Fittings -Cost</v>
          </cell>
          <cell r="C310" t="str">
            <v>Asset</v>
          </cell>
          <cell r="D310">
            <v>0</v>
          </cell>
          <cell r="E310">
            <v>0</v>
          </cell>
          <cell r="F310">
            <v>2237.996662</v>
          </cell>
          <cell r="G310">
            <v>4554.2617680000003</v>
          </cell>
          <cell r="H310">
            <v>11821.29537392</v>
          </cell>
          <cell r="I310">
            <v>13094.48998792</v>
          </cell>
          <cell r="J310">
            <v>14142.17548792</v>
          </cell>
          <cell r="K310">
            <v>14771.51268792</v>
          </cell>
          <cell r="L310">
            <v>14792.720387920001</v>
          </cell>
          <cell r="M310">
            <v>14914.814637920001</v>
          </cell>
          <cell r="N310">
            <v>14914.814637920001</v>
          </cell>
          <cell r="O310">
            <v>15034.171637920001</v>
          </cell>
          <cell r="P310">
            <v>15034.171637920001</v>
          </cell>
          <cell r="Q310">
            <v>15034.171637920001</v>
          </cell>
          <cell r="R310">
            <v>15034.171637920001</v>
          </cell>
          <cell r="S310">
            <v>15034.171637920001</v>
          </cell>
          <cell r="U310">
            <v>945.46461400000044</v>
          </cell>
          <cell r="V310">
            <v>14088.70702392</v>
          </cell>
        </row>
        <row r="311">
          <cell r="A311" t="str">
            <v>650010</v>
          </cell>
          <cell r="B311" t="str">
            <v>PPE-Office Equipment -Cost</v>
          </cell>
          <cell r="C311" t="str">
            <v>Asset</v>
          </cell>
          <cell r="D311">
            <v>395.67874999999998</v>
          </cell>
          <cell r="E311">
            <v>3220.5075700000002</v>
          </cell>
          <cell r="F311">
            <v>1246.9524799999999</v>
          </cell>
          <cell r="G311">
            <v>1290.96748</v>
          </cell>
          <cell r="H311">
            <v>1365.8709249999999</v>
          </cell>
          <cell r="I311">
            <v>3352.637307</v>
          </cell>
          <cell r="J311">
            <v>3352.637307</v>
          </cell>
          <cell r="K311">
            <v>3352.637307</v>
          </cell>
          <cell r="L311">
            <v>3424.0918320000001</v>
          </cell>
          <cell r="M311">
            <v>3424.0918320000001</v>
          </cell>
          <cell r="N311">
            <v>3575.881832</v>
          </cell>
          <cell r="O311">
            <v>3575.881832</v>
          </cell>
          <cell r="P311">
            <v>3575.881832</v>
          </cell>
          <cell r="Q311">
            <v>3575.881832</v>
          </cell>
          <cell r="R311">
            <v>3575.881832</v>
          </cell>
          <cell r="S311">
            <v>3575.881832</v>
          </cell>
          <cell r="U311">
            <v>-958.70823199999995</v>
          </cell>
          <cell r="V311">
            <v>4534.590064</v>
          </cell>
        </row>
        <row r="312">
          <cell r="A312" t="str">
            <v>650015</v>
          </cell>
          <cell r="B312" t="str">
            <v>PPE-Computer and Accessories - Cost</v>
          </cell>
          <cell r="C312" t="str">
            <v>Asset</v>
          </cell>
          <cell r="D312">
            <v>0</v>
          </cell>
          <cell r="E312">
            <v>1800.5709999999999</v>
          </cell>
          <cell r="F312">
            <v>2393.761</v>
          </cell>
          <cell r="G312">
            <v>8087.4369999999999</v>
          </cell>
          <cell r="H312">
            <v>8634.4969999999994</v>
          </cell>
          <cell r="I312">
            <v>9832.4030000000002</v>
          </cell>
          <cell r="J312">
            <v>12738.981</v>
          </cell>
          <cell r="K312">
            <v>15762.192999999999</v>
          </cell>
          <cell r="L312">
            <v>15762.192999999999</v>
          </cell>
          <cell r="M312">
            <v>15805.249</v>
          </cell>
          <cell r="N312">
            <v>18372.399000000001</v>
          </cell>
          <cell r="O312">
            <v>18372.399000000001</v>
          </cell>
          <cell r="P312">
            <v>20422.399000000001</v>
          </cell>
          <cell r="Q312">
            <v>20422.399000000001</v>
          </cell>
          <cell r="R312">
            <v>20422.399000000001</v>
          </cell>
          <cell r="S312">
            <v>20422.399000000001</v>
          </cell>
          <cell r="U312">
            <v>7652.9236180000007</v>
          </cell>
          <cell r="V312">
            <v>12769.475382000001</v>
          </cell>
        </row>
        <row r="313">
          <cell r="A313" t="str">
            <v>650020</v>
          </cell>
          <cell r="B313" t="str">
            <v>PPE – Power Software – Acc</v>
          </cell>
          <cell r="C313" t="str">
            <v>Asset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-7434.28</v>
          </cell>
          <cell r="V313">
            <v>7434.28</v>
          </cell>
        </row>
        <row r="314">
          <cell r="A314" t="str">
            <v>650030</v>
          </cell>
          <cell r="B314" t="str">
            <v>Tax Recoverable</v>
          </cell>
          <cell r="C314" t="str">
            <v>Asset</v>
          </cell>
          <cell r="D314">
            <v>0</v>
          </cell>
          <cell r="E314">
            <v>0</v>
          </cell>
          <cell r="F314">
            <v>0</v>
          </cell>
          <cell r="G314">
            <v>42.653649999999999</v>
          </cell>
          <cell r="H314">
            <v>42.653649999999999</v>
          </cell>
          <cell r="I314">
            <v>42.653649999999999</v>
          </cell>
          <cell r="J314">
            <v>42.653649999999999</v>
          </cell>
          <cell r="K314">
            <v>42.653649999999999</v>
          </cell>
          <cell r="L314">
            <v>42.653649999999999</v>
          </cell>
          <cell r="M314">
            <v>42.653649999999999</v>
          </cell>
          <cell r="N314">
            <v>42.653649999999999</v>
          </cell>
          <cell r="O314">
            <v>42.653649999999999</v>
          </cell>
          <cell r="P314">
            <v>42.653649999999999</v>
          </cell>
          <cell r="Q314">
            <v>42.653649999999999</v>
          </cell>
          <cell r="R314">
            <v>42.653649999999999</v>
          </cell>
          <cell r="S314">
            <v>42.653649999999999</v>
          </cell>
          <cell r="U314">
            <v>0</v>
          </cell>
          <cell r="V314">
            <v>42.653649999999999</v>
          </cell>
        </row>
        <row r="315">
          <cell r="A315" t="str">
            <v>650040</v>
          </cell>
          <cell r="B315" t="str">
            <v>Accumulated Depreciation - Other Intangible Assets</v>
          </cell>
          <cell r="C315" t="str">
            <v>Asset</v>
          </cell>
          <cell r="D315">
            <v>0</v>
          </cell>
          <cell r="E315">
            <v>0</v>
          </cell>
          <cell r="F315">
            <v>-11.984931</v>
          </cell>
          <cell r="G315">
            <v>-80.705847000000006</v>
          </cell>
          <cell r="H315">
            <v>-86.143511000000004</v>
          </cell>
          <cell r="I315">
            <v>-91.461346000000006</v>
          </cell>
          <cell r="J315">
            <v>-91.461346000000006</v>
          </cell>
          <cell r="K315">
            <v>-96.444743000000003</v>
          </cell>
          <cell r="L315">
            <v>-96.444743000000003</v>
          </cell>
          <cell r="M315">
            <v>-101.26159800000001</v>
          </cell>
          <cell r="N315">
            <v>-106.024293</v>
          </cell>
          <cell r="O315">
            <v>-110.68746899999999</v>
          </cell>
          <cell r="P315">
            <v>-115.26669699999999</v>
          </cell>
          <cell r="Q315">
            <v>-119.769424</v>
          </cell>
          <cell r="R315">
            <v>-124.192942</v>
          </cell>
          <cell r="S315">
            <v>-128.600212</v>
          </cell>
          <cell r="U315">
            <v>0</v>
          </cell>
          <cell r="V315">
            <v>-128.600212</v>
          </cell>
        </row>
        <row r="316">
          <cell r="A316" t="str">
            <v>650045</v>
          </cell>
          <cell r="B316" t="str">
            <v>Accumulated Depreciation PPE- Office Equipment</v>
          </cell>
          <cell r="C316" t="str">
            <v>Asset</v>
          </cell>
          <cell r="D316">
            <v>-50.257404000000001</v>
          </cell>
          <cell r="E316">
            <v>-409.64454899999998</v>
          </cell>
          <cell r="F316">
            <v>-729.98680899999999</v>
          </cell>
          <cell r="G316">
            <v>-891.17527600000005</v>
          </cell>
          <cell r="H316">
            <v>-946.38785199999995</v>
          </cell>
          <cell r="I316">
            <v>-989.36006699999996</v>
          </cell>
          <cell r="J316">
            <v>-994.47644200000002</v>
          </cell>
          <cell r="K316">
            <v>-1037.135955</v>
          </cell>
          <cell r="L316">
            <v>-1079.7505249999999</v>
          </cell>
          <cell r="M316">
            <v>-1122.25432</v>
          </cell>
          <cell r="N316">
            <v>-1164.7074749999999</v>
          </cell>
          <cell r="O316">
            <v>-1215.9944270000001</v>
          </cell>
          <cell r="P316">
            <v>-1227.087387</v>
          </cell>
          <cell r="Q316">
            <v>-1275.5494100000001</v>
          </cell>
          <cell r="R316">
            <v>-1323.539896</v>
          </cell>
          <cell r="S316">
            <v>-1371.493686</v>
          </cell>
          <cell r="U316">
            <v>0</v>
          </cell>
          <cell r="V316">
            <v>-1371.493686</v>
          </cell>
        </row>
        <row r="317">
          <cell r="A317" t="str">
            <v>650050</v>
          </cell>
          <cell r="B317" t="str">
            <v>Accumulated Amortization- Software</v>
          </cell>
          <cell r="C317" t="str">
            <v>Asset</v>
          </cell>
          <cell r="D317">
            <v>0</v>
          </cell>
          <cell r="E317">
            <v>-1550.8590999999999</v>
          </cell>
          <cell r="F317">
            <v>-3857.8780510000001</v>
          </cell>
          <cell r="G317">
            <v>-4673.0923869999997</v>
          </cell>
          <cell r="H317">
            <v>-4673.0923869999997</v>
          </cell>
          <cell r="I317">
            <v>-4673.0923869999997</v>
          </cell>
          <cell r="J317">
            <v>-4673.0923869999997</v>
          </cell>
          <cell r="K317">
            <v>-4673.0923869999997</v>
          </cell>
          <cell r="L317">
            <v>-4673.0923869999997</v>
          </cell>
          <cell r="M317">
            <v>-4673.0923869999997</v>
          </cell>
          <cell r="N317">
            <v>-4673.0923869999997</v>
          </cell>
          <cell r="O317">
            <v>-4673.0923869999997</v>
          </cell>
          <cell r="P317">
            <v>-4673.0923869999997</v>
          </cell>
          <cell r="Q317">
            <v>-4673.0923869999997</v>
          </cell>
          <cell r="R317">
            <v>-4673.0923869999997</v>
          </cell>
          <cell r="S317">
            <v>-4673.0923869999997</v>
          </cell>
          <cell r="U317">
            <v>0</v>
          </cell>
          <cell r="V317">
            <v>-4673.0923869999997</v>
          </cell>
        </row>
        <row r="318">
          <cell r="A318" t="str">
            <v>650055</v>
          </cell>
          <cell r="B318" t="str">
            <v>Accumulated Depreciation PPE - Furniture &amp; Fittings</v>
          </cell>
          <cell r="C318" t="str">
            <v>Asset</v>
          </cell>
          <cell r="D318">
            <v>0</v>
          </cell>
          <cell r="E318">
            <v>0</v>
          </cell>
          <cell r="F318">
            <v>-283.31668000000002</v>
          </cell>
          <cell r="G318">
            <v>-1721.139355</v>
          </cell>
          <cell r="H318">
            <v>-2107.5347790000001</v>
          </cell>
          <cell r="I318">
            <v>-2266.9912789999998</v>
          </cell>
          <cell r="J318">
            <v>-2410.6920289999998</v>
          </cell>
          <cell r="K318">
            <v>-2552.1042000000002</v>
          </cell>
          <cell r="L318">
            <v>-2708.8610699999999</v>
          </cell>
          <cell r="M318">
            <v>-2861.8549149999999</v>
          </cell>
          <cell r="N318">
            <v>-3013.1285200000002</v>
          </cell>
          <cell r="O318">
            <v>-3161.241184</v>
          </cell>
          <cell r="P318">
            <v>-3344.6874760000001</v>
          </cell>
          <cell r="Q318">
            <v>-3487.7039289999998</v>
          </cell>
          <cell r="R318">
            <v>-3628.2045309999999</v>
          </cell>
          <cell r="S318">
            <v>-3768.189061</v>
          </cell>
          <cell r="U318">
            <v>0</v>
          </cell>
          <cell r="V318">
            <v>-3768.189061</v>
          </cell>
        </row>
        <row r="319">
          <cell r="A319" t="str">
            <v>650060</v>
          </cell>
          <cell r="B319" t="str">
            <v>Accumulated Depreciation PPE- Computer &amp; Accessories</v>
          </cell>
          <cell r="C319" t="str">
            <v>Asset</v>
          </cell>
          <cell r="D319">
            <v>0</v>
          </cell>
          <cell r="E319">
            <v>-516.90599999999995</v>
          </cell>
          <cell r="F319">
            <v>-1284.2240690000001</v>
          </cell>
          <cell r="G319">
            <v>-2697.367154</v>
          </cell>
          <cell r="H319">
            <v>-2907.131922</v>
          </cell>
          <cell r="I319">
            <v>-3166.2101120000002</v>
          </cell>
          <cell r="J319">
            <v>-3478.0343619999999</v>
          </cell>
          <cell r="K319">
            <v>-3868.7843240000002</v>
          </cell>
          <cell r="L319">
            <v>-4339.75252</v>
          </cell>
          <cell r="M319">
            <v>-4693.202045</v>
          </cell>
          <cell r="N319">
            <v>-5072.0777049999997</v>
          </cell>
          <cell r="O319">
            <v>-5447.2934009999999</v>
          </cell>
          <cell r="P319">
            <v>-5818.4366890000001</v>
          </cell>
          <cell r="Q319">
            <v>-6185.8688309999998</v>
          </cell>
          <cell r="R319">
            <v>-6549.4584590000004</v>
          </cell>
          <cell r="S319">
            <v>-6912.2598790000002</v>
          </cell>
          <cell r="U319">
            <v>-1887</v>
          </cell>
          <cell r="V319">
            <v>-5025.2598790000002</v>
          </cell>
        </row>
        <row r="320">
          <cell r="A320" t="str">
            <v>660000</v>
          </cell>
          <cell r="B320" t="str">
            <v>Acquired goodwill</v>
          </cell>
          <cell r="C320" t="str">
            <v>Asset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1490</v>
          </cell>
          <cell r="V320">
            <v>-1490</v>
          </cell>
        </row>
        <row r="321">
          <cell r="A321" t="str">
            <v>660010</v>
          </cell>
          <cell r="B321" t="str">
            <v>Other Intangible Assets</v>
          </cell>
          <cell r="C321" t="str">
            <v>Asset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</row>
        <row r="322">
          <cell r="A322" t="str">
            <v>660020</v>
          </cell>
          <cell r="B322" t="str">
            <v>Trademarks</v>
          </cell>
          <cell r="C322" t="str">
            <v>Asset</v>
          </cell>
          <cell r="D322">
            <v>0</v>
          </cell>
          <cell r="E322">
            <v>0</v>
          </cell>
          <cell r="F322">
            <v>291.10250000000002</v>
          </cell>
          <cell r="G322">
            <v>291.10250000000002</v>
          </cell>
          <cell r="H322">
            <v>291.10250000000002</v>
          </cell>
          <cell r="I322">
            <v>291.10250000000002</v>
          </cell>
          <cell r="J322">
            <v>291.10250000000002</v>
          </cell>
          <cell r="K322">
            <v>291.10250000000002</v>
          </cell>
          <cell r="L322">
            <v>291.10250000000002</v>
          </cell>
          <cell r="M322">
            <v>291.10250000000002</v>
          </cell>
          <cell r="N322">
            <v>291.10250000000002</v>
          </cell>
          <cell r="O322">
            <v>291.10250000000002</v>
          </cell>
          <cell r="P322">
            <v>291.10250000000002</v>
          </cell>
          <cell r="Q322">
            <v>291.10250000000002</v>
          </cell>
          <cell r="R322">
            <v>291.10250000000002</v>
          </cell>
          <cell r="S322">
            <v>291.10250000000002</v>
          </cell>
          <cell r="U322">
            <v>0</v>
          </cell>
          <cell r="V322">
            <v>291.10250000000002</v>
          </cell>
        </row>
        <row r="323">
          <cell r="A323" t="str">
            <v>660030</v>
          </cell>
          <cell r="B323" t="str">
            <v>Software Cost</v>
          </cell>
          <cell r="C323" t="str">
            <v>Asset</v>
          </cell>
          <cell r="D323">
            <v>19524.261503999998</v>
          </cell>
          <cell r="E323">
            <v>129806.48390200001</v>
          </cell>
          <cell r="F323">
            <v>371970.58446058998</v>
          </cell>
          <cell r="G323">
            <v>720639.53400359</v>
          </cell>
          <cell r="H323">
            <v>741409.75568358996</v>
          </cell>
          <cell r="I323">
            <v>741409.75568358996</v>
          </cell>
          <cell r="J323">
            <v>741409.75568358996</v>
          </cell>
          <cell r="K323">
            <v>741409.75568358996</v>
          </cell>
          <cell r="L323">
            <v>741409.75568358996</v>
          </cell>
          <cell r="M323">
            <v>741409.75568358996</v>
          </cell>
          <cell r="N323">
            <v>741409.75568358996</v>
          </cell>
          <cell r="O323">
            <v>741409.75568358996</v>
          </cell>
          <cell r="P323">
            <v>741409.75568358996</v>
          </cell>
          <cell r="Q323">
            <v>741409.75568358996</v>
          </cell>
          <cell r="R323">
            <v>741409.75568358996</v>
          </cell>
          <cell r="S323">
            <v>741409.75568358996</v>
          </cell>
          <cell r="U323">
            <v>737492.76036925998</v>
          </cell>
          <cell r="V323">
            <v>3916.995314329979</v>
          </cell>
        </row>
        <row r="324">
          <cell r="A324" t="str">
            <v>660040</v>
          </cell>
          <cell r="B324" t="str">
            <v>Software Acc Dep</v>
          </cell>
          <cell r="C324" t="str">
            <v>Asset</v>
          </cell>
          <cell r="D324">
            <v>0</v>
          </cell>
          <cell r="E324">
            <v>0</v>
          </cell>
          <cell r="F324">
            <v>-21324</v>
          </cell>
          <cell r="G324">
            <v>-159217.69</v>
          </cell>
          <cell r="H324">
            <v>-174274.69</v>
          </cell>
          <cell r="I324">
            <v>-189331.69</v>
          </cell>
          <cell r="J324">
            <v>-204388.69</v>
          </cell>
          <cell r="K324">
            <v>-219445.69</v>
          </cell>
          <cell r="L324">
            <v>-234507.62533000001</v>
          </cell>
          <cell r="M324">
            <v>-249564.62533000001</v>
          </cell>
          <cell r="N324">
            <v>-264621.62533000001</v>
          </cell>
          <cell r="O324">
            <v>-279678.62533000001</v>
          </cell>
          <cell r="P324">
            <v>-294735.62533000001</v>
          </cell>
          <cell r="Q324">
            <v>-309792.62533000001</v>
          </cell>
          <cell r="R324">
            <v>-324849.62533000001</v>
          </cell>
          <cell r="S324">
            <v>-339906.62533000001</v>
          </cell>
          <cell r="U324">
            <v>-339901.69</v>
          </cell>
          <cell r="V324">
            <v>-4.9353300000075251</v>
          </cell>
        </row>
        <row r="325">
          <cell r="A325" t="str">
            <v>660090</v>
          </cell>
          <cell r="B325" t="str">
            <v>Credit Scorecard</v>
          </cell>
          <cell r="C325" t="str">
            <v>Asset</v>
          </cell>
          <cell r="D325">
            <v>0</v>
          </cell>
          <cell r="E325">
            <v>0</v>
          </cell>
          <cell r="F325">
            <v>10000</v>
          </cell>
          <cell r="G325">
            <v>10000</v>
          </cell>
          <cell r="H325">
            <v>10000</v>
          </cell>
          <cell r="I325">
            <v>10000</v>
          </cell>
          <cell r="J325">
            <v>10000</v>
          </cell>
          <cell r="K325">
            <v>10000</v>
          </cell>
          <cell r="L325">
            <v>10000</v>
          </cell>
          <cell r="M325">
            <v>10000</v>
          </cell>
          <cell r="N325">
            <v>10000</v>
          </cell>
          <cell r="O325">
            <v>10000</v>
          </cell>
          <cell r="P325">
            <v>10000</v>
          </cell>
          <cell r="Q325">
            <v>10000</v>
          </cell>
          <cell r="R325">
            <v>10000</v>
          </cell>
          <cell r="S325">
            <v>10000</v>
          </cell>
          <cell r="U325">
            <v>0</v>
          </cell>
          <cell r="V325">
            <v>10000</v>
          </cell>
        </row>
        <row r="326">
          <cell r="A326" t="str">
            <v>660100</v>
          </cell>
          <cell r="B326" t="str">
            <v>Credit Scorecard Dep</v>
          </cell>
          <cell r="C326" t="str">
            <v>Asset</v>
          </cell>
          <cell r="D326">
            <v>0</v>
          </cell>
          <cell r="E326">
            <v>0</v>
          </cell>
          <cell r="F326">
            <v>-3067.365675</v>
          </cell>
          <cell r="G326">
            <v>-5918.0148390000004</v>
          </cell>
          <cell r="H326">
            <v>-5918.0148390000004</v>
          </cell>
          <cell r="I326">
            <v>-6138.606804</v>
          </cell>
          <cell r="J326">
            <v>-6357.9018040000001</v>
          </cell>
          <cell r="K326">
            <v>-6564.6207670000003</v>
          </cell>
          <cell r="L326">
            <v>-6769.3458369999998</v>
          </cell>
          <cell r="M326">
            <v>-6969.1563820000001</v>
          </cell>
          <cell r="N326">
            <v>-7166.7202870000001</v>
          </cell>
          <cell r="O326">
            <v>-7360.1559909999996</v>
          </cell>
          <cell r="P326">
            <v>-7550.1094030000004</v>
          </cell>
          <cell r="Q326">
            <v>-7736.5805229999996</v>
          </cell>
          <cell r="R326">
            <v>-7920.0748450000001</v>
          </cell>
          <cell r="S326">
            <v>-8102.8951749999997</v>
          </cell>
          <cell r="U326">
            <v>0</v>
          </cell>
          <cell r="V326">
            <v>-8102.8951749999997</v>
          </cell>
        </row>
        <row r="327">
          <cell r="A327" t="str">
            <v>660110</v>
          </cell>
          <cell r="B327" t="str">
            <v>General Ledger Software</v>
          </cell>
          <cell r="C327" t="str">
            <v>Asset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U327">
            <v>0</v>
          </cell>
          <cell r="V327">
            <v>0</v>
          </cell>
        </row>
        <row r="328">
          <cell r="A328" t="str">
            <v>660120</v>
          </cell>
          <cell r="B328" t="str">
            <v>General Ledger Dep</v>
          </cell>
          <cell r="C328" t="str">
            <v>Asset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U328">
            <v>0</v>
          </cell>
          <cell r="V328">
            <v>0</v>
          </cell>
        </row>
        <row r="329">
          <cell r="A329" t="str">
            <v>660130</v>
          </cell>
          <cell r="B329" t="str">
            <v>ESB Cost</v>
          </cell>
          <cell r="C329" t="str">
            <v>Asset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U329">
            <v>0</v>
          </cell>
          <cell r="V329">
            <v>0</v>
          </cell>
        </row>
        <row r="330">
          <cell r="A330" t="str">
            <v>660140</v>
          </cell>
          <cell r="B330" t="str">
            <v>ESB Dep</v>
          </cell>
          <cell r="C330" t="str">
            <v>Asset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U330">
            <v>0</v>
          </cell>
          <cell r="V330">
            <v>0</v>
          </cell>
        </row>
        <row r="331">
          <cell r="A331" t="str">
            <v>670000</v>
          </cell>
          <cell r="B331" t="str">
            <v>Investments in subsidiaries</v>
          </cell>
          <cell r="C331" t="str">
            <v>Asset</v>
          </cell>
          <cell r="D331">
            <v>0</v>
          </cell>
          <cell r="E331">
            <v>510</v>
          </cell>
          <cell r="F331">
            <v>510</v>
          </cell>
          <cell r="G331">
            <v>510</v>
          </cell>
          <cell r="H331">
            <v>510</v>
          </cell>
          <cell r="I331">
            <v>510</v>
          </cell>
          <cell r="J331">
            <v>510</v>
          </cell>
          <cell r="K331">
            <v>510</v>
          </cell>
          <cell r="L331">
            <v>510</v>
          </cell>
          <cell r="M331">
            <v>510</v>
          </cell>
          <cell r="N331">
            <v>510</v>
          </cell>
          <cell r="O331">
            <v>510</v>
          </cell>
          <cell r="P331">
            <v>510</v>
          </cell>
          <cell r="Q331">
            <v>510</v>
          </cell>
          <cell r="R331">
            <v>510</v>
          </cell>
          <cell r="S331">
            <v>510</v>
          </cell>
          <cell r="U331">
            <v>510</v>
          </cell>
          <cell r="V331">
            <v>0</v>
          </cell>
        </row>
        <row r="332">
          <cell r="A332" t="str">
            <v>670010</v>
          </cell>
          <cell r="B332" t="str">
            <v>Investment account - (capitalised loan)</v>
          </cell>
          <cell r="C332" t="str">
            <v>Asset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U332">
            <v>0</v>
          </cell>
          <cell r="V332">
            <v>0</v>
          </cell>
        </row>
        <row r="333">
          <cell r="A333" t="str">
            <v>670011</v>
          </cell>
          <cell r="B333" t="str">
            <v>Investment - Equity / Ordinary Shares</v>
          </cell>
          <cell r="C333" t="str">
            <v>Asset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</row>
        <row r="334">
          <cell r="A334" t="str">
            <v>670012</v>
          </cell>
          <cell r="B334" t="str">
            <v>Investment - Preference Shares</v>
          </cell>
          <cell r="C334" t="str">
            <v>Asset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U334">
            <v>0</v>
          </cell>
          <cell r="V334">
            <v>0</v>
          </cell>
        </row>
        <row r="335">
          <cell r="A335" t="str">
            <v>680000</v>
          </cell>
          <cell r="B335" t="str">
            <v>Accounts receivable control account</v>
          </cell>
          <cell r="C335" t="str">
            <v>Asset</v>
          </cell>
          <cell r="D335">
            <v>0</v>
          </cell>
          <cell r="E335">
            <v>0</v>
          </cell>
          <cell r="F335">
            <v>0.30669000000000002</v>
          </cell>
          <cell r="G335">
            <v>9.0135821099999998</v>
          </cell>
          <cell r="H335">
            <v>9.0135821099999998</v>
          </cell>
          <cell r="I335">
            <v>130.23514111</v>
          </cell>
          <cell r="J335">
            <v>3548.6623811099998</v>
          </cell>
          <cell r="K335">
            <v>9109.6409581099997</v>
          </cell>
          <cell r="L335">
            <v>12341.186918109999</v>
          </cell>
          <cell r="M335">
            <v>15234.77026211</v>
          </cell>
          <cell r="N335">
            <v>18856.02958911</v>
          </cell>
          <cell r="O335">
            <v>21936.444523229999</v>
          </cell>
          <cell r="P335">
            <v>25466.200448610001</v>
          </cell>
          <cell r="Q335">
            <v>28978.54185057</v>
          </cell>
          <cell r="R335">
            <v>15689.94636575</v>
          </cell>
          <cell r="S335">
            <v>19199.167234749999</v>
          </cell>
          <cell r="U335">
            <v>18200</v>
          </cell>
          <cell r="V335">
            <v>999.1672347499989</v>
          </cell>
        </row>
        <row r="336">
          <cell r="A336" t="str">
            <v>700000</v>
          </cell>
          <cell r="B336" t="str">
            <v>Accounts Payable Control Account</v>
          </cell>
          <cell r="C336" t="str">
            <v>Liability</v>
          </cell>
          <cell r="D336">
            <v>-2868.7917032999999</v>
          </cell>
          <cell r="E336">
            <v>1774.18882061</v>
          </cell>
          <cell r="F336">
            <v>2979.6752886600002</v>
          </cell>
          <cell r="G336">
            <v>2870.4233024999999</v>
          </cell>
          <cell r="H336">
            <v>2870.4233024999999</v>
          </cell>
          <cell r="I336">
            <v>2870.4233024999999</v>
          </cell>
          <cell r="J336">
            <v>2870.4233024999999</v>
          </cell>
          <cell r="K336">
            <v>2870.4233024999999</v>
          </cell>
          <cell r="L336">
            <v>-665.73310949999996</v>
          </cell>
          <cell r="M336">
            <v>-2358.6028185</v>
          </cell>
          <cell r="N336">
            <v>-1861.2742765</v>
          </cell>
          <cell r="O336">
            <v>-1415.1381154999999</v>
          </cell>
          <cell r="P336">
            <v>-2785.1353355000001</v>
          </cell>
          <cell r="Q336">
            <v>-2098.0165895</v>
          </cell>
          <cell r="R336">
            <v>-3510.1244314999999</v>
          </cell>
          <cell r="S336">
            <v>-4948.9126815</v>
          </cell>
          <cell r="U336">
            <v>-2568.7980199999997</v>
          </cell>
          <cell r="V336">
            <v>-2380.1146615000002</v>
          </cell>
        </row>
        <row r="337">
          <cell r="A337" t="str">
            <v>700001</v>
          </cell>
          <cell r="B337" t="str">
            <v>Unallocated receipts</v>
          </cell>
          <cell r="C337" t="str">
            <v>Liability</v>
          </cell>
          <cell r="D337">
            <v>0</v>
          </cell>
          <cell r="E337">
            <v>0</v>
          </cell>
          <cell r="F337">
            <v>-451.61</v>
          </cell>
          <cell r="G337">
            <v>-900.88153</v>
          </cell>
          <cell r="H337">
            <v>-900.88153</v>
          </cell>
          <cell r="I337">
            <v>-28.359490000000001</v>
          </cell>
          <cell r="J337">
            <v>-28.359490000000001</v>
          </cell>
          <cell r="K337">
            <v>-28.359490000000001</v>
          </cell>
          <cell r="L337">
            <v>-28.359490000000001</v>
          </cell>
          <cell r="M337">
            <v>-28.359490000000001</v>
          </cell>
          <cell r="N337">
            <v>-28.359490000000001</v>
          </cell>
          <cell r="O337">
            <v>-28.359490000000001</v>
          </cell>
          <cell r="P337">
            <v>-28.359490000000001</v>
          </cell>
          <cell r="Q337">
            <v>-28.359490000000001</v>
          </cell>
          <cell r="R337">
            <v>-28.359490000000001</v>
          </cell>
          <cell r="S337">
            <v>-28.359490000000001</v>
          </cell>
          <cell r="U337">
            <v>-2.7799999999999999E-3</v>
          </cell>
          <cell r="V337">
            <v>-28.35671</v>
          </cell>
        </row>
        <row r="338">
          <cell r="A338" t="str">
            <v>700002</v>
          </cell>
          <cell r="B338" t="str">
            <v>Unknown deposits</v>
          </cell>
          <cell r="C338" t="str">
            <v>Liability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U338">
            <v>0</v>
          </cell>
          <cell r="V338">
            <v>0</v>
          </cell>
        </row>
        <row r="339">
          <cell r="A339" t="str">
            <v>700003</v>
          </cell>
          <cell r="B339" t="str">
            <v>Salaries Clearing Account</v>
          </cell>
          <cell r="C339" t="str">
            <v>Liability</v>
          </cell>
          <cell r="D339">
            <v>0</v>
          </cell>
          <cell r="E339">
            <v>105.45140290000001</v>
          </cell>
          <cell r="F339">
            <v>2107.5056635999999</v>
          </cell>
          <cell r="G339">
            <v>2944.8453934099998</v>
          </cell>
          <cell r="H339">
            <v>-5838.11454159</v>
          </cell>
          <cell r="I339">
            <v>-3073.5404752600002</v>
          </cell>
          <cell r="J339">
            <v>-14.85249351</v>
          </cell>
          <cell r="K339">
            <v>-14.59691993</v>
          </cell>
          <cell r="L339">
            <v>-7214.90947693</v>
          </cell>
          <cell r="M339">
            <v>-5956.0130996300004</v>
          </cell>
          <cell r="N339">
            <v>-5864.2370452499999</v>
          </cell>
          <cell r="O339">
            <v>-3818.98095169</v>
          </cell>
          <cell r="P339">
            <v>-1998.80379264</v>
          </cell>
          <cell r="Q339">
            <v>4879.5153981900003</v>
          </cell>
          <cell r="R339">
            <v>5562.7038027999997</v>
          </cell>
          <cell r="S339">
            <v>12816.337175119999</v>
          </cell>
          <cell r="U339">
            <v>3804.4331417599988</v>
          </cell>
          <cell r="V339">
            <v>9011.9040333600005</v>
          </cell>
        </row>
        <row r="340">
          <cell r="A340" t="str">
            <v>700004</v>
          </cell>
          <cell r="B340" t="str">
            <v>PAYE Control Account</v>
          </cell>
          <cell r="C340" t="str">
            <v>Liability</v>
          </cell>
          <cell r="D340">
            <v>0</v>
          </cell>
          <cell r="E340">
            <v>-1977.6347127500001</v>
          </cell>
          <cell r="F340">
            <v>-632.57669682999995</v>
          </cell>
          <cell r="G340">
            <v>-4441.8537718300004</v>
          </cell>
          <cell r="H340">
            <v>-4597.9902498299998</v>
          </cell>
          <cell r="I340">
            <v>-5427.14197083</v>
          </cell>
          <cell r="J340">
            <v>-6241.6379918299999</v>
          </cell>
          <cell r="K340">
            <v>-7179.5937798300001</v>
          </cell>
          <cell r="L340">
            <v>-7048.9737268299996</v>
          </cell>
          <cell r="M340">
            <v>-6016.7306308300003</v>
          </cell>
          <cell r="N340">
            <v>-7426.8950017300003</v>
          </cell>
          <cell r="O340">
            <v>-7733.3546877299996</v>
          </cell>
          <cell r="P340">
            <v>-8613.7245050900001</v>
          </cell>
          <cell r="Q340">
            <v>-8005.9851873500002</v>
          </cell>
          <cell r="R340">
            <v>-7610.7663530500004</v>
          </cell>
          <cell r="S340">
            <v>-7465.0904868600001</v>
          </cell>
          <cell r="U340">
            <v>1154.8928759999999</v>
          </cell>
          <cell r="V340">
            <v>-8619.983362859999</v>
          </cell>
        </row>
        <row r="341">
          <cell r="A341" t="str">
            <v>700005</v>
          </cell>
          <cell r="B341" t="str">
            <v>Staff Statutory Deductions (NHIF)</v>
          </cell>
          <cell r="C341" t="str">
            <v>Liability</v>
          </cell>
          <cell r="D341">
            <v>0</v>
          </cell>
          <cell r="E341">
            <v>-92.084199999999996</v>
          </cell>
          <cell r="F341">
            <v>-57.696300000000001</v>
          </cell>
          <cell r="G341">
            <v>-132.25315000000001</v>
          </cell>
          <cell r="H341">
            <v>-137.52475000000001</v>
          </cell>
          <cell r="I341">
            <v>-158.19085000000001</v>
          </cell>
          <cell r="J341">
            <v>-186.7244</v>
          </cell>
          <cell r="K341">
            <v>-213.28890000000001</v>
          </cell>
          <cell r="L341">
            <v>-253.2637</v>
          </cell>
          <cell r="M341">
            <v>-233.22790000000001</v>
          </cell>
          <cell r="N341">
            <v>-215.75030000000001</v>
          </cell>
          <cell r="O341">
            <v>-258.71960000000001</v>
          </cell>
          <cell r="P341">
            <v>-244.40620000000001</v>
          </cell>
          <cell r="Q341">
            <v>-242.42724999999999</v>
          </cell>
          <cell r="R341">
            <v>-221.77945</v>
          </cell>
          <cell r="S341">
            <v>-223.55195000000001</v>
          </cell>
          <cell r="U341">
            <v>55.570999999999998</v>
          </cell>
          <cell r="V341">
            <v>-279.12295</v>
          </cell>
        </row>
        <row r="342">
          <cell r="A342" t="str">
            <v>700006</v>
          </cell>
          <cell r="B342" t="str">
            <v>Medical Aid Control Account</v>
          </cell>
          <cell r="C342" t="str">
            <v>Liability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</row>
        <row r="343">
          <cell r="A343" t="str">
            <v>700007</v>
          </cell>
          <cell r="B343" t="str">
            <v>Social Security Control Account - NSSF</v>
          </cell>
          <cell r="C343" t="str">
            <v>Liability</v>
          </cell>
          <cell r="D343">
            <v>0</v>
          </cell>
          <cell r="E343">
            <v>-13.2616</v>
          </cell>
          <cell r="F343">
            <v>-32.336399999999998</v>
          </cell>
          <cell r="G343">
            <v>-49.069000000000003</v>
          </cell>
          <cell r="H343">
            <v>-51.946199999999997</v>
          </cell>
          <cell r="I343">
            <v>-394.20105000000001</v>
          </cell>
          <cell r="J343">
            <v>-256.96221000000003</v>
          </cell>
          <cell r="K343">
            <v>-468.79665</v>
          </cell>
          <cell r="L343">
            <v>-302.36000999999999</v>
          </cell>
          <cell r="M343">
            <v>-271.44177000000002</v>
          </cell>
          <cell r="N343">
            <v>-229.47081</v>
          </cell>
          <cell r="O343">
            <v>-270.26348999999999</v>
          </cell>
          <cell r="P343">
            <v>-649.23117000000002</v>
          </cell>
          <cell r="Q343">
            <v>-1022.24589</v>
          </cell>
          <cell r="R343">
            <v>-993.18957</v>
          </cell>
          <cell r="S343">
            <v>-998.69757000000004</v>
          </cell>
          <cell r="U343">
            <v>7.2880000000000109</v>
          </cell>
          <cell r="V343">
            <v>-1005.9855700000001</v>
          </cell>
        </row>
        <row r="344">
          <cell r="A344" t="str">
            <v>700008</v>
          </cell>
          <cell r="B344" t="str">
            <v>Directors' fees - Provision</v>
          </cell>
          <cell r="C344" t="str">
            <v>Liability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U344">
            <v>0</v>
          </cell>
          <cell r="V344">
            <v>0</v>
          </cell>
        </row>
        <row r="345">
          <cell r="A345" t="str">
            <v>700009</v>
          </cell>
          <cell r="B345" t="str">
            <v>Directors Current account</v>
          </cell>
          <cell r="C345" t="str">
            <v>Liability</v>
          </cell>
          <cell r="D345">
            <v>-50841.85126232</v>
          </cell>
          <cell r="E345">
            <v>-45941.50918108</v>
          </cell>
          <cell r="F345">
            <v>-20545.926389079999</v>
          </cell>
          <cell r="G345">
            <v>-6709.8742350599996</v>
          </cell>
          <cell r="H345">
            <v>-6709.8742350599996</v>
          </cell>
          <cell r="I345">
            <v>-6709.8742350599996</v>
          </cell>
          <cell r="J345">
            <v>-6709.8742350599996</v>
          </cell>
          <cell r="K345">
            <v>-6709.8742350599996</v>
          </cell>
          <cell r="L345">
            <v>-6709.8742350599996</v>
          </cell>
          <cell r="M345">
            <v>-6709.8742350599996</v>
          </cell>
          <cell r="N345">
            <v>-6709.8742350599996</v>
          </cell>
          <cell r="O345">
            <v>-6709.8742350599996</v>
          </cell>
          <cell r="P345">
            <v>-6709.8742350599996</v>
          </cell>
          <cell r="Q345">
            <v>-6709.8742350599996</v>
          </cell>
          <cell r="R345">
            <v>-6709.8742350599996</v>
          </cell>
          <cell r="S345">
            <v>-6709.8742350599996</v>
          </cell>
          <cell r="U345">
            <v>-2273.79</v>
          </cell>
          <cell r="V345">
            <v>-4436.0842350599996</v>
          </cell>
        </row>
        <row r="346">
          <cell r="A346" t="str">
            <v>700010</v>
          </cell>
          <cell r="B346" t="str">
            <v>Intercompany Account- software capitalisation</v>
          </cell>
          <cell r="C346" t="str">
            <v>Liability</v>
          </cell>
          <cell r="D346">
            <v>0</v>
          </cell>
          <cell r="E346">
            <v>240711.32219534999</v>
          </cell>
          <cell r="F346">
            <v>461591.13664489001</v>
          </cell>
          <cell r="G346">
            <v>461591.14926489</v>
          </cell>
          <cell r="H346">
            <v>461591.14926489</v>
          </cell>
          <cell r="I346">
            <v>461591.14926489</v>
          </cell>
          <cell r="J346">
            <v>461591.14926489</v>
          </cell>
          <cell r="K346">
            <v>461591.14926489</v>
          </cell>
          <cell r="L346">
            <v>461591.14926489</v>
          </cell>
          <cell r="M346">
            <v>461591.14926489</v>
          </cell>
          <cell r="N346">
            <v>461591.14926489</v>
          </cell>
          <cell r="O346">
            <v>461591.14926489</v>
          </cell>
          <cell r="P346">
            <v>461591.14926489</v>
          </cell>
          <cell r="Q346">
            <v>461591.14926489</v>
          </cell>
          <cell r="R346">
            <v>461591.14926489</v>
          </cell>
          <cell r="S346">
            <v>461591.14926489</v>
          </cell>
          <cell r="U346">
            <v>235413.466484</v>
          </cell>
          <cell r="V346">
            <v>226177.68278089</v>
          </cell>
        </row>
        <row r="347">
          <cell r="A347" t="str">
            <v>700011</v>
          </cell>
          <cell r="B347" t="str">
            <v>Housing Levy - Employee Contribution</v>
          </cell>
          <cell r="C347" t="str">
            <v>Liability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-508.93454150000002</v>
          </cell>
          <cell r="P347">
            <v>-1514.9387303399999</v>
          </cell>
          <cell r="Q347">
            <v>-1970.78486548</v>
          </cell>
          <cell r="R347">
            <v>-2408.7524566100001</v>
          </cell>
          <cell r="S347">
            <v>-2859.3967504900002</v>
          </cell>
          <cell r="U347">
            <v>0</v>
          </cell>
          <cell r="V347">
            <v>-2859.3967504900002</v>
          </cell>
        </row>
        <row r="348">
          <cell r="A348" t="str">
            <v>700020</v>
          </cell>
          <cell r="B348" t="str">
            <v>Accrued Payroll Account</v>
          </cell>
          <cell r="C348" t="str">
            <v>Liability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-33010.526551000003</v>
          </cell>
          <cell r="O348">
            <v>-84323.405163000003</v>
          </cell>
          <cell r="P348">
            <v>-84970.175159000006</v>
          </cell>
          <cell r="Q348">
            <v>-15571.888058</v>
          </cell>
          <cell r="R348">
            <v>-16962.540572000002</v>
          </cell>
          <cell r="S348">
            <v>-44904.127077719997</v>
          </cell>
          <cell r="U348">
            <v>-29587.48</v>
          </cell>
          <cell r="V348">
            <v>-15316.647077719997</v>
          </cell>
        </row>
        <row r="349">
          <cell r="A349" t="str">
            <v>700040</v>
          </cell>
          <cell r="B349" t="str">
            <v>Testing Payable Account</v>
          </cell>
          <cell r="C349" t="str">
            <v>Liability</v>
          </cell>
          <cell r="D349">
            <v>0</v>
          </cell>
          <cell r="E349">
            <v>0</v>
          </cell>
          <cell r="F349">
            <v>-38.770161000000002</v>
          </cell>
          <cell r="G349">
            <v>-44.959909000000003</v>
          </cell>
          <cell r="H349">
            <v>-44.959909000000003</v>
          </cell>
          <cell r="I349">
            <v>-44.959909000000003</v>
          </cell>
          <cell r="J349">
            <v>-45.807349000000002</v>
          </cell>
          <cell r="K349">
            <v>-45.807349000000002</v>
          </cell>
          <cell r="L349">
            <v>-45.807349000000002</v>
          </cell>
          <cell r="M349">
            <v>-45.807349000000002</v>
          </cell>
          <cell r="N349">
            <v>-45.807349000000002</v>
          </cell>
          <cell r="O349">
            <v>-45.807349000000002</v>
          </cell>
          <cell r="P349">
            <v>-45.807349000000002</v>
          </cell>
          <cell r="Q349">
            <v>-45.807349000000002</v>
          </cell>
          <cell r="R349">
            <v>-45.807349000000002</v>
          </cell>
          <cell r="S349">
            <v>-45.807349000000002</v>
          </cell>
          <cell r="U349">
            <v>0</v>
          </cell>
          <cell r="V349">
            <v>-45.807349000000002</v>
          </cell>
        </row>
        <row r="350">
          <cell r="A350" t="str">
            <v>700050</v>
          </cell>
          <cell r="B350" t="str">
            <v>Provisions - Leave Pay</v>
          </cell>
          <cell r="C350" t="str">
            <v>Liability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U350">
            <v>0</v>
          </cell>
          <cell r="V350">
            <v>0</v>
          </cell>
        </row>
        <row r="351">
          <cell r="A351" t="str">
            <v>700060</v>
          </cell>
          <cell r="B351" t="str">
            <v>Provisions - Staff Incentive</v>
          </cell>
          <cell r="C351" t="str">
            <v>Liability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U351">
            <v>0</v>
          </cell>
          <cell r="V351">
            <v>0</v>
          </cell>
        </row>
        <row r="352">
          <cell r="A352" t="str">
            <v>700070</v>
          </cell>
          <cell r="B352" t="str">
            <v>Provisions - Utilities</v>
          </cell>
          <cell r="C352" t="str">
            <v>Liability</v>
          </cell>
          <cell r="D352">
            <v>0</v>
          </cell>
          <cell r="E352">
            <v>0</v>
          </cell>
          <cell r="F352">
            <v>-3899.5986760000001</v>
          </cell>
          <cell r="G352">
            <v>-4723.4418925</v>
          </cell>
          <cell r="H352">
            <v>-5037.0915285000001</v>
          </cell>
          <cell r="I352">
            <v>-4940.9613284999996</v>
          </cell>
          <cell r="J352">
            <v>-5263.7615544999999</v>
          </cell>
          <cell r="K352">
            <v>-5528.9950865000001</v>
          </cell>
          <cell r="L352">
            <v>-5743.7438865000004</v>
          </cell>
          <cell r="M352">
            <v>-5940.8338235000001</v>
          </cell>
          <cell r="N352">
            <v>-5476.7923284999997</v>
          </cell>
          <cell r="O352">
            <v>-5490.7869284999997</v>
          </cell>
          <cell r="P352">
            <v>-5726.9669285</v>
          </cell>
          <cell r="Q352">
            <v>-5504.7282455000004</v>
          </cell>
          <cell r="R352">
            <v>-5326.9878865000001</v>
          </cell>
          <cell r="S352">
            <v>-5327.6020675</v>
          </cell>
          <cell r="U352">
            <v>0</v>
          </cell>
          <cell r="V352">
            <v>-5327.6020675</v>
          </cell>
        </row>
        <row r="353">
          <cell r="A353" t="str">
            <v>700080</v>
          </cell>
          <cell r="B353" t="str">
            <v>Provision - Taxation</v>
          </cell>
          <cell r="C353" t="str">
            <v>Liability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U353">
            <v>0</v>
          </cell>
          <cell r="V353">
            <v>0</v>
          </cell>
        </row>
        <row r="354">
          <cell r="A354" t="str">
            <v>700090</v>
          </cell>
          <cell r="B354" t="str">
            <v>Provisions - Audit Fee</v>
          </cell>
          <cell r="C354" t="str">
            <v>Liability</v>
          </cell>
          <cell r="D354">
            <v>-443.97</v>
          </cell>
          <cell r="E354">
            <v>-861.21</v>
          </cell>
          <cell r="F354">
            <v>-4157.4390000000003</v>
          </cell>
          <cell r="G354">
            <v>-4423.3498330000002</v>
          </cell>
          <cell r="H354">
            <v>-4831.7956395499996</v>
          </cell>
          <cell r="I354">
            <v>-5236.6804845500001</v>
          </cell>
          <cell r="J354">
            <v>-3850.8571765500001</v>
          </cell>
          <cell r="K354">
            <v>-2694.7041425500001</v>
          </cell>
          <cell r="L354">
            <v>-2694.7041425500001</v>
          </cell>
          <cell r="M354">
            <v>-2694.7041425500001</v>
          </cell>
          <cell r="N354">
            <v>-2694.7041425500001</v>
          </cell>
          <cell r="O354">
            <v>-2694.7041425500001</v>
          </cell>
          <cell r="P354">
            <v>-2694.7041425500001</v>
          </cell>
          <cell r="Q354">
            <v>-2694.7041425500001</v>
          </cell>
          <cell r="R354">
            <v>-741.36092255000005</v>
          </cell>
          <cell r="S354">
            <v>-741.36092255000005</v>
          </cell>
          <cell r="U354">
            <v>0</v>
          </cell>
          <cell r="V354">
            <v>-741.36092255000005</v>
          </cell>
        </row>
        <row r="355">
          <cell r="A355" t="str">
            <v>700100</v>
          </cell>
          <cell r="B355" t="str">
            <v>Provision - Professional Fees</v>
          </cell>
          <cell r="C355" t="str">
            <v>Liability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U355">
            <v>0</v>
          </cell>
          <cell r="V355">
            <v>0</v>
          </cell>
        </row>
        <row r="356">
          <cell r="A356" t="str">
            <v>700110</v>
          </cell>
          <cell r="B356" t="str">
            <v>Provision - Consultancy Services</v>
          </cell>
          <cell r="C356" t="str">
            <v>Liability</v>
          </cell>
          <cell r="D356">
            <v>0</v>
          </cell>
          <cell r="E356">
            <v>0</v>
          </cell>
          <cell r="F356">
            <v>0</v>
          </cell>
          <cell r="G356">
            <v>-12364.11</v>
          </cell>
          <cell r="H356">
            <v>-12364.11</v>
          </cell>
          <cell r="I356">
            <v>-12364.11</v>
          </cell>
          <cell r="J356">
            <v>-12364.11</v>
          </cell>
          <cell r="K356">
            <v>-12364.11</v>
          </cell>
          <cell r="L356">
            <v>-12364.11</v>
          </cell>
          <cell r="M356">
            <v>-12364.11</v>
          </cell>
          <cell r="N356">
            <v>-12364.11</v>
          </cell>
          <cell r="O356">
            <v>-12364.11</v>
          </cell>
          <cell r="P356">
            <v>-12364.11</v>
          </cell>
          <cell r="Q356">
            <v>-12364.11</v>
          </cell>
          <cell r="R356">
            <v>-12364.11</v>
          </cell>
          <cell r="S356">
            <v>-12364.11</v>
          </cell>
          <cell r="U356">
            <v>-12364.11</v>
          </cell>
          <cell r="V356">
            <v>0</v>
          </cell>
        </row>
        <row r="357">
          <cell r="A357" t="str">
            <v>700120</v>
          </cell>
          <cell r="B357" t="str">
            <v>Provisions - Internal audit</v>
          </cell>
          <cell r="C357" t="str">
            <v>Liability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U357">
            <v>0</v>
          </cell>
          <cell r="V357">
            <v>0</v>
          </cell>
        </row>
        <row r="358">
          <cell r="A358" t="str">
            <v>700130</v>
          </cell>
          <cell r="B358" t="str">
            <v>Provision - Legal Fees</v>
          </cell>
          <cell r="C358" t="str">
            <v>Liability</v>
          </cell>
          <cell r="D358">
            <v>0</v>
          </cell>
          <cell r="E358">
            <v>0</v>
          </cell>
          <cell r="F358">
            <v>-39.188225000000003</v>
          </cell>
          <cell r="G358">
            <v>-39.188225000000003</v>
          </cell>
          <cell r="H358">
            <v>-39.188225000000003</v>
          </cell>
          <cell r="I358">
            <v>-39.188225000000003</v>
          </cell>
          <cell r="J358">
            <v>-39.188225000000003</v>
          </cell>
          <cell r="K358">
            <v>-39.188225000000003</v>
          </cell>
          <cell r="L358">
            <v>-39.188225000000003</v>
          </cell>
          <cell r="M358">
            <v>-39.188225000000003</v>
          </cell>
          <cell r="N358">
            <v>-39.188225000000003</v>
          </cell>
          <cell r="O358">
            <v>-39.188225000000003</v>
          </cell>
          <cell r="P358">
            <v>-39.188225000000003</v>
          </cell>
          <cell r="Q358">
            <v>-39.188225000000003</v>
          </cell>
          <cell r="R358">
            <v>-39.188225000000003</v>
          </cell>
          <cell r="S358">
            <v>-39.188225000000003</v>
          </cell>
          <cell r="U358">
            <v>0</v>
          </cell>
          <cell r="V358">
            <v>-39.188225000000003</v>
          </cell>
        </row>
        <row r="359">
          <cell r="A359" t="str">
            <v>700140</v>
          </cell>
          <cell r="B359" t="str">
            <v>Provision - Debt Collection Fees</v>
          </cell>
          <cell r="C359" t="str">
            <v>Liability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U359">
            <v>0</v>
          </cell>
          <cell r="V359">
            <v>0</v>
          </cell>
        </row>
        <row r="360">
          <cell r="A360" t="str">
            <v>700150</v>
          </cell>
          <cell r="B360" t="str">
            <v>Provision - Commissions</v>
          </cell>
          <cell r="C360" t="str">
            <v>Liability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</row>
        <row r="361">
          <cell r="A361" t="str">
            <v>700160</v>
          </cell>
          <cell r="B361" t="str">
            <v>Provision - Telephone Expenses</v>
          </cell>
          <cell r="C361" t="str">
            <v>Liability</v>
          </cell>
          <cell r="D361">
            <v>0</v>
          </cell>
          <cell r="E361">
            <v>0</v>
          </cell>
          <cell r="F361">
            <v>4.0000000000000001E-3</v>
          </cell>
          <cell r="G361">
            <v>4.0000000000000001E-3</v>
          </cell>
          <cell r="H361">
            <v>4.0000000000000001E-3</v>
          </cell>
          <cell r="I361">
            <v>4.0000000000000001E-3</v>
          </cell>
          <cell r="J361">
            <v>4.0000000000000001E-3</v>
          </cell>
          <cell r="K361">
            <v>4.0000000000000001E-3</v>
          </cell>
          <cell r="L361">
            <v>4.0000000000000001E-3</v>
          </cell>
          <cell r="M361">
            <v>4.0000000000000001E-3</v>
          </cell>
          <cell r="N361">
            <v>4.0000000000000001E-3</v>
          </cell>
          <cell r="O361">
            <v>4.0000000000000001E-3</v>
          </cell>
          <cell r="P361">
            <v>4.0000000000000001E-3</v>
          </cell>
          <cell r="Q361">
            <v>4.0000000000000001E-3</v>
          </cell>
          <cell r="R361">
            <v>4.0000000000000001E-3</v>
          </cell>
          <cell r="S361">
            <v>4.0000000000000001E-3</v>
          </cell>
          <cell r="U361">
            <v>0</v>
          </cell>
          <cell r="V361">
            <v>4.0000000000000001E-3</v>
          </cell>
        </row>
        <row r="362">
          <cell r="A362" t="str">
            <v>700170</v>
          </cell>
          <cell r="B362" t="str">
            <v>Provision - Internet service</v>
          </cell>
          <cell r="C362" t="str">
            <v>Liability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</row>
        <row r="363">
          <cell r="A363" t="str">
            <v>700200</v>
          </cell>
          <cell r="B363" t="str">
            <v>Account Payable Credit Card</v>
          </cell>
          <cell r="C363" t="str">
            <v>Liability</v>
          </cell>
          <cell r="D363">
            <v>0</v>
          </cell>
          <cell r="E363">
            <v>-739.69</v>
          </cell>
          <cell r="F363">
            <v>1381.3808155199999</v>
          </cell>
          <cell r="G363">
            <v>28064.130815519999</v>
          </cell>
          <cell r="H363">
            <v>40371.680815519998</v>
          </cell>
          <cell r="I363">
            <v>37777.100815520003</v>
          </cell>
          <cell r="J363">
            <v>44328.900815519999</v>
          </cell>
          <cell r="K363">
            <v>57172.340815520001</v>
          </cell>
          <cell r="L363">
            <v>70096.040815519998</v>
          </cell>
          <cell r="M363">
            <v>71761.250815520005</v>
          </cell>
          <cell r="N363">
            <v>67435.720815520006</v>
          </cell>
          <cell r="O363">
            <v>70007.060815520003</v>
          </cell>
          <cell r="P363">
            <v>76984.910815519994</v>
          </cell>
          <cell r="Q363">
            <v>90457.900815519999</v>
          </cell>
          <cell r="R363">
            <v>91931.020815519994</v>
          </cell>
          <cell r="S363">
            <v>77912.580815520007</v>
          </cell>
          <cell r="U363">
            <v>105638.89</v>
          </cell>
          <cell r="V363">
            <v>-27726.309184479993</v>
          </cell>
        </row>
        <row r="364">
          <cell r="A364" t="str">
            <v>700210</v>
          </cell>
          <cell r="B364" t="str">
            <v>Jubillee Insurance premium payable</v>
          </cell>
          <cell r="C364" t="str">
            <v>Liability</v>
          </cell>
          <cell r="D364">
            <v>0</v>
          </cell>
          <cell r="E364">
            <v>-38.067881319999998</v>
          </cell>
          <cell r="F364">
            <v>-60.424191469999997</v>
          </cell>
          <cell r="G364">
            <v>-189.28443580999999</v>
          </cell>
          <cell r="H364">
            <v>-189.28443580999999</v>
          </cell>
          <cell r="I364">
            <v>-189.28443580999999</v>
          </cell>
          <cell r="J364">
            <v>-189.28443580999999</v>
          </cell>
          <cell r="K364">
            <v>-189.28443580999999</v>
          </cell>
          <cell r="L364">
            <v>-189.28443580999999</v>
          </cell>
          <cell r="M364">
            <v>-189.28443580999999</v>
          </cell>
          <cell r="N364">
            <v>-189.28443580999999</v>
          </cell>
          <cell r="O364">
            <v>-189.28443580999999</v>
          </cell>
          <cell r="P364">
            <v>-189.28443580999999</v>
          </cell>
          <cell r="Q364">
            <v>-189.28443580999999</v>
          </cell>
          <cell r="R364">
            <v>-189.28443580999999</v>
          </cell>
          <cell r="S364">
            <v>-189.28443580999999</v>
          </cell>
          <cell r="U364">
            <v>0</v>
          </cell>
          <cell r="V364">
            <v>-189.28443580999999</v>
          </cell>
        </row>
        <row r="365">
          <cell r="A365" t="str">
            <v>700211</v>
          </cell>
          <cell r="B365" t="str">
            <v>Safaricom B2B Fee Payable</v>
          </cell>
          <cell r="C365" t="str">
            <v>Liability</v>
          </cell>
          <cell r="D365">
            <v>0</v>
          </cell>
          <cell r="E365">
            <v>0</v>
          </cell>
          <cell r="F365">
            <v>-55.48240148</v>
          </cell>
          <cell r="G365">
            <v>-173.39701692</v>
          </cell>
          <cell r="H365">
            <v>-177.82662242999999</v>
          </cell>
          <cell r="I365">
            <v>-184.29046783999999</v>
          </cell>
          <cell r="J365">
            <v>-20.653054709999999</v>
          </cell>
          <cell r="K365">
            <v>-23.770522620000001</v>
          </cell>
          <cell r="L365">
            <v>-27.384764619999999</v>
          </cell>
          <cell r="M365">
            <v>-31.79068912</v>
          </cell>
          <cell r="N365">
            <v>-33.423034440000002</v>
          </cell>
          <cell r="O365">
            <v>-35.907618390000003</v>
          </cell>
          <cell r="P365">
            <v>-36.616474930000003</v>
          </cell>
          <cell r="Q365">
            <v>-40.58030136</v>
          </cell>
          <cell r="R365">
            <v>-47.13920821</v>
          </cell>
          <cell r="S365">
            <v>-53.199504060000002</v>
          </cell>
          <cell r="U365">
            <v>0</v>
          </cell>
          <cell r="V365">
            <v>-53.199504060000002</v>
          </cell>
        </row>
        <row r="366">
          <cell r="A366" t="str">
            <v>700212</v>
          </cell>
          <cell r="B366" t="str">
            <v>Bluewave insurance Premium Payable</v>
          </cell>
          <cell r="C366" t="str">
            <v>Liability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</row>
        <row r="367">
          <cell r="A367" t="str">
            <v>700213</v>
          </cell>
          <cell r="B367" t="str">
            <v>Healthier Kenya Insurance Premiums Payable</v>
          </cell>
          <cell r="C367" t="str">
            <v>Liability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</row>
        <row r="368">
          <cell r="A368" t="str">
            <v>700214</v>
          </cell>
          <cell r="B368" t="str">
            <v>Other Insurance Payables</v>
          </cell>
          <cell r="C368" t="str">
            <v>Liability</v>
          </cell>
          <cell r="D368">
            <v>0</v>
          </cell>
          <cell r="E368">
            <v>0</v>
          </cell>
          <cell r="F368">
            <v>0</v>
          </cell>
          <cell r="G368">
            <v>-364.86095513999999</v>
          </cell>
          <cell r="H368">
            <v>-364.86095513999999</v>
          </cell>
          <cell r="I368">
            <v>-364.86095513999999</v>
          </cell>
          <cell r="J368">
            <v>-364.86095513999999</v>
          </cell>
          <cell r="K368">
            <v>-364.86095513999999</v>
          </cell>
          <cell r="L368">
            <v>-364.86095513999999</v>
          </cell>
          <cell r="M368">
            <v>-364.86095513999999</v>
          </cell>
          <cell r="N368">
            <v>-364.86095513999999</v>
          </cell>
          <cell r="O368">
            <v>-364.86095513999999</v>
          </cell>
          <cell r="P368">
            <v>-364.86095513999999</v>
          </cell>
          <cell r="Q368">
            <v>-364.86095513999999</v>
          </cell>
          <cell r="R368">
            <v>-364.86095513999999</v>
          </cell>
          <cell r="S368">
            <v>-364.86095513999999</v>
          </cell>
          <cell r="U368">
            <v>0</v>
          </cell>
          <cell r="V368">
            <v>-364.86095513999999</v>
          </cell>
        </row>
        <row r="369">
          <cell r="A369" t="str">
            <v>700215</v>
          </cell>
          <cell r="B369" t="str">
            <v>Motor Vehicle Insurance Payable</v>
          </cell>
          <cell r="C369" t="str">
            <v>Liability</v>
          </cell>
          <cell r="D369">
            <v>0</v>
          </cell>
          <cell r="E369">
            <v>0</v>
          </cell>
          <cell r="F369">
            <v>0</v>
          </cell>
          <cell r="G369">
            <v>-17.570823000000001</v>
          </cell>
          <cell r="H369">
            <v>-17.570823000000001</v>
          </cell>
          <cell r="I369">
            <v>-17.570823000000001</v>
          </cell>
          <cell r="J369">
            <v>-17.570823000000001</v>
          </cell>
          <cell r="K369">
            <v>-17.570823000000001</v>
          </cell>
          <cell r="L369">
            <v>-17.570823000000001</v>
          </cell>
          <cell r="M369">
            <v>-17.570823000000001</v>
          </cell>
          <cell r="N369">
            <v>-17.570823000000001</v>
          </cell>
          <cell r="O369">
            <v>-17.570823000000001</v>
          </cell>
          <cell r="P369">
            <v>-17.570823000000001</v>
          </cell>
          <cell r="Q369">
            <v>-17.570823000000001</v>
          </cell>
          <cell r="R369">
            <v>-17.570823000000001</v>
          </cell>
          <cell r="S369">
            <v>-17.570823000000001</v>
          </cell>
          <cell r="U369">
            <v>0</v>
          </cell>
          <cell r="V369">
            <v>-17.570823000000001</v>
          </cell>
        </row>
        <row r="370">
          <cell r="A370" t="str">
            <v>700216</v>
          </cell>
          <cell r="B370" t="str">
            <v>Pigia Penda payable account</v>
          </cell>
          <cell r="C370" t="str">
            <v>Liability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U370">
            <v>0</v>
          </cell>
          <cell r="V370">
            <v>0</v>
          </cell>
        </row>
        <row r="371">
          <cell r="A371" t="str">
            <v>700217</v>
          </cell>
          <cell r="B371" t="str">
            <v>Customer Deposits - JAVA SACCO</v>
          </cell>
          <cell r="C371" t="str">
            <v>Liability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-5371.8</v>
          </cell>
          <cell r="R371">
            <v>-11981.3</v>
          </cell>
          <cell r="S371">
            <v>-18499.3</v>
          </cell>
          <cell r="U371">
            <v>9871.4062937399995</v>
          </cell>
          <cell r="V371">
            <v>-28370.706293739997</v>
          </cell>
        </row>
        <row r="372">
          <cell r="A372" t="str">
            <v>700218</v>
          </cell>
          <cell r="B372" t="str">
            <v>Customer Deposits - Kenafric Ltd</v>
          </cell>
          <cell r="C372" t="str">
            <v>Liability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-669.8</v>
          </cell>
          <cell r="R372">
            <v>-669.8</v>
          </cell>
          <cell r="S372">
            <v>-669.8</v>
          </cell>
          <cell r="U372">
            <v>0</v>
          </cell>
          <cell r="V372">
            <v>-669.8</v>
          </cell>
        </row>
        <row r="373">
          <cell r="A373" t="str">
            <v>700219</v>
          </cell>
          <cell r="B373" t="str">
            <v>Customer Deposits - Rafiki Microfinace Bank</v>
          </cell>
          <cell r="C373" t="str">
            <v>Liability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-6881.9696480000002</v>
          </cell>
          <cell r="R373">
            <v>-11078.4687815</v>
          </cell>
          <cell r="S373">
            <v>-15446.030885800001</v>
          </cell>
          <cell r="U373">
            <v>4086.0486958199999</v>
          </cell>
          <cell r="V373">
            <v>-19532.079581620001</v>
          </cell>
        </row>
        <row r="374">
          <cell r="A374" t="str">
            <v>700220</v>
          </cell>
          <cell r="B374" t="str">
            <v>Unearned Income with Patnership</v>
          </cell>
          <cell r="C374" t="str">
            <v>Liability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-230.91927999999999</v>
          </cell>
          <cell r="R374">
            <v>-302.27988477999997</v>
          </cell>
          <cell r="S374">
            <v>-302.27988477999997</v>
          </cell>
          <cell r="U374">
            <v>0</v>
          </cell>
          <cell r="V374">
            <v>-302.27988477999997</v>
          </cell>
        </row>
        <row r="375">
          <cell r="A375" t="str">
            <v>710000</v>
          </cell>
          <cell r="B375" t="str">
            <v>Power Pocket Acc</v>
          </cell>
          <cell r="C375" t="str">
            <v>Liability</v>
          </cell>
          <cell r="D375">
            <v>0</v>
          </cell>
          <cell r="E375">
            <v>0</v>
          </cell>
          <cell r="F375">
            <v>-268.41420019999998</v>
          </cell>
          <cell r="G375">
            <v>-967.52572392000002</v>
          </cell>
          <cell r="H375">
            <v>-805.11271123999995</v>
          </cell>
          <cell r="I375">
            <v>-1037.3655104899999</v>
          </cell>
          <cell r="J375">
            <v>-2491.7029357000001</v>
          </cell>
          <cell r="K375">
            <v>-2158.5614804100001</v>
          </cell>
          <cell r="L375">
            <v>-2665.8363927999999</v>
          </cell>
          <cell r="M375">
            <v>-1930.2584146900001</v>
          </cell>
          <cell r="N375">
            <v>-2726.7125200300002</v>
          </cell>
          <cell r="O375">
            <v>-3226.0121616800002</v>
          </cell>
          <cell r="P375">
            <v>-3239.0451465299998</v>
          </cell>
          <cell r="Q375">
            <v>-3237.2162019500001</v>
          </cell>
          <cell r="R375">
            <v>-3749.21478424</v>
          </cell>
          <cell r="S375">
            <v>-3842.0390536800001</v>
          </cell>
          <cell r="U375">
            <v>0</v>
          </cell>
          <cell r="V375">
            <v>-3842.0390536800001</v>
          </cell>
        </row>
        <row r="376">
          <cell r="A376" t="str">
            <v>710001</v>
          </cell>
          <cell r="B376" t="str">
            <v>Britam MMF Customer savings</v>
          </cell>
          <cell r="C376" t="str">
            <v>Liability</v>
          </cell>
          <cell r="D376">
            <v>0</v>
          </cell>
          <cell r="E376">
            <v>0</v>
          </cell>
          <cell r="F376">
            <v>-13.0284</v>
          </cell>
          <cell r="G376">
            <v>-0.81498000000000004</v>
          </cell>
          <cell r="H376">
            <v>-0.81498000000000004</v>
          </cell>
          <cell r="I376">
            <v>-0.81498000000000004</v>
          </cell>
          <cell r="J376">
            <v>-0.81498000000000004</v>
          </cell>
          <cell r="K376">
            <v>-0.81498000000000004</v>
          </cell>
          <cell r="L376">
            <v>-0.81498000000000004</v>
          </cell>
          <cell r="M376">
            <v>-0.81498000000000004</v>
          </cell>
          <cell r="N376">
            <v>-0.81498000000000004</v>
          </cell>
          <cell r="O376">
            <v>-0.81498000000000004</v>
          </cell>
          <cell r="P376">
            <v>-0.81498000000000004</v>
          </cell>
          <cell r="Q376">
            <v>-0.81498000000000004</v>
          </cell>
          <cell r="R376">
            <v>-0.81498000000000004</v>
          </cell>
          <cell r="S376">
            <v>-0.81498000000000004</v>
          </cell>
          <cell r="U376">
            <v>0</v>
          </cell>
          <cell r="V376">
            <v>-0.81498000000000004</v>
          </cell>
        </row>
        <row r="377">
          <cell r="A377" t="str">
            <v>710002</v>
          </cell>
          <cell r="B377" t="str">
            <v>Dormant customer Accounts</v>
          </cell>
          <cell r="C377" t="str">
            <v>Liability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U377">
            <v>0</v>
          </cell>
          <cell r="V377">
            <v>0</v>
          </cell>
        </row>
        <row r="378">
          <cell r="A378" t="str">
            <v>710003</v>
          </cell>
          <cell r="B378" t="str">
            <v>Interest Accrual - Save Accounts</v>
          </cell>
          <cell r="C378" t="str">
            <v>Liability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U378">
            <v>0</v>
          </cell>
          <cell r="V378">
            <v>0</v>
          </cell>
        </row>
        <row r="379">
          <cell r="A379" t="str">
            <v>710004</v>
          </cell>
          <cell r="B379" t="str">
            <v>Unclaimed Deposits</v>
          </cell>
          <cell r="C379" t="str">
            <v>Liability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</row>
        <row r="380">
          <cell r="A380" t="str">
            <v>710005</v>
          </cell>
          <cell r="B380" t="str">
            <v>Unallocated New Deposits</v>
          </cell>
          <cell r="C380" t="str">
            <v>Liability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</row>
        <row r="381">
          <cell r="A381" t="str">
            <v>710006</v>
          </cell>
          <cell r="B381" t="str">
            <v>Grant Payable</v>
          </cell>
          <cell r="C381" t="str">
            <v>Liability</v>
          </cell>
          <cell r="D381">
            <v>0</v>
          </cell>
          <cell r="E381">
            <v>0</v>
          </cell>
          <cell r="F381">
            <v>-18498</v>
          </cell>
          <cell r="G381">
            <v>-18498</v>
          </cell>
          <cell r="H381">
            <v>-18498</v>
          </cell>
          <cell r="I381">
            <v>-18498</v>
          </cell>
          <cell r="J381">
            <v>-18498</v>
          </cell>
          <cell r="K381">
            <v>-18498</v>
          </cell>
          <cell r="L381">
            <v>-18498</v>
          </cell>
          <cell r="M381">
            <v>-18498</v>
          </cell>
          <cell r="N381">
            <v>-18498</v>
          </cell>
          <cell r="O381">
            <v>-18498</v>
          </cell>
          <cell r="P381">
            <v>-5002</v>
          </cell>
          <cell r="Q381">
            <v>-5002</v>
          </cell>
          <cell r="R381">
            <v>-5002</v>
          </cell>
          <cell r="S381">
            <v>-5002</v>
          </cell>
          <cell r="U381">
            <v>0</v>
          </cell>
          <cell r="V381">
            <v>-5002</v>
          </cell>
        </row>
        <row r="382">
          <cell r="A382" t="str">
            <v>720000</v>
          </cell>
          <cell r="B382" t="str">
            <v>Intercompany account- expense transfer</v>
          </cell>
          <cell r="C382" t="str">
            <v>Liability</v>
          </cell>
          <cell r="D382">
            <v>0</v>
          </cell>
          <cell r="E382">
            <v>0</v>
          </cell>
          <cell r="F382">
            <v>215.874</v>
          </cell>
          <cell r="G382">
            <v>2152.0448339999998</v>
          </cell>
          <cell r="H382">
            <v>2152.0448339999998</v>
          </cell>
          <cell r="I382">
            <v>2152.0448339999998</v>
          </cell>
          <cell r="J382">
            <v>-885.02516600000001</v>
          </cell>
          <cell r="K382">
            <v>-885.02516600000001</v>
          </cell>
          <cell r="L382">
            <v>-885.02516600000001</v>
          </cell>
          <cell r="M382">
            <v>-3362.6051659999998</v>
          </cell>
          <cell r="N382">
            <v>-41601.245166000001</v>
          </cell>
          <cell r="O382">
            <v>-184156.90516600001</v>
          </cell>
          <cell r="P382">
            <v>-240157.81516599999</v>
          </cell>
          <cell r="Q382">
            <v>-353790.55516599998</v>
          </cell>
          <cell r="R382">
            <v>-322683.71852340002</v>
          </cell>
          <cell r="S382">
            <v>-367431.46852340002</v>
          </cell>
          <cell r="U382">
            <v>-206024.67113914998</v>
          </cell>
          <cell r="V382">
            <v>-161406.79738425004</v>
          </cell>
        </row>
        <row r="383">
          <cell r="A383" t="str">
            <v>720001</v>
          </cell>
          <cell r="B383" t="str">
            <v xml:space="preserve">Interest Payable - Intercompany Loan </v>
          </cell>
          <cell r="C383" t="str">
            <v>Liability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U383">
            <v>481740.687691</v>
          </cell>
          <cell r="V383">
            <v>-481740.687691</v>
          </cell>
        </row>
        <row r="384">
          <cell r="A384" t="str">
            <v>720010</v>
          </cell>
          <cell r="B384" t="str">
            <v>Intercompany Accrued interest</v>
          </cell>
          <cell r="C384" t="str">
            <v>Liability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-3915.233322</v>
          </cell>
          <cell r="I384">
            <v>-8333.0188569999991</v>
          </cell>
          <cell r="J384">
            <v>-13570.081356999999</v>
          </cell>
          <cell r="K384">
            <v>-18820.123357</v>
          </cell>
          <cell r="L384">
            <v>-23975.203356999999</v>
          </cell>
          <cell r="M384">
            <v>-29357.700857</v>
          </cell>
          <cell r="N384">
            <v>-35060.441028000001</v>
          </cell>
          <cell r="O384">
            <v>-41149.433027999999</v>
          </cell>
          <cell r="P384">
            <v>-47592.646112000002</v>
          </cell>
          <cell r="Q384">
            <v>-54403.074992000002</v>
          </cell>
          <cell r="R384">
            <v>-59916.216501000003</v>
          </cell>
          <cell r="S384">
            <v>-65285.764620000002</v>
          </cell>
          <cell r="U384">
            <v>0</v>
          </cell>
          <cell r="V384">
            <v>-65285.764620000002</v>
          </cell>
        </row>
        <row r="385">
          <cell r="A385" t="str">
            <v>730000</v>
          </cell>
          <cell r="B385" t="str">
            <v>Power Financial Wellness Loan</v>
          </cell>
          <cell r="C385" t="str">
            <v>Liability</v>
          </cell>
          <cell r="D385">
            <v>0</v>
          </cell>
          <cell r="E385">
            <v>-199826.88415699999</v>
          </cell>
          <cell r="F385">
            <v>-445192.58205000003</v>
          </cell>
          <cell r="G385">
            <v>-512074.03704540001</v>
          </cell>
          <cell r="H385">
            <v>-512074.03704540001</v>
          </cell>
          <cell r="I385">
            <v>-512074.03704540001</v>
          </cell>
          <cell r="J385">
            <v>-512074.03704540001</v>
          </cell>
          <cell r="K385">
            <v>-512074.03704540001</v>
          </cell>
          <cell r="L385">
            <v>-512074.03704540001</v>
          </cell>
          <cell r="M385">
            <v>-512074.03704540001</v>
          </cell>
          <cell r="N385">
            <v>-512074.03704540001</v>
          </cell>
          <cell r="O385">
            <v>-512074.03704540001</v>
          </cell>
          <cell r="P385">
            <v>-512074.03704540001</v>
          </cell>
          <cell r="Q385">
            <v>-512074.03704540001</v>
          </cell>
          <cell r="R385">
            <v>-512074.03704540001</v>
          </cell>
          <cell r="S385">
            <v>-512074.03704540001</v>
          </cell>
          <cell r="U385">
            <v>1806981</v>
          </cell>
          <cell r="V385">
            <v>-2319055.0370454001</v>
          </cell>
        </row>
        <row r="386">
          <cell r="A386" t="str">
            <v>730010</v>
          </cell>
          <cell r="B386" t="str">
            <v>Bank overdraft- I&amp;M bank</v>
          </cell>
          <cell r="C386" t="str">
            <v>Liability</v>
          </cell>
          <cell r="D386">
            <v>0</v>
          </cell>
          <cell r="E386">
            <v>0</v>
          </cell>
          <cell r="F386">
            <v>0</v>
          </cell>
          <cell r="G386">
            <v>-44015</v>
          </cell>
          <cell r="H386">
            <v>-3845</v>
          </cell>
          <cell r="I386">
            <v>-3845</v>
          </cell>
          <cell r="J386">
            <v>-3845</v>
          </cell>
          <cell r="K386">
            <v>-3845</v>
          </cell>
          <cell r="L386">
            <v>-3845</v>
          </cell>
          <cell r="M386">
            <v>-3845</v>
          </cell>
          <cell r="N386">
            <v>-3845</v>
          </cell>
          <cell r="O386">
            <v>-3845</v>
          </cell>
          <cell r="P386">
            <v>-3845</v>
          </cell>
          <cell r="Q386">
            <v>-3845</v>
          </cell>
          <cell r="R386">
            <v>-3845</v>
          </cell>
          <cell r="S386">
            <v>-3845</v>
          </cell>
          <cell r="U386">
            <v>0</v>
          </cell>
          <cell r="V386">
            <v>-3845</v>
          </cell>
        </row>
        <row r="387">
          <cell r="A387" t="str">
            <v>730015</v>
          </cell>
          <cell r="B387" t="str">
            <v>SYMPLIFI LTD</v>
          </cell>
          <cell r="C387" t="str">
            <v>Liability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-10000</v>
          </cell>
          <cell r="L387">
            <v>-10000</v>
          </cell>
          <cell r="M387">
            <v>-10000</v>
          </cell>
          <cell r="N387">
            <v>-10000</v>
          </cell>
          <cell r="O387">
            <v>-717.03824799999995</v>
          </cell>
          <cell r="P387">
            <v>-717.03824799999995</v>
          </cell>
          <cell r="Q387">
            <v>-717.03824799999995</v>
          </cell>
          <cell r="R387">
            <v>-717.03824799999995</v>
          </cell>
          <cell r="S387">
            <v>-717.03824799999995</v>
          </cell>
          <cell r="U387">
            <v>0</v>
          </cell>
          <cell r="V387">
            <v>-717.03824799999995</v>
          </cell>
        </row>
        <row r="388">
          <cell r="A388" t="str">
            <v>730020</v>
          </cell>
          <cell r="B388" t="str">
            <v>Interest Payable on Loan</v>
          </cell>
          <cell r="C388" t="str">
            <v>Liability</v>
          </cell>
          <cell r="D388">
            <v>0</v>
          </cell>
          <cell r="E388">
            <v>0</v>
          </cell>
          <cell r="F388">
            <v>-8707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U388">
            <v>0</v>
          </cell>
          <cell r="V388">
            <v>0</v>
          </cell>
        </row>
        <row r="389">
          <cell r="A389" t="str">
            <v>730030</v>
          </cell>
          <cell r="B389" t="str">
            <v>SAFE Note from Investors</v>
          </cell>
          <cell r="C389" t="str">
            <v>Liability</v>
          </cell>
          <cell r="D389">
            <v>0</v>
          </cell>
          <cell r="E389">
            <v>-320005</v>
          </cell>
          <cell r="F389">
            <v>-370005</v>
          </cell>
          <cell r="G389">
            <v>15029.51</v>
          </cell>
          <cell r="H389">
            <v>15029.51</v>
          </cell>
          <cell r="I389">
            <v>15029.51</v>
          </cell>
          <cell r="J389">
            <v>15029.51</v>
          </cell>
          <cell r="K389">
            <v>15029.51</v>
          </cell>
          <cell r="L389">
            <v>15029.51</v>
          </cell>
          <cell r="M389">
            <v>15029.51</v>
          </cell>
          <cell r="N389">
            <v>15029.51</v>
          </cell>
          <cell r="O389">
            <v>15029.51</v>
          </cell>
          <cell r="P389">
            <v>15029.51</v>
          </cell>
          <cell r="Q389">
            <v>15029.51</v>
          </cell>
          <cell r="R389">
            <v>15029.51</v>
          </cell>
          <cell r="S389">
            <v>15029.51</v>
          </cell>
          <cell r="U389">
            <v>-355004.99886085</v>
          </cell>
          <cell r="V389">
            <v>370034.50886085001</v>
          </cell>
        </row>
        <row r="390">
          <cell r="A390" t="str">
            <v>730040</v>
          </cell>
          <cell r="B390" t="str">
            <v>Convertible Note from Investors</v>
          </cell>
          <cell r="C390" t="str">
            <v>Liability</v>
          </cell>
          <cell r="D390">
            <v>0</v>
          </cell>
          <cell r="E390">
            <v>0</v>
          </cell>
          <cell r="F390">
            <v>-552978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</row>
        <row r="391">
          <cell r="A391" t="str">
            <v>740000</v>
          </cell>
          <cell r="B391" t="str">
            <v>Guarantees / Letter of credits</v>
          </cell>
          <cell r="C391" t="str">
            <v>Liability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U391">
            <v>0</v>
          </cell>
          <cell r="V391">
            <v>0</v>
          </cell>
        </row>
        <row r="392">
          <cell r="A392" t="str">
            <v>740010</v>
          </cell>
          <cell r="B392" t="str">
            <v>Write-offs Loans</v>
          </cell>
          <cell r="C392" t="str">
            <v>Liability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U392">
            <v>0</v>
          </cell>
          <cell r="V392">
            <v>0</v>
          </cell>
        </row>
        <row r="393">
          <cell r="A393" t="str">
            <v>740030</v>
          </cell>
          <cell r="B393" t="str">
            <v>Unutilised facilities</v>
          </cell>
          <cell r="C393" t="str">
            <v>Liability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U393">
            <v>0</v>
          </cell>
          <cell r="V393">
            <v>0</v>
          </cell>
        </row>
        <row r="394">
          <cell r="A394" t="str">
            <v>800000</v>
          </cell>
          <cell r="B394" t="str">
            <v>Corporate Taxation</v>
          </cell>
          <cell r="C394" t="str">
            <v>Liability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U394">
            <v>0</v>
          </cell>
          <cell r="V394">
            <v>0</v>
          </cell>
        </row>
        <row r="395">
          <cell r="A395" t="str">
            <v>800010</v>
          </cell>
          <cell r="B395" t="str">
            <v>Deferred Tax</v>
          </cell>
          <cell r="C395" t="str">
            <v>Liability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U395">
            <v>0</v>
          </cell>
          <cell r="V395">
            <v>0</v>
          </cell>
        </row>
        <row r="396">
          <cell r="A396" t="str">
            <v>800020</v>
          </cell>
          <cell r="B396" t="str">
            <v>Withholding Tax Payable</v>
          </cell>
          <cell r="C396" t="str">
            <v>Liability</v>
          </cell>
          <cell r="D396">
            <v>-161.39875000000001</v>
          </cell>
          <cell r="E396">
            <v>-1359.1890892199999</v>
          </cell>
          <cell r="F396">
            <v>-2405.17086797</v>
          </cell>
          <cell r="G396">
            <v>-1820.2397815700001</v>
          </cell>
          <cell r="H396">
            <v>-1879.8835115700001</v>
          </cell>
          <cell r="I396">
            <v>-2241.2565055700002</v>
          </cell>
          <cell r="J396">
            <v>-2554.6501425699998</v>
          </cell>
          <cell r="K396">
            <v>-2587.24139457</v>
          </cell>
          <cell r="L396">
            <v>-1860.2262695700001</v>
          </cell>
          <cell r="M396">
            <v>-2808.8643195700001</v>
          </cell>
          <cell r="N396">
            <v>-3365.70866957</v>
          </cell>
          <cell r="O396">
            <v>-3247.14926457</v>
          </cell>
          <cell r="P396">
            <v>-3797.4144645699998</v>
          </cell>
          <cell r="Q396">
            <v>-3052.3198145699998</v>
          </cell>
          <cell r="R396">
            <v>-2628.4321725700001</v>
          </cell>
          <cell r="S396">
            <v>-2646.4844935699998</v>
          </cell>
          <cell r="U396">
            <v>333.70000000000027</v>
          </cell>
          <cell r="V396">
            <v>-2980.1844935700001</v>
          </cell>
        </row>
        <row r="397">
          <cell r="A397" t="str">
            <v>800030</v>
          </cell>
          <cell r="B397" t="str">
            <v>Withholding Tax - Interest on term deposit</v>
          </cell>
          <cell r="C397" t="str">
            <v>Liability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U397">
            <v>0</v>
          </cell>
          <cell r="V397">
            <v>0</v>
          </cell>
        </row>
        <row r="398">
          <cell r="A398" t="str">
            <v>800040</v>
          </cell>
          <cell r="B398" t="str">
            <v>Withholding Tax- Interest paid savings deposit</v>
          </cell>
          <cell r="C398" t="str">
            <v>Liability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U398">
            <v>0</v>
          </cell>
          <cell r="V398">
            <v>0</v>
          </cell>
        </row>
        <row r="399">
          <cell r="A399" t="str">
            <v>800050</v>
          </cell>
          <cell r="B399" t="str">
            <v>VAT Control Account</v>
          </cell>
          <cell r="C399" t="str">
            <v>Liability</v>
          </cell>
          <cell r="D399">
            <v>1401.97597092</v>
          </cell>
          <cell r="E399">
            <v>4897.7497807</v>
          </cell>
          <cell r="F399">
            <v>363.54400909999998</v>
          </cell>
          <cell r="G399">
            <v>389.59549446</v>
          </cell>
          <cell r="H399">
            <v>389.59549446</v>
          </cell>
          <cell r="I399">
            <v>389.59549446</v>
          </cell>
          <cell r="J399">
            <v>389.59549446</v>
          </cell>
          <cell r="K399">
            <v>389.59549446</v>
          </cell>
          <cell r="L399">
            <v>890.74720646000003</v>
          </cell>
          <cell r="M399">
            <v>902.54359046000002</v>
          </cell>
          <cell r="N399">
            <v>998.66735845999995</v>
          </cell>
          <cell r="O399">
            <v>1904.10398246</v>
          </cell>
          <cell r="P399">
            <v>1904.10398246</v>
          </cell>
          <cell r="Q399">
            <v>1986.2658704600001</v>
          </cell>
          <cell r="R399">
            <v>2231.3359664599998</v>
          </cell>
          <cell r="S399">
            <v>2673.2630864600001</v>
          </cell>
          <cell r="U399">
            <v>410.18080000000009</v>
          </cell>
          <cell r="V399">
            <v>2263.08228646</v>
          </cell>
        </row>
        <row r="400">
          <cell r="A400" t="str">
            <v>800060</v>
          </cell>
          <cell r="B400" t="str">
            <v>Input VAT</v>
          </cell>
          <cell r="C400" t="str">
            <v>Liability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U400">
            <v>0</v>
          </cell>
          <cell r="V400">
            <v>0</v>
          </cell>
        </row>
        <row r="401">
          <cell r="A401" t="str">
            <v>800070</v>
          </cell>
          <cell r="B401" t="str">
            <v>Output VAT</v>
          </cell>
          <cell r="C401" t="str">
            <v>Liability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U401">
            <v>0</v>
          </cell>
          <cell r="V401">
            <v>0</v>
          </cell>
        </row>
        <row r="402">
          <cell r="A402" t="str">
            <v>800080</v>
          </cell>
          <cell r="B402" t="str">
            <v>Import VAT</v>
          </cell>
          <cell r="C402" t="str">
            <v>Liability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U402">
            <v>0</v>
          </cell>
          <cell r="V402">
            <v>0</v>
          </cell>
        </row>
        <row r="403">
          <cell r="A403" t="str">
            <v>800090</v>
          </cell>
          <cell r="B403" t="str">
            <v>Excise duty payable - Power Pay fees</v>
          </cell>
          <cell r="C403" t="str">
            <v>Liability</v>
          </cell>
          <cell r="D403">
            <v>0</v>
          </cell>
          <cell r="E403">
            <v>0</v>
          </cell>
          <cell r="F403">
            <v>-1061.56916957</v>
          </cell>
          <cell r="G403">
            <v>-597.97498335</v>
          </cell>
          <cell r="H403">
            <v>-604.07848615</v>
          </cell>
          <cell r="I403">
            <v>-652.36464932000001</v>
          </cell>
          <cell r="J403">
            <v>-865.75534905999996</v>
          </cell>
          <cell r="K403">
            <v>-1032.68609356</v>
          </cell>
          <cell r="L403">
            <v>-1019.66019807</v>
          </cell>
          <cell r="M403">
            <v>-1340.7759134</v>
          </cell>
          <cell r="N403">
            <v>-1481.8162261099999</v>
          </cell>
          <cell r="O403">
            <v>-1853.5526218800001</v>
          </cell>
          <cell r="P403">
            <v>-1731.73981706</v>
          </cell>
          <cell r="Q403">
            <v>-3537.9211235500002</v>
          </cell>
          <cell r="R403">
            <v>-3721.5083764599999</v>
          </cell>
          <cell r="S403">
            <v>-2196.44373731</v>
          </cell>
          <cell r="U403">
            <v>0</v>
          </cell>
          <cell r="V403">
            <v>-2196.44373731</v>
          </cell>
        </row>
        <row r="404">
          <cell r="A404" t="str">
            <v>900000</v>
          </cell>
          <cell r="B404" t="str">
            <v>Ordinary shares / common stock</v>
          </cell>
          <cell r="C404" t="str">
            <v>Equity</v>
          </cell>
          <cell r="D404">
            <v>-504.95100000000002</v>
          </cell>
          <cell r="E404">
            <v>-558.36500000000001</v>
          </cell>
          <cell r="F404">
            <v>-1804.645</v>
          </cell>
          <cell r="G404">
            <v>-3960314.1150000002</v>
          </cell>
          <cell r="H404">
            <v>-3960314.1150000002</v>
          </cell>
          <cell r="I404">
            <v>-3960314.1150000002</v>
          </cell>
          <cell r="J404">
            <v>-3960314.1150000002</v>
          </cell>
          <cell r="K404">
            <v>-4040314.1150000002</v>
          </cell>
          <cell r="L404">
            <v>-4090314.1150000002</v>
          </cell>
          <cell r="M404">
            <v>-4090314.1150000002</v>
          </cell>
          <cell r="N404">
            <v>-4090314.1150000002</v>
          </cell>
          <cell r="O404">
            <v>-4090314.1150000002</v>
          </cell>
          <cell r="P404">
            <v>-4090314.1150000002</v>
          </cell>
          <cell r="Q404">
            <v>-4090314.1150000002</v>
          </cell>
          <cell r="R404">
            <v>-4090314.1150000002</v>
          </cell>
          <cell r="S404">
            <v>-4090314.1150000002</v>
          </cell>
          <cell r="U404">
            <v>-4089349.25</v>
          </cell>
          <cell r="V404">
            <v>-964.86500000022352</v>
          </cell>
        </row>
        <row r="405">
          <cell r="A405" t="str">
            <v>900010</v>
          </cell>
          <cell r="B405" t="str">
            <v>Preference shares</v>
          </cell>
          <cell r="C405" t="str">
            <v>Equity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U405">
            <v>0</v>
          </cell>
          <cell r="V405">
            <v>0</v>
          </cell>
        </row>
        <row r="406">
          <cell r="A406" t="str">
            <v>900020</v>
          </cell>
          <cell r="B406" t="str">
            <v>Share Premium</v>
          </cell>
          <cell r="C406" t="str">
            <v>Equity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</row>
        <row r="407">
          <cell r="A407" t="str">
            <v>910000</v>
          </cell>
          <cell r="B407" t="str">
            <v>Revaluation reserve</v>
          </cell>
          <cell r="C407" t="str">
            <v>Equity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U407">
            <v>0</v>
          </cell>
          <cell r="V407">
            <v>0</v>
          </cell>
        </row>
        <row r="408">
          <cell r="A408" t="str">
            <v>910010</v>
          </cell>
          <cell r="B408" t="str">
            <v>Capital reserves</v>
          </cell>
          <cell r="C408" t="str">
            <v>Equity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</row>
        <row r="409">
          <cell r="A409" t="str">
            <v>910020</v>
          </cell>
          <cell r="B409" t="str">
            <v>Legal reserve</v>
          </cell>
          <cell r="C409" t="str">
            <v>Equity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</row>
        <row r="410">
          <cell r="A410" t="str">
            <v>910030</v>
          </cell>
          <cell r="B410" t="str">
            <v>Foreign Currency Translation Reserve</v>
          </cell>
          <cell r="C410" t="str">
            <v>Equity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</row>
        <row r="411">
          <cell r="A411" t="str">
            <v>910040</v>
          </cell>
          <cell r="B411" t="str">
            <v>Long Term Incentive Provision</v>
          </cell>
          <cell r="C411" t="str">
            <v>Equity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</row>
        <row r="412">
          <cell r="A412" t="str">
            <v>920000</v>
          </cell>
          <cell r="B412" t="str">
            <v>Retained Earnings</v>
          </cell>
          <cell r="C412" t="str">
            <v>Equity</v>
          </cell>
          <cell r="D412">
            <v>0</v>
          </cell>
          <cell r="E412">
            <v>28263.5804384</v>
          </cell>
          <cell r="F412">
            <v>-96180.795448880002</v>
          </cell>
          <cell r="G412">
            <v>262177.27893412003</v>
          </cell>
          <cell r="H412">
            <v>827450.96251442004</v>
          </cell>
          <cell r="I412">
            <v>827450.96251442004</v>
          </cell>
          <cell r="J412">
            <v>827450.96251442004</v>
          </cell>
          <cell r="K412">
            <v>827450.96251442004</v>
          </cell>
          <cell r="L412">
            <v>827450.96251442004</v>
          </cell>
          <cell r="M412">
            <v>827450.96251442004</v>
          </cell>
          <cell r="N412">
            <v>827450.96251442004</v>
          </cell>
          <cell r="O412">
            <v>827450.96251442004</v>
          </cell>
          <cell r="P412">
            <v>827450.96251442004</v>
          </cell>
          <cell r="Q412">
            <v>827450.96251442004</v>
          </cell>
          <cell r="R412">
            <v>827450.96251442004</v>
          </cell>
          <cell r="S412">
            <v>827450.96251442004</v>
          </cell>
          <cell r="U412">
            <v>287055.4200629</v>
          </cell>
          <cell r="V412">
            <v>540395.54245151998</v>
          </cell>
        </row>
        <row r="413">
          <cell r="A413" t="str">
            <v>920010</v>
          </cell>
          <cell r="B413" t="str">
            <v>Non-Controlling Interest</v>
          </cell>
          <cell r="C413" t="str">
            <v>Equity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</row>
        <row r="414">
          <cell r="U414" t="str">
            <v>Check</v>
          </cell>
          <cell r="V414" t="e">
            <v>#VALUE!</v>
          </cell>
        </row>
        <row r="415">
          <cell r="A415" t="str">
            <v>920021</v>
          </cell>
          <cell r="B415" t="str">
            <v>Acc. Other Comprehensive Income</v>
          </cell>
          <cell r="C415" t="str">
            <v>Equity</v>
          </cell>
          <cell r="D415">
            <v>0</v>
          </cell>
          <cell r="E415">
            <v>-524.45000000000005</v>
          </cell>
          <cell r="F415">
            <v>1339.27</v>
          </cell>
          <cell r="G415">
            <v>2092.6</v>
          </cell>
          <cell r="H415">
            <v>8903.0300000000007</v>
          </cell>
          <cell r="I415">
            <v>8903.0300000000007</v>
          </cell>
          <cell r="J415">
            <v>8903.0300000000007</v>
          </cell>
          <cell r="K415">
            <v>8903.0300000000007</v>
          </cell>
          <cell r="L415">
            <v>8903.0300000000007</v>
          </cell>
          <cell r="M415">
            <v>8903.0300000000007</v>
          </cell>
          <cell r="N415">
            <v>8903.0300000000007</v>
          </cell>
          <cell r="O415">
            <v>8903.0300000000007</v>
          </cell>
          <cell r="P415">
            <v>8903.0300000000007</v>
          </cell>
          <cell r="Q415">
            <v>8903.0300000000007</v>
          </cell>
          <cell r="R415">
            <v>8903.0300000000007</v>
          </cell>
          <cell r="S415">
            <v>8903.0300000000007</v>
          </cell>
          <cell r="U415">
            <v>8903.0300000000007</v>
          </cell>
          <cell r="V415">
            <v>0</v>
          </cell>
        </row>
        <row r="416">
          <cell r="U416" t="str">
            <v>Check</v>
          </cell>
          <cell r="V416" t="e">
            <v>#VALUE!</v>
          </cell>
        </row>
      </sheetData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ofContent"/>
      <sheetName val="Balance Sheet---&gt;"/>
      <sheetName val="BS_12Months"/>
      <sheetName val="BS_Qrtly"/>
      <sheetName val="Income Statement ---&gt;"/>
      <sheetName val="IS_12Month"/>
      <sheetName val="IS_Qrtly"/>
      <sheetName val="Cashflow---&gt;"/>
      <sheetName val="Burn12Months"/>
      <sheetName val="Data ---&gt;"/>
      <sheetName val="BS12month"/>
      <sheetName val="BSQrtly"/>
      <sheetName val="IS12months"/>
      <sheetName val="ISQrtly"/>
      <sheetName val="IS_BU_MTD"/>
      <sheetName val="IS_BU_YTD"/>
      <sheetName val="Burn_MTD"/>
      <sheetName val="Burn_MTD_Dept"/>
      <sheetName val="Burn_YTD_Dept"/>
      <sheetName val="BurnMTD_FEL"/>
    </sheetNames>
    <sheetDataSet>
      <sheetData sheetId="0">
        <row r="1">
          <cell r="I1" t="str">
            <v>Tanzania Shilling</v>
          </cell>
        </row>
      </sheetData>
      <sheetData sheetId="1" refreshError="1"/>
      <sheetData sheetId="2">
        <row r="11">
          <cell r="D11">
            <v>0</v>
          </cell>
          <cell r="E1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9">
          <cell r="T19" t="str">
            <v>TOTAL OPERATING EXPENSES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1223AE-1DAF-491F-B97A-4E309A161FA7}" name="Table16" displayName="Table16" ref="A1:AH45" totalsRowShown="0">
  <autoFilter ref="A1:AH45" xr:uid="{D31223AE-1DAF-491F-B97A-4E309A161FA7}"/>
  <tableColumns count="34">
    <tableColumn id="1" xr3:uid="{D724DF78-C3E9-4A6B-B757-E2E16F7D2F1F}" name="Financial Report"/>
    <tableColumn id="2" xr3:uid="{928EB336-E27D-4980-B2FC-49DAF70F5CDF}" name="Name"/>
    <tableColumn id="3" xr3:uid="{075BBB36-870C-4308-942E-DBB55DADB37F}" name="Description"/>
    <tableColumn id="4" xr3:uid="{837CD4C5-2479-4077-9102-5AEC7746ECFF}" name="Row Definition"/>
    <tableColumn id="5" xr3:uid="{642E2123-E3AA-46F6-8E5C-63922E46F0AD}" name="Column Definition"/>
    <tableColumn id="6" xr3:uid="{C0523380-E865-499E-9068-4A1D854D8F3B}" name="View by"/>
    <tableColumn id="7" xr3:uid="{C8D845F1-6AB1-4716-9D48-AD94A5FEE7F4}" name="Date Filter"/>
    <tableColumn id="8" xr3:uid="{D034F8FF-90C9-4607-96A3-CFC8C0FB674B}" name="Show All Lines">
      <calculatedColumnFormula>FALSE()</calculatedColumnFormula>
    </tableColumn>
    <tableColumn id="9" xr3:uid="{3B0A7C8D-A9D0-4728-98CE-9784B5E7A1EE}" name="Product Filter"/>
    <tableColumn id="10" xr3:uid="{8B4060E3-E6FF-4588-89CD-779FA90E56D5}" name="Department Filter"/>
    <tableColumn id="11" xr3:uid="{D5C4E466-EA64-409A-8B5A-79A835C984D3}" name="Business-Unit Filter"/>
    <tableColumn id="12" xr3:uid="{6883A203-377B-4E28-86AB-277CCF2DDA1A}" name="Cost-center Filter"/>
    <tableColumn id="13" xr3:uid="{69DEA008-4D7D-4F27-848A-2A9CB74D0079}" name="Cost Center Filter"/>
    <tableColumn id="14" xr3:uid="{218A7F25-0508-435D-9867-0DC2886577B5}" name="Cost Object Filter"/>
    <tableColumn id="15" xr3:uid="{74C963F6-BA63-4289-8447-82F381FC379A}" name="Cash Flow Filter"/>
    <tableColumn id="16" xr3:uid="{85E79218-DC08-4D01-BED2-1192E52CB507}" name="G/L Budget Filter"/>
    <tableColumn id="17" xr3:uid="{16E34E9E-6C81-4676-96CC-6F518EF55045}" name="Cost Budget Filter"/>
    <tableColumn id="18" xr3:uid="{DC8874C8-9D0A-4A4B-BD62-02E83A4E7BC0}" name="Row No."/>
    <tableColumn id="19" xr3:uid="{6660AC3E-5114-4565-9A69-437DE8E9BC83}" name="Description1"/>
    <tableColumn id="20" xr3:uid="{2581E361-9B3D-4CE9-AF65-BD303F9EDAB6}" name="Quarter 1" dataDxfId="96" dataCellStyle="Normal 3"/>
    <tableColumn id="21" xr3:uid="{BA6572C5-1E59-4AA4-9EDB-90AFE6484A1C}" name="Quarter 2" dataDxfId="95" dataCellStyle="Normal 3"/>
    <tableColumn id="22" xr3:uid="{E99D4A18-9A24-4734-AA84-3F45A117C790}" name="Quarter 3" dataDxfId="53"/>
    <tableColumn id="23" xr3:uid="{DDEE9329-E2E2-4437-BBE0-5CE4BD1F546D}" name="Quarter 4"/>
    <tableColumn id="24" xr3:uid="{38FCF185-7A5F-4D2B-A889-9FB9C65F73DC}" name="Total" dataDxfId="94" dataCellStyle="Normal 3"/>
    <tableColumn id="25" xr3:uid="{217953B0-B14F-42A2-8290-8E7AEB9F8D1F}" name=" "/>
    <tableColumn id="26" xr3:uid="{1BA5E9EC-38AC-481B-9D40-2AE36AE0DB24}" name=" 1"/>
    <tableColumn id="27" xr3:uid="{1B739B95-DC1F-4AA1-A4D3-ADFFF56B7422}" name=" 2"/>
    <tableColumn id="28" xr3:uid="{86A0FF8F-C96D-422B-82D2-EA8A8B3C4A8D}" name=" 3"/>
    <tableColumn id="29" xr3:uid="{6FDC5C2D-18ED-4A94-9399-8EBD4771A138}" name=" 4"/>
    <tableColumn id="30" xr3:uid="{0F7848A8-1CA7-498E-B3CF-7EB8BC5B5D85}" name=" 5"/>
    <tableColumn id="31" xr3:uid="{B0FF8E49-9F8E-44AF-A9FA-EF54C273A405}" name=" 6"/>
    <tableColumn id="32" xr3:uid="{3CECD4EC-6524-46F3-8EAB-C25FD0CB6AC3}" name=" 7"/>
    <tableColumn id="33" xr3:uid="{CDF61DF7-D0A0-493D-9EE1-8C06298CDC3C}" name=" 8"/>
    <tableColumn id="34" xr3:uid="{A6DDF3D4-EFF7-42C4-8FA9-2FAAB3D047C8}" name=" 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B1A12-FC80-4D9B-BC06-8562FD6F0462}" name="Table12" displayName="Table12" ref="A1:AH34" totalsRowShown="0">
  <autoFilter ref="A1:AH34" xr:uid="{B36B1A12-FC80-4D9B-BC06-8562FD6F0462}"/>
  <tableColumns count="34">
    <tableColumn id="1" xr3:uid="{E6F51AE8-69D2-4DEB-B69B-D28843E0D201}" name="Financial Report"/>
    <tableColumn id="2" xr3:uid="{2BBDC3AC-7034-4432-A5F2-649E486CF9E8}" name="Name"/>
    <tableColumn id="3" xr3:uid="{BBDA4DA5-4F36-4D22-A5B1-84CA387152AB}" name="Description"/>
    <tableColumn id="4" xr3:uid="{B0A68F43-1E87-415C-8F57-7E87D325A2F3}" name="Row Definition"/>
    <tableColumn id="5" xr3:uid="{48444580-A267-4402-A75F-595289555DD2}" name="Column Definition"/>
    <tableColumn id="6" xr3:uid="{D5DC768B-AF10-4C78-8D79-72434150F9D1}" name="View by"/>
    <tableColumn id="7" xr3:uid="{8E987ABB-F0B2-418D-9A6D-4FC54D37240D}" name="Date Filter"/>
    <tableColumn id="8" xr3:uid="{C8682F7C-6F63-419E-980D-19483F733386}" name="Show All Lines">
      <calculatedColumnFormula>TRUE()</calculatedColumnFormula>
    </tableColumn>
    <tableColumn id="9" xr3:uid="{F71A4B83-4325-4D47-BFCE-3379C4DD25C0}" name="Product Filter"/>
    <tableColumn id="10" xr3:uid="{240CDDB5-9DDC-4EFC-AD55-01839E8570D2}" name="Department Filter"/>
    <tableColumn id="11" xr3:uid="{5F19C59B-229F-420D-A671-218BB518C5D7}" name="Business-Unit Filter"/>
    <tableColumn id="12" xr3:uid="{76EDAA1B-FC03-4239-A64F-7FC343A210EA}" name="Cost-center Filter"/>
    <tableColumn id="13" xr3:uid="{2001297C-05D8-45AC-9D44-A179EC1AB972}" name="Cost Center Filter"/>
    <tableColumn id="14" xr3:uid="{568A28A4-2B7D-49DF-BA6A-C94CC28E1EDF}" name="Cost Object Filter"/>
    <tableColumn id="15" xr3:uid="{DBE27F8A-B33F-431C-BE77-3D89CE2882D8}" name="Cash Flow Filter"/>
    <tableColumn id="16" xr3:uid="{0C157B69-B845-4C55-85FF-28D39F65DCA8}" name="G/L Budget Filter"/>
    <tableColumn id="17" xr3:uid="{F7C6FEF9-821A-42F8-8364-29E8D0FCB07B}" name="Cost Budget Filter"/>
    <tableColumn id="18" xr3:uid="{819C1110-221F-46AF-ACB7-BCC2F86EEA85}" name="Row No." dataDxfId="93"/>
    <tableColumn id="19" xr3:uid="{DDCA448F-6FE4-4A92-AC4E-4461A83E466D}" name="Description1" dataDxfId="92"/>
    <tableColumn id="20" xr3:uid="{5A4C9695-1B2B-4033-87B6-87AED189FE8F}" name="Quarter 1" dataDxfId="91"/>
    <tableColumn id="21" xr3:uid="{EBD6A6CC-04D2-4D25-8497-BE3B3B861C5F}" name="Quarter 2" dataDxfId="90"/>
    <tableColumn id="22" xr3:uid="{51883263-36A6-40D7-95C6-59228D2BDE55}" name="Quarter 3" dataDxfId="52"/>
    <tableColumn id="23" xr3:uid="{651617A8-58EC-40F1-A15B-A8C6BBBD02CA}" name="Quarter 4" dataDxfId="89"/>
    <tableColumn id="24" xr3:uid="{5744B007-C2F4-485E-A334-D307F5BD5233}" name="Total" dataDxfId="88" dataCellStyle="Normal 3"/>
    <tableColumn id="25" xr3:uid="{A8684D2B-032F-4969-B03A-7D004D724024}" name=" " dataDxfId="87"/>
    <tableColumn id="26" xr3:uid="{48C9C713-71CE-4020-BCE1-9AA922669575}" name=" 1" dataDxfId="86"/>
    <tableColumn id="27" xr3:uid="{65C19FFE-41E3-4478-8A54-0D6CDD0BEBCB}" name=" 2" dataDxfId="85"/>
    <tableColumn id="28" xr3:uid="{8A2186F2-67A0-4C41-BC28-756B44B9FBF7}" name=" 3" dataDxfId="84"/>
    <tableColumn id="29" xr3:uid="{FFAA9725-AEEC-48BA-BB5C-F75EAB3AF493}" name=" 4" dataDxfId="83"/>
    <tableColumn id="30" xr3:uid="{7414FA76-77BF-47EF-9B81-DB5E3F199601}" name=" 5" dataDxfId="82"/>
    <tableColumn id="31" xr3:uid="{88C89934-0913-4FDF-9802-BC49F605B304}" name=" 6" dataDxfId="81"/>
    <tableColumn id="32" xr3:uid="{B8B96CCB-7C74-42DE-B36B-E3AEFF385667}" name=" 7" dataDxfId="80"/>
    <tableColumn id="33" xr3:uid="{CC409F56-1A44-4441-AF28-ED550C6BF07C}" name=" 8" dataDxfId="79"/>
    <tableColumn id="34" xr3:uid="{FBBDD953-E569-48D5-9EFC-1FF7029BB46C}" name=" 9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21AEAE-BAAD-462C-BD7B-CD18DE990751}" name="Table1" displayName="Table1" ref="A1:AH46" totalsRowCount="1">
  <autoFilter ref="A1:AH45" xr:uid="{F41511FA-C2A0-4D4F-9696-C5A44AE7CFC2}"/>
  <tableColumns count="34">
    <tableColumn id="1" xr3:uid="{B52A2CD6-07B5-4A37-BEDA-304D6647CD38}" name="Financial Report" totalsRowDxfId="42"/>
    <tableColumn id="2" xr3:uid="{C4297D9B-0B0A-4398-9278-C421CEBD029C}" name="Name" totalsRowDxfId="41"/>
    <tableColumn id="3" xr3:uid="{7FBF8BF0-1D81-42D8-8CD2-8331832FA752}" name="Description" totalsRowDxfId="40"/>
    <tableColumn id="4" xr3:uid="{102C8D31-3AF7-44CF-B023-8168F34EF656}" name="Row Definition" totalsRowDxfId="39"/>
    <tableColumn id="5" xr3:uid="{C6DD0559-C08E-4758-B225-760A04E08E44}" name="Column Definition" totalsRowDxfId="38"/>
    <tableColumn id="6" xr3:uid="{9E804DDE-2BA2-4BED-9681-7E39F3B33858}" name="View by" totalsRowDxfId="37"/>
    <tableColumn id="7" xr3:uid="{EE7EE40F-F914-4BF0-80F9-FF39F1A4721A}" name="Date Filter" totalsRowDxfId="36"/>
    <tableColumn id="8" xr3:uid="{DEE77A7C-0657-4C28-B0D2-9BDD333ABAB8}" name="Show All Lines" totalsRowDxfId="35">
      <calculatedColumnFormula>FALSE()</calculatedColumnFormula>
    </tableColumn>
    <tableColumn id="9" xr3:uid="{09BECB93-6D3B-445E-BF25-CFA3B9DEA493}" name="Product Filter" totalsRowDxfId="34"/>
    <tableColumn id="10" xr3:uid="{13022BD1-1F21-4169-9176-C486DD50FDCE}" name="Department Filter" totalsRowDxfId="33"/>
    <tableColumn id="11" xr3:uid="{DE4996C0-E943-46B7-8619-E5568898F879}" name="Business-Unit Filter" totalsRowDxfId="32"/>
    <tableColumn id="12" xr3:uid="{8A979709-6983-4257-9DD2-6FCC5A4C001E}" name="Cost-center Filter" totalsRowDxfId="31"/>
    <tableColumn id="13" xr3:uid="{E3E20A50-D6E9-4EE4-989C-4B0CDE2AEC47}" name="Cost Center Filter" totalsRowDxfId="30"/>
    <tableColumn id="14" xr3:uid="{BAF90B33-AE32-4104-ABDE-5D3C030D9DD2}" name="Cost Object Filter" totalsRowDxfId="29"/>
    <tableColumn id="15" xr3:uid="{9A00B02E-CE46-473B-B4CA-C4C8A0632B0A}" name="Cash Flow Filter" totalsRowDxfId="28"/>
    <tableColumn id="16" xr3:uid="{7D5D1CE5-93F0-4358-8FA2-27CB2B1C76EE}" name="G/L Budget Filter" totalsRowDxfId="27"/>
    <tableColumn id="17" xr3:uid="{823617FF-AE8F-4A60-867D-830274D16DBC}" name="Cost Budget Filter" totalsRowDxfId="26"/>
    <tableColumn id="18" xr3:uid="{23899E2D-2BD6-46DA-9279-13CA74B20C4E}" name="Row No." totalsRowDxfId="25"/>
    <tableColumn id="19" xr3:uid="{8A825F5D-0A63-4A75-9163-DE7A1426B107}" name="Description1" totalsRowDxfId="24"/>
    <tableColumn id="20" xr3:uid="{A0917A1A-674E-4021-82BD-A5C5252560AD}" name="January" dataDxfId="77" totalsRowDxfId="23"/>
    <tableColumn id="21" xr3:uid="{C03C3641-EFBA-4EA8-B757-822E1600F8BD}" name="February" dataDxfId="76" totalsRowDxfId="22"/>
    <tableColumn id="22" xr3:uid="{CF42912F-CF9E-472C-B208-DEDBD876913B}" name="March" dataDxfId="75" totalsRowDxfId="21"/>
    <tableColumn id="23" xr3:uid="{E16F16D3-285A-4116-A2DB-D7AD00B57BE1}" name="April" totalsRowDxfId="20"/>
    <tableColumn id="24" xr3:uid="{1336A20D-6CCC-4A55-B7F6-A8A9331E8CDF}" name="May" totalsRowDxfId="19"/>
    <tableColumn id="25" xr3:uid="{11A973F3-D35B-4E0C-A7FE-9CD23A31BBA2}" name="June" totalsRowDxfId="18"/>
    <tableColumn id="26" xr3:uid="{28723624-8BC8-478A-A480-883B776E1C90}" name="July" dataDxfId="45" totalsRowDxfId="17"/>
    <tableColumn id="27" xr3:uid="{91474B72-87F2-4DC8-B438-917141C93DA4}" name="August" dataDxfId="44" totalsRowDxfId="16"/>
    <tableColumn id="28" xr3:uid="{29F5E6FD-6B31-4A88-98BF-0F2F919673F4}" name="September" dataDxfId="43" totalsRowDxfId="15"/>
    <tableColumn id="29" xr3:uid="{561028DD-F2C0-404E-AF6C-F6FA424F1DF3}" name="October" totalsRowDxfId="14"/>
    <tableColumn id="30" xr3:uid="{AC5F78FF-9F75-43A5-AAC9-228F54CCAFFF}" name="November" totalsRowDxfId="13"/>
    <tableColumn id="31" xr3:uid="{64F99DD4-1F52-43FE-84A1-9EE5FF86EBDD}" name="December" totalsRowDxfId="12"/>
    <tableColumn id="32" xr3:uid="{77A5FF3F-2C1C-48A6-A35D-032D9C70CAE2}" name="Total" dataDxfId="74" totalsRowDxfId="11"/>
    <tableColumn id="33" xr3:uid="{F50C1908-4201-4922-BE68-14CE04617356}" name=" " totalsRowDxfId="10"/>
    <tableColumn id="34" xr3:uid="{C21DB8DB-25A1-4397-9083-6DD3D784E5AF}" name=" 1" totalsRow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3F1AEE-4965-471B-AFFD-8E762376B377}" name="Table114" displayName="Table114" ref="A1:AJ35" totalsRowShown="0">
  <autoFilter ref="A1:AJ35" xr:uid="{AD3F1AEE-4965-471B-AFFD-8E762376B377}"/>
  <tableColumns count="36">
    <tableColumn id="1" xr3:uid="{98D1C243-9F83-4E00-B5DE-6AAC794A273A}" name="Financial Report"/>
    <tableColumn id="2" xr3:uid="{ECD24CDB-B192-4AF7-A17B-44C5F3288070}" name="Name"/>
    <tableColumn id="3" xr3:uid="{E447F3CA-58A9-42B7-8392-8BCABEF1E844}" name="Description"/>
    <tableColumn id="4" xr3:uid="{B1C509F5-A106-4975-9917-110B082E45CB}" name="Row Definition"/>
    <tableColumn id="5" xr3:uid="{D4B12678-30BA-4D60-9BA4-E228E2683271}" name="Column Definition"/>
    <tableColumn id="6" xr3:uid="{CB23ECA1-4F3C-4EA2-BD3E-2F0DEAB14F76}" name="View by"/>
    <tableColumn id="7" xr3:uid="{34EA5B0E-1822-49F5-B685-48A3AA5EF38C}" name="Date Filter"/>
    <tableColumn id="8" xr3:uid="{DF849244-4016-43DC-894E-C51BC8CCDD79}" name="Show All Lines">
      <calculatedColumnFormula>TRUE()</calculatedColumnFormula>
    </tableColumn>
    <tableColumn id="9" xr3:uid="{85B6E826-E745-4A18-8EF7-130D15CAF07A}" name="Product Filter"/>
    <tableColumn id="10" xr3:uid="{4E851C16-4AD1-4A3E-B973-9AEAEBE6B916}" name="Department Filter"/>
    <tableColumn id="11" xr3:uid="{16DDBD2F-10B9-4D80-824B-1515D25DBAA7}" name="Business-Unit Filter"/>
    <tableColumn id="36" xr3:uid="{94381CE8-B3F1-4A8A-BE55-7469E9747BE1}" name="Column1" dataDxfId="73"/>
    <tableColumn id="12" xr3:uid="{C0CA69AD-592E-4514-B459-959769E8BBDC}" name="Cost-center Filter"/>
    <tableColumn id="13" xr3:uid="{B1E666E5-5E06-4016-A809-C16141FF27D1}" name="Cost Center Filter"/>
    <tableColumn id="14" xr3:uid="{189718EA-D540-4D23-8720-4FD900FF3A4C}" name="Cost Object Filter"/>
    <tableColumn id="15" xr3:uid="{4C44A4CB-E692-46D8-AE69-931A7827FD8C}" name="Cash Flow Filter"/>
    <tableColumn id="16" xr3:uid="{75BA8C70-365F-404B-A59E-262991360B38}" name="G/L Budget Filter"/>
    <tableColumn id="17" xr3:uid="{220943FB-01DC-45FA-9EA2-65449489F5FB}" name="Cost Budget Filter"/>
    <tableColumn id="18" xr3:uid="{08012F27-660C-4BD6-B3E1-1261C514FD55}" name="Row No." dataDxfId="72"/>
    <tableColumn id="19" xr3:uid="{20D72D23-6891-43DF-A63F-4F4EBD33532E}" name="Description1" dataDxfId="71"/>
    <tableColumn id="20" xr3:uid="{743F3CB6-1F81-46A4-90DF-D3951C12F951}" name="January" dataDxfId="70"/>
    <tableColumn id="21" xr3:uid="{A5699218-845F-4AFC-AEAC-2AB4E267B9C2}" name="February" dataDxfId="69"/>
    <tableColumn id="22" xr3:uid="{3DC511EA-12ED-43DE-AAD4-BBD8A798B28E}" name="March" dataDxfId="68"/>
    <tableColumn id="23" xr3:uid="{510AB3E9-C3CA-4545-ACDC-8D514EB5E202}" name="April" dataDxfId="67"/>
    <tableColumn id="24" xr3:uid="{25ECB105-99F6-46E7-A653-238A7B45B7CC}" name="May" dataDxfId="66"/>
    <tableColumn id="25" xr3:uid="{72FCFE7B-128B-4856-BBEC-CE5F55A60818}" name="June" dataDxfId="65"/>
    <tableColumn id="26" xr3:uid="{581E27BA-41EE-4E71-A484-8D9078D6BFE7}" name="July" dataDxfId="64"/>
    <tableColumn id="27" xr3:uid="{DCCCBBF3-F6E3-4AE4-A878-182041C7FC06}" name="August" dataDxfId="63"/>
    <tableColumn id="28" xr3:uid="{9F90E665-5DAD-4D6F-8859-27275E1499CE}" name="September" dataDxfId="62"/>
    <tableColumn id="29" xr3:uid="{CD72C6C2-89A4-416C-A56A-DD576EE2EB61}" name="October" dataDxfId="61"/>
    <tableColumn id="30" xr3:uid="{3AAD4763-539D-4CCA-9DAD-EEDE41388C7F}" name="November" dataDxfId="60"/>
    <tableColumn id="31" xr3:uid="{B9B115A8-4DA6-4A6E-918E-A421DE9012C6}" name="December" dataDxfId="59"/>
    <tableColumn id="32" xr3:uid="{AE3B4255-51CC-41C9-AE28-93BEEB9A360F}" name="Total" dataDxfId="58"/>
    <tableColumn id="33" xr3:uid="{22BD6DFE-0916-4DB5-9310-D4AA1580203A}" name=" " dataDxfId="57"/>
    <tableColumn id="34" xr3:uid="{FCE02584-D5F5-4CB0-BD1D-7514787D13FB}" name=" 1" dataDxfId="56"/>
    <tableColumn id="35" xr3:uid="{0A0823AE-BF69-4A0A-B730-13BED1047482}" name="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A0ABE-E763-497F-B61D-7F8ABBDAD932}" name="Table15" displayName="Table15" ref="A1:AJ34" totalsRowShown="0">
  <autoFilter ref="A1:AJ34" xr:uid="{751A0ABE-E763-497F-B61D-7F8ABBDAD932}"/>
  <tableColumns count="36">
    <tableColumn id="1" xr3:uid="{D25E946A-58CC-482F-BB76-BC6CA539EEC8}" name="Name"/>
    <tableColumn id="2" xr3:uid="{8151D5E7-115C-45FF-A1B2-E35BE6DBCFE5}" name="Display Title"/>
    <tableColumn id="3" xr3:uid="{61120972-9196-45A7-A0E7-4A9E971E79C0}" name="Row Definition"/>
    <tableColumn id="4" xr3:uid="{182AEB67-DBEE-490B-8420-6828A091E8B6}" name="Column Definition"/>
    <tableColumn id="5" xr3:uid="{7063EB07-EB74-4C05-B74F-C77D6BC0FEBA}" name="Negative Amount Format"/>
    <tableColumn id="6" xr3:uid="{16101D51-6BFA-4089-B9F7-A77C76B04163}" name="View by"/>
    <tableColumn id="7" xr3:uid="{3B399DB6-CD02-482B-9920-90B4897691BE}" name="Date Filter"/>
    <tableColumn id="8" xr3:uid="{CCB2CFFD-FAE2-4E44-9B8D-6D6FCD192B94}" name="Show All Lines">
      <calculatedColumnFormula>TRUE()</calculatedColumnFormula>
    </tableColumn>
    <tableColumn id="9" xr3:uid="{404542FD-F78C-48EC-9B73-6C78DB7790E5}" name="Default Excel Layout"/>
    <tableColumn id="10" xr3:uid="{7749E7C1-726D-4C31-81E5-F39BD5966604}" name="Internal Description"/>
    <tableColumn id="11" xr3:uid="{B1891D0D-E55C-482C-816A-04543319C466}" name="IntroductoryParagraph"/>
    <tableColumn id="12" xr3:uid="{0CC78CB1-2209-4C8C-8FEE-7799CA85DD27}" name="Product Filter"/>
    <tableColumn id="13" xr3:uid="{F3B1E0FE-C046-4119-8D26-C5056593C836}" name="Department Filter"/>
    <tableColumn id="14" xr3:uid="{37ED6B66-8195-4E9E-B82A-47DE86AE769C}" name="Cost Center Filter"/>
    <tableColumn id="15" xr3:uid="{D3114AFB-3708-4A95-A98B-D0C5140CF3EA}" name="Cost Object Filter"/>
    <tableColumn id="16" xr3:uid="{966D6F5A-FD47-487F-8815-20D141C549A6}" name="Cash Flow Filter"/>
    <tableColumn id="17" xr3:uid="{058B5CDD-B64D-46CF-83F4-C89176A1930F}" name="G/L Budget Filter"/>
    <tableColumn id="18" xr3:uid="{BFFEFAEE-87D4-4761-B6FE-CDD371858270}" name="Cost Budget Filter"/>
    <tableColumn id="19" xr3:uid="{252447B2-7A44-4594-9DF3-B868C8E1DF14}" name="Row No."/>
    <tableColumn id="20" xr3:uid="{208B9E04-805C-4655-A589-25CD314997E5}" name="Description"/>
    <tableColumn id="21" xr3:uid="{F26BA965-9888-42AB-ACDC-6FAAE01A6065}" name="USA" dataDxfId="51"/>
    <tableColumn id="22" xr3:uid="{F65FAAFF-46F7-47CB-9664-7F9CE20F2F96}" name="KENYA" dataDxfId="50"/>
    <tableColumn id="23" xr3:uid="{85552852-6F05-4F6A-81A7-BEE688C9FF97}" name="INDIA" dataDxfId="49"/>
    <tableColumn id="24" xr3:uid="{D6A6CEDB-AB2E-47B6-9CA3-F67437CDA360}" name="TZ" dataDxfId="48"/>
    <tableColumn id="25" xr3:uid="{37F7BF84-C8BD-4625-9720-5E623EBADD93}" name="UGANDA" dataDxfId="47"/>
    <tableColumn id="26" xr3:uid="{C37B4D94-A777-4E3F-996B-0B9571A0863F}" name="CONSOLIDATED" dataDxfId="46"/>
    <tableColumn id="27" xr3:uid="{0FCA523A-44F4-4557-8E68-E4D1071693B2}" name=" "/>
    <tableColumn id="28" xr3:uid="{876DE700-2159-4B87-A8C5-0C787AC3D2C5}" name=" 1"/>
    <tableColumn id="29" xr3:uid="{DF8E5B30-1F37-4D9C-9C0A-D368F1E1E3FF}" name=" 2"/>
    <tableColumn id="30" xr3:uid="{85462BF6-4C6A-4726-8AB0-51BA753E774E}" name=" 3"/>
    <tableColumn id="31" xr3:uid="{26216919-EA2F-4798-979D-E5BC72CDA8D9}" name=" 4"/>
    <tableColumn id="32" xr3:uid="{B4A7B6D9-5C93-4E78-9445-F2C5A5A28B55}" name=" 5"/>
    <tableColumn id="33" xr3:uid="{58D097DD-D7A2-4D6D-AADA-447C5FB01164}" name=" 6"/>
    <tableColumn id="34" xr3:uid="{3FD1E02F-06C7-4F2A-96C5-9DB5FEE1D7C5}" name=" 7"/>
    <tableColumn id="35" xr3:uid="{9C796900-DAD1-4EEE-9B8D-C0505800A4C2}" name=" 8"/>
    <tableColumn id="36" xr3:uid="{517E6ABC-95BE-45A8-BCF4-70F68CD61FA3}" name="ClosingParagrap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7953D3-4929-444F-A54A-491AEA416085}" name="Table17" displayName="Table17" ref="A1:AL19" totalsRowShown="0">
  <autoFilter ref="A1:AL19" xr:uid="{467953D3-4929-444F-A54A-491AEA416085}"/>
  <tableColumns count="38">
    <tableColumn id="1" xr3:uid="{6FFAC58E-5B01-4B20-B9A6-5EDC2ACA2B1B}" name="Name"/>
    <tableColumn id="2" xr3:uid="{55BEEF9D-BEA4-40A0-8AC2-E0413066406C}" name="Display Title"/>
    <tableColumn id="3" xr3:uid="{D656B869-E225-4282-88ED-778AE7B5AD9B}" name="Row Definition"/>
    <tableColumn id="4" xr3:uid="{BC9D0BE2-2C86-40E2-BD10-42B856CA9FDD}" name="Column Definition"/>
    <tableColumn id="5" xr3:uid="{FB685A9F-0902-4F61-90C7-D33EDE7D4D5E}" name="Negative Amount Format"/>
    <tableColumn id="6" xr3:uid="{C14BAC6B-BF23-4431-BCF0-2088DFB1D927}" name="View by"/>
    <tableColumn id="7" xr3:uid="{16F3713C-2720-4368-9104-2F5518359AB3}" name="Date Filter"/>
    <tableColumn id="8" xr3:uid="{FEC2F3C5-D0DB-4E21-BD62-EB4B2BA7B7D1}" name="Show All Lines">
      <calculatedColumnFormula>FALSE()</calculatedColumnFormula>
    </tableColumn>
    <tableColumn id="9" xr3:uid="{28CC8B72-3335-4853-ACC6-6356BAA74B8C}" name="Default Excel Layout"/>
    <tableColumn id="10" xr3:uid="{1FC4C751-404C-428C-8CCB-44754BD693AC}" name="Internal Description"/>
    <tableColumn id="11" xr3:uid="{22E27139-8EA2-4B3D-A6B4-34DC3E8AA8A2}" name="IntroductoryParagraph"/>
    <tableColumn id="12" xr3:uid="{6DB3E368-758F-40B5-9E58-E1FE6510EA4F}" name="Product Filter"/>
    <tableColumn id="13" xr3:uid="{28F2E761-D87C-4CAD-9011-52D195444975}" name="Department Filter"/>
    <tableColumn id="14" xr3:uid="{95AB50CD-2242-4BB8-94B1-28F080D3F2A0}" name="Business-Unit Filter"/>
    <tableColumn id="15" xr3:uid="{78063A77-9B7B-42D9-94CB-816CD3410A45}" name="Cost-center Filter"/>
    <tableColumn id="16" xr3:uid="{FD42246B-1B26-4E52-812C-775F1B98E176}" name="Cost Center Filter"/>
    <tableColumn id="17" xr3:uid="{F9A97F21-3252-4F66-9CD1-4083F0C16AEC}" name="Cost Object Filter"/>
    <tableColumn id="18" xr3:uid="{338AC23B-309F-4CB0-BA57-EDE137CD271D}" name="Cash Flow Filter"/>
    <tableColumn id="19" xr3:uid="{6C1A5A9A-CD53-4E9E-A420-7D89353A8A8D}" name="G/L Budget Filter"/>
    <tableColumn id="20" xr3:uid="{65BCA51B-2C6F-47CC-8CE6-84ED8025D600}" name="Cost Budget Filter"/>
    <tableColumn id="21" xr3:uid="{576AE54F-31A2-4CBB-8185-D95FB0F4297F}" name="Row No."/>
    <tableColumn id="22" xr3:uid="{D8A34B2B-216C-4247-8FCB-EE2011DD1B50}" name="Description"/>
    <tableColumn id="23" xr3:uid="{3DE41697-06E6-4F2B-A56C-E2C4090B1A8D}" name="USA" dataDxfId="8"/>
    <tableColumn id="24" xr3:uid="{1938BF81-A1F2-4CB8-8939-C2C31B7D59D0}" name="KENYA" dataDxfId="7"/>
    <tableColumn id="25" xr3:uid="{CF217A84-76BC-4AE1-87AA-B68517712ABB}" name="INDIA" dataDxfId="6"/>
    <tableColumn id="26" xr3:uid="{A5E78C4E-A425-4803-8B59-B7C013EB7460}" name="TZ" dataDxfId="5"/>
    <tableColumn id="27" xr3:uid="{F43D8729-44D7-4631-B37F-38C74119628A}" name="UGANDA" dataDxfId="4"/>
    <tableColumn id="28" xr3:uid="{FBDA2153-18C8-44B8-81EA-1D1091935788}" name="CONSOLIDATED" dataDxfId="3"/>
    <tableColumn id="29" xr3:uid="{C27B7AA9-2520-48C6-A314-588405A50E8A}" name=" "/>
    <tableColumn id="30" xr3:uid="{8F4F198E-A59F-4095-B715-F3907007B336}" name=" 1"/>
    <tableColumn id="31" xr3:uid="{CAC7BB84-E4DE-4893-B302-77AE5DE05A3F}" name=" 2"/>
    <tableColumn id="32" xr3:uid="{119BAA05-1018-45A8-AAA9-00A091FAD071}" name=" 3"/>
    <tableColumn id="33" xr3:uid="{A10F665D-B38E-43F5-B993-D51B4D443C95}" name=" 4"/>
    <tableColumn id="34" xr3:uid="{78EA9BBF-4B02-43A8-AB8F-E9DD40387BFF}" name=" 5"/>
    <tableColumn id="35" xr3:uid="{A5A74252-3A21-4566-A937-C023C6ADD26B}" name=" 6"/>
    <tableColumn id="36" xr3:uid="{147193CE-DBD0-408C-9FDF-6D218C2F181B}" name=" 7"/>
    <tableColumn id="37" xr3:uid="{AA773407-32CC-4214-A9F8-2F4B5C19E1E6}" name=" 8"/>
    <tableColumn id="38" xr3:uid="{A031A48B-3960-4A62-8458-A7B1EA9BB50B}" name="ClosingParagrap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E88DE8-848A-494A-AB20-9102C2351A97}" name="Table18" displayName="Table18" ref="A1:AL19" totalsRowShown="0">
  <autoFilter ref="A1:AL19" xr:uid="{18E88DE8-848A-494A-AB20-9102C2351A97}"/>
  <tableColumns count="38">
    <tableColumn id="1" xr3:uid="{924DBA94-FACA-47C8-823E-B760A645C851}" name="Name"/>
    <tableColumn id="2" xr3:uid="{DB2C23EB-61F6-4B86-8E79-9491BE295A74}" name="Display Title"/>
    <tableColumn id="3" xr3:uid="{9B921600-7E55-445D-931F-AAAD3D4F42EB}" name="Row Definition"/>
    <tableColumn id="4" xr3:uid="{8B1C52B0-458B-4DE1-9FE4-36624CC47F44}" name="Column Definition"/>
    <tableColumn id="5" xr3:uid="{28C4113F-0971-4F82-A56B-D9F4F523E67A}" name="Negative Amount Format"/>
    <tableColumn id="6" xr3:uid="{C8EF9F8D-3FBE-4A17-9E3F-CFF65E4D94E4}" name="View by"/>
    <tableColumn id="7" xr3:uid="{6BF262A2-528F-4B3F-A3EB-03DD8439E675}" name="Date Filter"/>
    <tableColumn id="8" xr3:uid="{D1D05724-77AB-4B6D-9B60-C233C42F1B97}" name="Show All Lines">
      <calculatedColumnFormula>FALSE()</calculatedColumnFormula>
    </tableColumn>
    <tableColumn id="9" xr3:uid="{A3CD7A68-C7E2-48AB-8486-3D1A9231CBD8}" name="Default Excel Layout"/>
    <tableColumn id="10" xr3:uid="{967A197D-62B7-435C-9D11-04CCBB7BB62F}" name="Internal Description"/>
    <tableColumn id="11" xr3:uid="{54C5E043-4355-4D2B-BA16-9279F33B864E}" name="IntroductoryParagraph"/>
    <tableColumn id="12" xr3:uid="{4FBCBE23-A56B-44A9-BD86-D63B2CA276C2}" name="Product Filter"/>
    <tableColumn id="13" xr3:uid="{14BEEFEF-23EC-4B76-B613-12EA378FEDE2}" name="Department Filter"/>
    <tableColumn id="14" xr3:uid="{F25150E5-0105-4AFA-A82F-D735D5FE8562}" name="Business-Unit Filter"/>
    <tableColumn id="15" xr3:uid="{F84E7092-0FE4-4239-87DC-116B8F02D19B}" name="Cost-center Filter"/>
    <tableColumn id="16" xr3:uid="{7F007A79-BA67-4234-BBE8-E1E2B3E477A7}" name="Cost Center Filter"/>
    <tableColumn id="17" xr3:uid="{E1E130AA-0A77-405E-AD27-168B9290BBF9}" name="Cost Object Filter"/>
    <tableColumn id="18" xr3:uid="{BC5350EC-9D74-448F-B8B8-28D4008976D9}" name="Cash Flow Filter"/>
    <tableColumn id="19" xr3:uid="{6D65EBD8-59B6-4CE8-B1FC-5BD202A43F85}" name="G/L Budget Filter"/>
    <tableColumn id="20" xr3:uid="{ED130780-B0D4-4680-BF53-3C06E83E9FE1}" name="Cost Budget Filter"/>
    <tableColumn id="21" xr3:uid="{42FC427B-60F7-4FF6-9DD4-9B562DD6D592}" name="Row No."/>
    <tableColumn id="22" xr3:uid="{7F3B503C-B0D1-40B5-9A2C-37778BC5A8FF}" name="Description"/>
    <tableColumn id="23" xr3:uid="{A2670879-8DE7-4114-957B-FCF78D2F1150}" name="January"/>
    <tableColumn id="24" xr3:uid="{F097EA33-006F-47C5-ACE9-5A71A238CB14}" name="February"/>
    <tableColumn id="25" xr3:uid="{9B9A2902-7F29-4AD5-87AE-A2E9F98B033D}" name="March"/>
    <tableColumn id="26" xr3:uid="{3CD02518-46CC-4535-BF51-E3563156863E}" name="April"/>
    <tableColumn id="27" xr3:uid="{2762D663-506C-4D81-B97F-78FF112EAFFE}" name="May"/>
    <tableColumn id="28" xr3:uid="{BD5487A0-64BE-461B-AE3E-A0880E2F5FBA}" name="June"/>
    <tableColumn id="29" xr3:uid="{966E40F6-1E62-42F3-9B67-D4D6B1612A65}" name="July" dataDxfId="2"/>
    <tableColumn id="30" xr3:uid="{DD350E51-5108-4D89-8337-64F966A35DA2}" name="August" dataDxfId="1"/>
    <tableColumn id="31" xr3:uid="{9FED8157-01BC-4037-A30D-382D05F5F8CF}" name="September" dataDxfId="0"/>
    <tableColumn id="32" xr3:uid="{F2DFEAD0-B2D7-4EE1-B0E3-FE0B55108230}" name="October"/>
    <tableColumn id="33" xr3:uid="{9D6B167E-B0BF-4464-B5B1-6B8B48FED46C}" name="November"/>
    <tableColumn id="34" xr3:uid="{181860CE-4AB2-4FEB-8F68-CE7202CE11EC}" name="December"/>
    <tableColumn id="35" xr3:uid="{27B94D1F-1629-4B01-888D-313679D47CEF}" name="Total"/>
    <tableColumn id="36" xr3:uid="{778F44BA-EFDA-4EBF-B2D3-86C54DF22E68}" name=" "/>
    <tableColumn id="37" xr3:uid="{A14B06AF-6EEC-4E3B-869D-B07A1D51EAD1}" name=" 1"/>
    <tableColumn id="38" xr3:uid="{48F2CB25-8A69-4BD7-9DF3-A3BBADE0387D}" name="ClosingParagrap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8206E"/>
  </sheetPr>
  <dimension ref="A1:L1000"/>
  <sheetViews>
    <sheetView workbookViewId="0">
      <selection activeCell="A5" sqref="A5"/>
    </sheetView>
  </sheetViews>
  <sheetFormatPr defaultColWidth="12.5703125" defaultRowHeight="15" customHeight="1" x14ac:dyDescent="0.25"/>
  <cols>
    <col min="1" max="1" width="2.5703125" customWidth="1"/>
    <col min="2" max="22" width="10.5703125" customWidth="1"/>
  </cols>
  <sheetData>
    <row r="1" spans="1:12" x14ac:dyDescent="0.25">
      <c r="A1" s="1" t="s">
        <v>0</v>
      </c>
      <c r="F1" s="2" t="s">
        <v>1</v>
      </c>
    </row>
    <row r="2" spans="1:12" x14ac:dyDescent="0.25">
      <c r="A2" s="1" t="s">
        <v>2</v>
      </c>
    </row>
    <row r="3" spans="1:12" x14ac:dyDescent="0.25">
      <c r="A3" s="1" t="s">
        <v>3</v>
      </c>
    </row>
    <row r="4" spans="1:12" x14ac:dyDescent="0.25">
      <c r="A4" s="1" t="s">
        <v>304</v>
      </c>
    </row>
    <row r="5" spans="1:12" x14ac:dyDescent="0.25">
      <c r="A5" s="1" t="s">
        <v>305</v>
      </c>
    </row>
    <row r="6" spans="1:12" x14ac:dyDescent="0.25">
      <c r="A6" s="1" t="s">
        <v>4</v>
      </c>
      <c r="C6" s="3" t="s">
        <v>12</v>
      </c>
    </row>
    <row r="7" spans="1:12" x14ac:dyDescent="0.25">
      <c r="F7" s="3" t="s">
        <v>6</v>
      </c>
    </row>
    <row r="8" spans="1:12" x14ac:dyDescent="0.25">
      <c r="L8" s="59" t="s">
        <v>7</v>
      </c>
    </row>
    <row r="9" spans="1:12" x14ac:dyDescent="0.25">
      <c r="F9" s="4"/>
      <c r="L9" s="59" t="s">
        <v>8</v>
      </c>
    </row>
    <row r="10" spans="1:12" x14ac:dyDescent="0.25">
      <c r="B10" s="2" t="s">
        <v>15</v>
      </c>
      <c r="F10" s="4"/>
      <c r="L10" s="59" t="s">
        <v>9</v>
      </c>
    </row>
    <row r="11" spans="1:12" x14ac:dyDescent="0.25">
      <c r="F11" s="4"/>
      <c r="L11" s="59" t="s">
        <v>5</v>
      </c>
    </row>
    <row r="12" spans="1:12" x14ac:dyDescent="0.25">
      <c r="B12" s="2" t="s">
        <v>18</v>
      </c>
      <c r="F12" s="4"/>
      <c r="L12" s="59" t="s">
        <v>10</v>
      </c>
    </row>
    <row r="13" spans="1:12" x14ac:dyDescent="0.25">
      <c r="F13" s="4"/>
      <c r="L13" s="59" t="s">
        <v>11</v>
      </c>
    </row>
    <row r="14" spans="1:12" x14ac:dyDescent="0.25">
      <c r="B14" t="s">
        <v>288</v>
      </c>
      <c r="F14" s="4"/>
      <c r="L14" s="59" t="s">
        <v>12</v>
      </c>
    </row>
    <row r="15" spans="1:12" x14ac:dyDescent="0.25">
      <c r="F15" s="4"/>
      <c r="L15" s="59" t="s">
        <v>13</v>
      </c>
    </row>
    <row r="16" spans="1:12" x14ac:dyDescent="0.25">
      <c r="B16" s="2" t="s">
        <v>20</v>
      </c>
      <c r="F16" s="4"/>
      <c r="L16" s="59" t="s">
        <v>14</v>
      </c>
    </row>
    <row r="17" spans="2:12" x14ac:dyDescent="0.25">
      <c r="F17" s="4"/>
      <c r="L17" s="59" t="s">
        <v>16</v>
      </c>
    </row>
    <row r="18" spans="2:12" x14ac:dyDescent="0.25">
      <c r="B18" s="2" t="s">
        <v>21</v>
      </c>
      <c r="F18" s="4"/>
      <c r="L18" s="59" t="s">
        <v>17</v>
      </c>
    </row>
    <row r="19" spans="2:12" x14ac:dyDescent="0.25">
      <c r="F19" s="4"/>
      <c r="L19" s="59" t="s">
        <v>19</v>
      </c>
    </row>
    <row r="20" spans="2:12" x14ac:dyDescent="0.25">
      <c r="B20" s="86" t="s">
        <v>289</v>
      </c>
      <c r="F20" s="4"/>
      <c r="L20" s="59"/>
    </row>
    <row r="21" spans="2:12" ht="15.75" customHeight="1" x14ac:dyDescent="0.25">
      <c r="F21" s="4"/>
    </row>
    <row r="22" spans="2:12" ht="15.75" customHeight="1" x14ac:dyDescent="0.25">
      <c r="B22" t="s">
        <v>290</v>
      </c>
      <c r="F22" s="4"/>
    </row>
    <row r="23" spans="2:12" ht="15.75" customHeight="1" x14ac:dyDescent="0.25">
      <c r="F23" s="4"/>
    </row>
    <row r="24" spans="2:12" ht="15.75" customHeight="1" x14ac:dyDescent="0.25">
      <c r="B24" s="2" t="s">
        <v>22</v>
      </c>
      <c r="F24" s="4"/>
    </row>
    <row r="25" spans="2:12" ht="15.75" customHeight="1" x14ac:dyDescent="0.25">
      <c r="B25" s="2"/>
    </row>
    <row r="26" spans="2:12" ht="15.75" customHeight="1" x14ac:dyDescent="0.25">
      <c r="B26" s="2"/>
      <c r="F26" s="4"/>
    </row>
    <row r="27" spans="2:12" ht="15.75" customHeight="1" x14ac:dyDescent="0.25"/>
    <row r="28" spans="2:12" ht="15.75" customHeight="1" x14ac:dyDescent="0.25">
      <c r="B28" s="2"/>
      <c r="F28" s="4"/>
    </row>
    <row r="29" spans="2:12" ht="15.75" customHeight="1" x14ac:dyDescent="0.25"/>
    <row r="30" spans="2:12" ht="15.75" customHeight="1" x14ac:dyDescent="0.25">
      <c r="B30" s="2"/>
      <c r="F30" s="4"/>
    </row>
    <row r="31" spans="2:12" ht="15.75" customHeight="1" x14ac:dyDescent="0.25"/>
    <row r="32" spans="2:12" ht="15.75" customHeight="1" x14ac:dyDescent="0.25">
      <c r="B32" s="2"/>
      <c r="F32" s="4"/>
    </row>
    <row r="33" spans="2:7" ht="15.75" customHeight="1" x14ac:dyDescent="0.25"/>
    <row r="34" spans="2:7" ht="15.75" customHeight="1" x14ac:dyDescent="0.25">
      <c r="B34" s="2"/>
      <c r="F34" s="4"/>
    </row>
    <row r="35" spans="2:7" ht="15.75" customHeight="1" x14ac:dyDescent="0.25"/>
    <row r="36" spans="2:7" ht="15.75" customHeight="1" x14ac:dyDescent="0.25">
      <c r="F36" s="4"/>
    </row>
    <row r="37" spans="2:7" ht="15.75" customHeight="1" x14ac:dyDescent="0.25"/>
    <row r="38" spans="2:7" ht="15.75" customHeight="1" x14ac:dyDescent="0.25"/>
    <row r="39" spans="2:7" ht="15.75" customHeight="1" x14ac:dyDescent="0.25">
      <c r="G39" s="2"/>
    </row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InputMessage="1" showErrorMessage="1" prompt="Select Month" sqref="C6" xr:uid="{00000000-0002-0000-0000-000000000000}">
      <formula1>$L$8:$L$19</formula1>
    </dataValidation>
  </dataValidations>
  <printOptions horizontalCentered="1"/>
  <pageMargins left="0" right="0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X1003"/>
  <sheetViews>
    <sheetView tabSelected="1" zoomScale="70" zoomScaleNormal="70" workbookViewId="0">
      <pane xSplit="2" ySplit="7" topLeftCell="C19" activePane="bottomRight" state="frozen"/>
      <selection pane="topRight" activeCell="C1" sqref="C1"/>
      <selection pane="bottomLeft" activeCell="A8" sqref="A8"/>
      <selection pane="bottomRight" activeCell="J43" sqref="J43"/>
    </sheetView>
  </sheetViews>
  <sheetFormatPr defaultColWidth="12.5703125" defaultRowHeight="15" customHeight="1" x14ac:dyDescent="0.25"/>
  <cols>
    <col min="1" max="1" width="7.42578125" customWidth="1"/>
    <col min="2" max="2" width="36.140625" customWidth="1"/>
    <col min="3" max="6" width="12.5703125" customWidth="1"/>
    <col min="7" max="7" width="13.5703125" customWidth="1"/>
    <col min="8" max="8" width="14.140625" customWidth="1"/>
    <col min="9" max="11" width="10.85546875" customWidth="1"/>
    <col min="12" max="24" width="10.5703125" customWidth="1"/>
  </cols>
  <sheetData>
    <row r="1" spans="1:24" ht="15.75" customHeight="1" x14ac:dyDescent="0.25">
      <c r="A1" s="5" t="str">
        <f>TableofContent!A1</f>
        <v>POWER FINANCIAL WELLNESS  INC</v>
      </c>
      <c r="B1" s="5"/>
      <c r="C1" s="5"/>
      <c r="D1" s="5"/>
      <c r="E1" s="5"/>
      <c r="F1" s="27" t="str">
        <f>TableofContent!F1</f>
        <v>USD</v>
      </c>
      <c r="G1" s="2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customHeight="1" x14ac:dyDescent="0.25">
      <c r="A2" s="5" t="str">
        <f>TableofContent!A2</f>
        <v>CONSOLIDATED MANAGEMENT ACCOUNTS</v>
      </c>
      <c r="B2" s="5"/>
      <c r="C2" s="5"/>
      <c r="D2" s="5"/>
      <c r="E2" s="5"/>
      <c r="F2" s="5"/>
      <c r="G2" s="2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 x14ac:dyDescent="0.25">
      <c r="A3" s="5" t="s">
        <v>114</v>
      </c>
      <c r="B3" s="5"/>
      <c r="C3" s="5"/>
      <c r="D3" s="5"/>
      <c r="E3" s="5"/>
      <c r="F3" s="5"/>
      <c r="G3" s="2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5.75" customHeight="1" x14ac:dyDescent="0.25">
      <c r="A4" s="5" t="str">
        <f>TableofContent!A4</f>
        <v>FOR PERIOD ENDED JULY 31,  2025</v>
      </c>
      <c r="B4" s="5"/>
      <c r="C4" s="5"/>
      <c r="D4" s="5"/>
      <c r="E4" s="5"/>
      <c r="F4" s="5"/>
      <c r="G4" s="2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5.75" customHeight="1" x14ac:dyDescent="0.25">
      <c r="A5" s="5" t="str">
        <f>TableofContent!A5</f>
        <v>PREPARED BY: MOSES KIGO</v>
      </c>
      <c r="B5" s="5"/>
      <c r="C5" s="5"/>
      <c r="D5" s="5"/>
      <c r="E5" s="5"/>
      <c r="F5" s="5"/>
      <c r="G5" s="2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customHeight="1" x14ac:dyDescent="0.25">
      <c r="A6" s="5"/>
      <c r="B6" s="5"/>
      <c r="C6" s="5"/>
      <c r="D6" s="5"/>
      <c r="E6" s="5"/>
      <c r="F6" s="5"/>
      <c r="G6" s="29"/>
      <c r="H6" s="3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 x14ac:dyDescent="0.25">
      <c r="A7" s="5" t="s">
        <v>28</v>
      </c>
      <c r="B7" s="6" t="s">
        <v>115</v>
      </c>
      <c r="C7" s="7" t="s">
        <v>23</v>
      </c>
      <c r="D7" s="7" t="s">
        <v>25</v>
      </c>
      <c r="E7" s="7" t="s">
        <v>26</v>
      </c>
      <c r="F7" s="7" t="s">
        <v>27</v>
      </c>
      <c r="G7" s="28"/>
      <c r="H7" s="31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customHeight="1" x14ac:dyDescent="0.25">
      <c r="A8" s="5" t="s">
        <v>29</v>
      </c>
      <c r="B8" s="8" t="s">
        <v>30</v>
      </c>
      <c r="C8" s="9"/>
      <c r="D8" s="9"/>
      <c r="E8" s="9"/>
      <c r="F8" s="9"/>
      <c r="G8" s="28"/>
      <c r="H8" s="3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5.75" customHeight="1" x14ac:dyDescent="0.25">
      <c r="A9" s="5" t="s">
        <v>31</v>
      </c>
      <c r="B9" s="10" t="s">
        <v>32</v>
      </c>
      <c r="C9" s="11">
        <f>'BS(Qrtly('!T4</f>
        <v>689896</v>
      </c>
      <c r="D9" s="11">
        <f>'BS(Qrtly('!U4</f>
        <v>653836</v>
      </c>
      <c r="E9" s="11">
        <f>'BS(Qrtly('!V4</f>
        <v>537995.66</v>
      </c>
      <c r="F9" s="11">
        <f>'BS(Qrtly('!W4</f>
        <v>0</v>
      </c>
      <c r="G9" s="28"/>
      <c r="H9" s="3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customHeight="1" x14ac:dyDescent="0.25">
      <c r="A10" s="5" t="s">
        <v>33</v>
      </c>
      <c r="B10" s="10" t="s">
        <v>34</v>
      </c>
      <c r="C10" s="11">
        <f>'BS(Qrtly('!T5</f>
        <v>1172340</v>
      </c>
      <c r="D10" s="11">
        <f>'BS(Qrtly('!U5</f>
        <v>1368363</v>
      </c>
      <c r="E10" s="11">
        <f>'BS(Qrtly('!V5</f>
        <v>1645999.08</v>
      </c>
      <c r="F10" s="11">
        <f>'BS(Qrtly('!W5</f>
        <v>0</v>
      </c>
      <c r="G10" s="28"/>
      <c r="H10" s="3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 x14ac:dyDescent="0.25">
      <c r="A11" s="5" t="s">
        <v>35</v>
      </c>
      <c r="B11" s="10" t="s">
        <v>36</v>
      </c>
      <c r="C11" s="11">
        <f>'BS(Qrtly('!T6</f>
        <v>1146509</v>
      </c>
      <c r="D11" s="11">
        <f>'BS(Qrtly('!U6</f>
        <v>1324774</v>
      </c>
      <c r="E11" s="11">
        <f>'BS(Qrtly('!V6</f>
        <v>1623863.2</v>
      </c>
      <c r="F11" s="11">
        <f>'BS(Qrtly('!W6</f>
        <v>0</v>
      </c>
      <c r="G11" s="28"/>
      <c r="H11" s="3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customHeight="1" x14ac:dyDescent="0.25">
      <c r="A12" s="12" t="s">
        <v>37</v>
      </c>
      <c r="B12" s="13" t="s">
        <v>38</v>
      </c>
      <c r="C12" s="14">
        <f>'BS(Qrtly('!T7</f>
        <v>218927</v>
      </c>
      <c r="D12" s="14">
        <f>'BS(Qrtly('!U7</f>
        <v>176172</v>
      </c>
      <c r="E12" s="14">
        <f>'BS(Qrtly('!V7</f>
        <v>181855.23</v>
      </c>
      <c r="F12" s="14">
        <f>'BS(Qrtly('!W7</f>
        <v>0</v>
      </c>
      <c r="G12" s="28"/>
      <c r="H12" s="3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customHeight="1" x14ac:dyDescent="0.25">
      <c r="A13" s="6" t="s">
        <v>39</v>
      </c>
      <c r="B13" s="8" t="s">
        <v>40</v>
      </c>
      <c r="C13" s="15">
        <f>SUM(C9:C12)</f>
        <v>3227672</v>
      </c>
      <c r="D13" s="15">
        <f>SUM(D9:D12)</f>
        <v>3523145</v>
      </c>
      <c r="E13" s="15">
        <f>SUM(E9:E12)</f>
        <v>3989713.1700000004</v>
      </c>
      <c r="F13" s="15">
        <f>SUM(F9:F12)</f>
        <v>0</v>
      </c>
      <c r="G13" s="28"/>
      <c r="H13" s="3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customHeight="1" x14ac:dyDescent="0.25">
      <c r="A14" s="5" t="s">
        <v>28</v>
      </c>
      <c r="B14" s="10" t="s">
        <v>28</v>
      </c>
      <c r="C14" s="11"/>
      <c r="D14" s="11"/>
      <c r="E14" s="11"/>
      <c r="F14" s="11"/>
      <c r="G14" s="28"/>
      <c r="H14" s="3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 x14ac:dyDescent="0.25">
      <c r="A15" s="5" t="s">
        <v>41</v>
      </c>
      <c r="B15" s="8" t="s">
        <v>42</v>
      </c>
      <c r="C15" s="11"/>
      <c r="D15" s="11"/>
      <c r="E15" s="11"/>
      <c r="F15" s="11"/>
      <c r="G15" s="28"/>
      <c r="H15" s="3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customHeight="1" x14ac:dyDescent="0.25">
      <c r="A16" s="5" t="s">
        <v>43</v>
      </c>
      <c r="B16" s="10" t="s">
        <v>272</v>
      </c>
      <c r="C16" s="11">
        <f>'BS(Qrtly('!T11</f>
        <v>45208</v>
      </c>
      <c r="D16" s="11">
        <f>'BS(Qrtly('!U11</f>
        <v>46249</v>
      </c>
      <c r="E16" s="11">
        <f>'BS(Qrtly('!V11</f>
        <v>50070.5</v>
      </c>
      <c r="F16" s="11">
        <f>'BS(Qrtly('!W11</f>
        <v>0</v>
      </c>
      <c r="G16" s="28"/>
      <c r="H16" s="3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75" customHeight="1" x14ac:dyDescent="0.25">
      <c r="A17" s="5"/>
      <c r="B17" s="10" t="s">
        <v>278</v>
      </c>
      <c r="C17" s="11">
        <f>'BS(Qrtly('!T12</f>
        <v>-22835</v>
      </c>
      <c r="D17" s="11">
        <f>'BS(Qrtly('!U12</f>
        <v>-26189</v>
      </c>
      <c r="E17" s="11">
        <f>'BS(Qrtly('!V12</f>
        <v>-29699.01</v>
      </c>
      <c r="F17" s="11">
        <f>'BS(Qrtly('!W12</f>
        <v>0</v>
      </c>
      <c r="G17" s="28"/>
      <c r="H17" s="3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 x14ac:dyDescent="0.25">
      <c r="A18" s="5" t="s">
        <v>44</v>
      </c>
      <c r="B18" s="10" t="s">
        <v>275</v>
      </c>
      <c r="C18" s="11">
        <f>'BS(Qrtly('!T13</f>
        <v>740386</v>
      </c>
      <c r="D18" s="11">
        <f>'BS(Qrtly('!U13</f>
        <v>740386</v>
      </c>
      <c r="E18" s="11">
        <f>'BS(Qrtly('!V13</f>
        <v>740386.28</v>
      </c>
      <c r="F18" s="11">
        <f>'BS(Qrtly('!W13</f>
        <v>0</v>
      </c>
      <c r="G18" s="28"/>
      <c r="H18" s="3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customHeight="1" x14ac:dyDescent="0.25">
      <c r="A19" s="5"/>
      <c r="B19" s="10" t="s">
        <v>279</v>
      </c>
      <c r="C19" s="11">
        <f>'BS(Qrtly('!T14</f>
        <v>-646808</v>
      </c>
      <c r="D19" s="11">
        <f>'BS(Qrtly('!U14</f>
        <v>-707313</v>
      </c>
      <c r="E19" s="11">
        <f>'BS(Qrtly('!V14</f>
        <v>-735507.41</v>
      </c>
      <c r="F19" s="11">
        <f>'BS(Qrtly('!W14</f>
        <v>0</v>
      </c>
      <c r="G19" s="28"/>
      <c r="H19" s="3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75" customHeight="1" x14ac:dyDescent="0.25">
      <c r="A20" s="5" t="s">
        <v>45</v>
      </c>
      <c r="B20" s="10" t="s">
        <v>46</v>
      </c>
      <c r="C20" s="11">
        <f>'BS(Qrtly('!T15</f>
        <v>2127703</v>
      </c>
      <c r="D20" s="11">
        <f>'BS(Qrtly('!U15</f>
        <v>2127703</v>
      </c>
      <c r="E20" s="11">
        <f>'BS(Qrtly('!V15</f>
        <v>2127702.63</v>
      </c>
      <c r="F20" s="11">
        <f>'BS(Qrtly('!W15</f>
        <v>0</v>
      </c>
      <c r="G20" s="28"/>
      <c r="H20" s="3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 x14ac:dyDescent="0.25">
      <c r="A21" s="12" t="s">
        <v>47</v>
      </c>
      <c r="B21" s="13" t="s">
        <v>48</v>
      </c>
      <c r="C21" s="14">
        <f>'BS(Qrtly('!T16</f>
        <v>19380</v>
      </c>
      <c r="D21" s="14">
        <f>'BS(Qrtly('!U16</f>
        <v>19380</v>
      </c>
      <c r="E21" s="14">
        <f>'BS(Qrtly('!V16</f>
        <v>19380.330000000002</v>
      </c>
      <c r="F21" s="14">
        <f>'BS(Qrtly('!W16</f>
        <v>0</v>
      </c>
      <c r="G21" s="28"/>
      <c r="H21" s="3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 x14ac:dyDescent="0.25">
      <c r="A22" s="6" t="s">
        <v>49</v>
      </c>
      <c r="B22" s="8" t="s">
        <v>50</v>
      </c>
      <c r="C22" s="15">
        <f>SUM(C16:C21)</f>
        <v>2263034</v>
      </c>
      <c r="D22" s="15">
        <f>SUM(D16:D21)</f>
        <v>2200216</v>
      </c>
      <c r="E22" s="15">
        <f>SUM(E16:E21)</f>
        <v>2172333.3199999998</v>
      </c>
      <c r="F22" s="15">
        <f>SUM(F16:F21)</f>
        <v>0</v>
      </c>
      <c r="G22" s="28"/>
      <c r="H22" s="3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customHeight="1" x14ac:dyDescent="0.25">
      <c r="A23" s="5" t="s">
        <v>28</v>
      </c>
      <c r="B23" s="5" t="s">
        <v>28</v>
      </c>
      <c r="C23" s="11"/>
      <c r="D23" s="11"/>
      <c r="E23" s="11"/>
      <c r="F23" s="11"/>
      <c r="G23" s="28"/>
      <c r="H23" s="3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 x14ac:dyDescent="0.25">
      <c r="A24" s="16" t="s">
        <v>51</v>
      </c>
      <c r="B24" s="16" t="s">
        <v>52</v>
      </c>
      <c r="C24" s="17">
        <f>C13+C22</f>
        <v>5490706</v>
      </c>
      <c r="D24" s="17">
        <f>D13+D22</f>
        <v>5723361</v>
      </c>
      <c r="E24" s="17">
        <f>E13+E22</f>
        <v>6162046.4900000002</v>
      </c>
      <c r="F24" s="17">
        <f>F13+F22</f>
        <v>0</v>
      </c>
      <c r="G24" s="28"/>
      <c r="H24" s="3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customHeight="1" x14ac:dyDescent="0.25">
      <c r="A25" s="5" t="s">
        <v>28</v>
      </c>
      <c r="B25" s="5" t="s">
        <v>28</v>
      </c>
      <c r="C25" s="11"/>
      <c r="D25" s="11"/>
      <c r="E25" s="11"/>
      <c r="F25" s="11"/>
      <c r="G25" s="28"/>
      <c r="H25" s="3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25">
      <c r="A26" s="5" t="s">
        <v>28</v>
      </c>
      <c r="B26" s="6" t="s">
        <v>53</v>
      </c>
      <c r="C26" s="11"/>
      <c r="D26" s="11"/>
      <c r="E26" s="11"/>
      <c r="F26" s="11"/>
      <c r="G26" s="28"/>
      <c r="H26" s="3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25">
      <c r="A27" s="5" t="s">
        <v>54</v>
      </c>
      <c r="B27" s="8" t="s">
        <v>55</v>
      </c>
      <c r="C27" s="11"/>
      <c r="D27" s="11"/>
      <c r="E27" s="11"/>
      <c r="F27" s="11"/>
      <c r="G27" s="28"/>
      <c r="H27" s="3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25">
      <c r="A28" s="5" t="s">
        <v>56</v>
      </c>
      <c r="B28" s="10" t="s">
        <v>57</v>
      </c>
      <c r="C28" s="11">
        <f>'BS(Qrtly('!T23</f>
        <v>225656</v>
      </c>
      <c r="D28" s="11">
        <f>'BS(Qrtly('!U23</f>
        <v>227115</v>
      </c>
      <c r="E28" s="11">
        <f>'BS(Qrtly('!V23</f>
        <v>263042.26</v>
      </c>
      <c r="F28" s="11">
        <f>'BS(Qrtly('!W23</f>
        <v>0</v>
      </c>
      <c r="G28" s="28"/>
      <c r="H28" s="3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25">
      <c r="A29" s="5" t="s">
        <v>58</v>
      </c>
      <c r="B29" s="10" t="s">
        <v>59</v>
      </c>
      <c r="C29" s="11">
        <f>'BS(Qrtly('!T24</f>
        <v>888576</v>
      </c>
      <c r="D29" s="11">
        <f>'BS(Qrtly('!U24</f>
        <v>1046101</v>
      </c>
      <c r="E29" s="11">
        <f>'BS(Qrtly('!V24</f>
        <v>1275262.3999999999</v>
      </c>
      <c r="F29" s="11">
        <f>'BS(Qrtly('!W24</f>
        <v>0</v>
      </c>
      <c r="G29" s="28"/>
      <c r="H29" s="3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25">
      <c r="A30" s="5" t="s">
        <v>60</v>
      </c>
      <c r="B30" s="10" t="s">
        <v>61</v>
      </c>
      <c r="C30" s="11">
        <f>'BS(Qrtly('!T25</f>
        <v>39566</v>
      </c>
      <c r="D30" s="11">
        <f>'BS(Qrtly('!U25</f>
        <v>53316</v>
      </c>
      <c r="E30" s="11">
        <f>'BS(Qrtly('!V25</f>
        <v>41005.26</v>
      </c>
      <c r="F30" s="11">
        <f>'BS(Qrtly('!W25</f>
        <v>0</v>
      </c>
      <c r="G30" s="28"/>
      <c r="H30" s="3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25">
      <c r="A31" s="5" t="s">
        <v>62</v>
      </c>
      <c r="B31" s="10" t="s">
        <v>63</v>
      </c>
      <c r="C31" s="11">
        <f>'BS(Qrtly('!T26</f>
        <v>41667</v>
      </c>
      <c r="D31" s="11">
        <f>'BS(Qrtly('!U26</f>
        <v>28365</v>
      </c>
      <c r="E31" s="11">
        <f>'BS(Qrtly('!V26</f>
        <v>24579.65</v>
      </c>
      <c r="F31" s="11">
        <f>'BS(Qrtly('!W26</f>
        <v>0</v>
      </c>
      <c r="G31" s="28"/>
      <c r="H31" s="3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25">
      <c r="A32" s="12" t="s">
        <v>64</v>
      </c>
      <c r="B32" s="13" t="s">
        <v>65</v>
      </c>
      <c r="C32" s="14">
        <f>'BS(Qrtly('!T27</f>
        <v>163075</v>
      </c>
      <c r="D32" s="14">
        <f>'BS(Qrtly('!U27</f>
        <v>116305</v>
      </c>
      <c r="E32" s="14">
        <f>'BS(Qrtly('!V27</f>
        <v>119738.96</v>
      </c>
      <c r="F32" s="14">
        <f>'BS(Qrtly('!W27</f>
        <v>0</v>
      </c>
      <c r="G32" s="28"/>
      <c r="H32" s="3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25">
      <c r="A33" s="6" t="s">
        <v>66</v>
      </c>
      <c r="B33" s="8" t="s">
        <v>67</v>
      </c>
      <c r="C33" s="15">
        <f>+SUM(C28:C32)</f>
        <v>1358540</v>
      </c>
      <c r="D33" s="15">
        <f>+SUM(D28:D32)</f>
        <v>1471202</v>
      </c>
      <c r="E33" s="15">
        <f>+SUM(E28:E32)</f>
        <v>1723628.5299999998</v>
      </c>
      <c r="F33" s="15">
        <f>+SUM(F28:F32)</f>
        <v>0</v>
      </c>
      <c r="G33" s="28"/>
      <c r="H33" s="3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customHeight="1" x14ac:dyDescent="0.25">
      <c r="A34" s="5" t="s">
        <v>28</v>
      </c>
      <c r="B34" s="5" t="s">
        <v>28</v>
      </c>
      <c r="C34" s="11"/>
      <c r="D34" s="11"/>
      <c r="E34" s="11"/>
      <c r="F34" s="11"/>
      <c r="G34" s="28"/>
      <c r="H34" s="3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25">
      <c r="A35" s="5" t="s">
        <v>68</v>
      </c>
      <c r="B35" s="8" t="s">
        <v>69</v>
      </c>
      <c r="C35" s="11"/>
      <c r="D35" s="11"/>
      <c r="E35" s="11"/>
      <c r="F35" s="11"/>
      <c r="G35" s="28"/>
      <c r="H35" s="3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25">
      <c r="A36" s="5" t="s">
        <v>70</v>
      </c>
      <c r="B36" s="10" t="s">
        <v>71</v>
      </c>
      <c r="C36" s="11">
        <f>'BS(Qrtly('!T31</f>
        <v>2362682</v>
      </c>
      <c r="D36" s="11">
        <f>'BS(Qrtly('!U31</f>
        <v>2362681</v>
      </c>
      <c r="E36" s="11">
        <f>'BS(Qrtly('!V31</f>
        <v>2475151.4</v>
      </c>
      <c r="F36" s="11">
        <f>'BS(Qrtly('!W31</f>
        <v>0</v>
      </c>
      <c r="G36" s="28"/>
      <c r="H36" s="3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25">
      <c r="A37" s="12" t="s">
        <v>72</v>
      </c>
      <c r="B37" s="13" t="s">
        <v>73</v>
      </c>
      <c r="C37" s="14">
        <f>'BS(Qrtly('!T32</f>
        <v>1901589</v>
      </c>
      <c r="D37" s="14">
        <f>'BS(Qrtly('!U32</f>
        <v>2151589</v>
      </c>
      <c r="E37" s="14">
        <f>'BS(Qrtly('!V32</f>
        <v>2652200.41</v>
      </c>
      <c r="F37" s="14">
        <f>'BS(Qrtly('!W32</f>
        <v>0</v>
      </c>
      <c r="G37" s="28"/>
      <c r="H37" s="3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25">
      <c r="A38" s="6" t="s">
        <v>74</v>
      </c>
      <c r="B38" s="8" t="s">
        <v>75</v>
      </c>
      <c r="C38" s="15">
        <f>SUM(C36:C37)</f>
        <v>4264271</v>
      </c>
      <c r="D38" s="15">
        <f>SUM(D36:D37)</f>
        <v>4514270</v>
      </c>
      <c r="E38" s="15">
        <f>SUM(E36:E37)</f>
        <v>5127351.8100000005</v>
      </c>
      <c r="F38" s="15">
        <f>SUM(F36:F37)</f>
        <v>0</v>
      </c>
      <c r="G38" s="28"/>
      <c r="H38" s="3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customHeight="1" x14ac:dyDescent="0.25">
      <c r="A39" s="5" t="s">
        <v>28</v>
      </c>
      <c r="B39" s="5" t="s">
        <v>28</v>
      </c>
      <c r="C39" s="11"/>
      <c r="D39" s="11"/>
      <c r="E39" s="11"/>
      <c r="F39" s="11"/>
      <c r="G39" s="28"/>
      <c r="H39" s="3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25">
      <c r="A40" s="5" t="s">
        <v>76</v>
      </c>
      <c r="B40" s="6" t="s">
        <v>77</v>
      </c>
      <c r="C40" s="11"/>
      <c r="D40" s="11"/>
      <c r="E40" s="11"/>
      <c r="F40" s="11"/>
      <c r="G40" s="28"/>
      <c r="H40" s="3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25">
      <c r="A41" s="5" t="s">
        <v>78</v>
      </c>
      <c r="B41" s="10" t="s">
        <v>79</v>
      </c>
      <c r="C41" s="11">
        <f>'BS(Qrtly('!T36</f>
        <v>3984300</v>
      </c>
      <c r="D41" s="11">
        <f>'BS(Qrtly('!U36</f>
        <v>3984335</v>
      </c>
      <c r="E41" s="11">
        <f>'BS(Qrtly('!V36</f>
        <v>3984334.94</v>
      </c>
      <c r="F41" s="11">
        <f>'BS(Qrtly('!W36</f>
        <v>0</v>
      </c>
      <c r="G41" s="28"/>
      <c r="H41" s="3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25">
      <c r="A42" s="5" t="s">
        <v>80</v>
      </c>
      <c r="B42" s="10" t="s">
        <v>81</v>
      </c>
      <c r="C42" s="11">
        <f>'BS(Qrtly('!T37</f>
        <v>-8519</v>
      </c>
      <c r="D42" s="11">
        <f>'BS(Qrtly('!U37</f>
        <v>-8519</v>
      </c>
      <c r="E42" s="11">
        <f>'BS(Qrtly('!V37</f>
        <v>-8519.07</v>
      </c>
      <c r="F42" s="11">
        <f>'BS(Qrtly('!W37</f>
        <v>0</v>
      </c>
      <c r="G42" s="28"/>
      <c r="H42" s="3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25">
      <c r="A43" s="5" t="s">
        <v>82</v>
      </c>
      <c r="B43" s="10" t="s">
        <v>83</v>
      </c>
      <c r="C43" s="11">
        <f>'BS(Qrtly('!T38</f>
        <v>-3740271.0600000005</v>
      </c>
      <c r="D43" s="11">
        <f>'BS(Qrtly('!U38</f>
        <v>-3576720.9299999997</v>
      </c>
      <c r="E43" s="11">
        <f>'BS(Qrtly('!V38</f>
        <v>-891053.5</v>
      </c>
      <c r="F43" s="11">
        <f>'BS(Qrtly('!W38</f>
        <v>0</v>
      </c>
      <c r="G43" s="28"/>
      <c r="H43" s="3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s="66" customFormat="1" ht="15.75" customHeight="1" x14ac:dyDescent="0.25">
      <c r="A44" s="61" t="s">
        <v>84</v>
      </c>
      <c r="B44" s="62" t="s">
        <v>85</v>
      </c>
      <c r="C44" s="63">
        <f>'BS(Qrtly('!T39</f>
        <v>-265161.94</v>
      </c>
      <c r="D44" s="63">
        <f>'BS(Qrtly('!U39</f>
        <v>-558683.07000000007</v>
      </c>
      <c r="E44" s="63">
        <f>'BS(Qrtly('!V39</f>
        <v>-3671175.64</v>
      </c>
      <c r="F44" s="63">
        <f>'BS(Qrtly('!W39</f>
        <v>0</v>
      </c>
      <c r="G44" s="64"/>
      <c r="H44" s="65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 spans="1:24" s="54" customFormat="1" ht="15.75" customHeight="1" x14ac:dyDescent="0.25">
      <c r="A45" s="52" t="s">
        <v>267</v>
      </c>
      <c r="B45" s="67" t="s">
        <v>268</v>
      </c>
      <c r="C45" s="68">
        <f>'BS(Qrtly('!T40</f>
        <v>-102453</v>
      </c>
      <c r="D45" s="68">
        <f>'BS(Qrtly('!U40</f>
        <v>-102523</v>
      </c>
      <c r="E45" s="68">
        <f>'BS(Qrtly('!V40</f>
        <v>-102520.58</v>
      </c>
      <c r="F45" s="68">
        <f>'BS(Qrtly('!W40</f>
        <v>0</v>
      </c>
      <c r="G45" s="69"/>
      <c r="H45" s="70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spans="1:24" ht="15.75" customHeight="1" x14ac:dyDescent="0.25">
      <c r="A46" s="6" t="s">
        <v>86</v>
      </c>
      <c r="B46" s="8" t="s">
        <v>87</v>
      </c>
      <c r="C46" s="15">
        <f>SUM(C40:C45)</f>
        <v>-132105.00000000052</v>
      </c>
      <c r="D46" s="15">
        <f>SUM(D40:D45)</f>
        <v>-262110.99999999977</v>
      </c>
      <c r="E46" s="15">
        <f>SUM(E40:E45)</f>
        <v>-688933.85</v>
      </c>
      <c r="F46" s="15">
        <f>SUM(F40:F45)</f>
        <v>0</v>
      </c>
      <c r="G46" s="28"/>
      <c r="H46" s="3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customHeight="1" x14ac:dyDescent="0.25">
      <c r="A47" s="5" t="s">
        <v>28</v>
      </c>
      <c r="B47" s="5" t="s">
        <v>28</v>
      </c>
      <c r="C47" s="11"/>
      <c r="D47" s="11"/>
      <c r="E47" s="11"/>
      <c r="F47" s="11"/>
      <c r="G47" s="28"/>
      <c r="H47" s="3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 x14ac:dyDescent="0.25">
      <c r="A48" s="16" t="s">
        <v>88</v>
      </c>
      <c r="B48" s="16" t="s">
        <v>89</v>
      </c>
      <c r="C48" s="17">
        <f>C33+C38+C46</f>
        <v>5490705.9999999991</v>
      </c>
      <c r="D48" s="17">
        <f>D33+D38+D46</f>
        <v>5723361</v>
      </c>
      <c r="E48" s="17">
        <f>E33+E38+E46</f>
        <v>6162046.4900000002</v>
      </c>
      <c r="F48" s="17">
        <f>F33+F38+F46</f>
        <v>0</v>
      </c>
      <c r="G48" s="28"/>
      <c r="H48" s="3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customHeight="1" x14ac:dyDescent="0.25">
      <c r="A49" s="5" t="s">
        <v>28</v>
      </c>
      <c r="B49" s="5" t="s">
        <v>28</v>
      </c>
      <c r="C49" s="11"/>
      <c r="D49" s="11"/>
      <c r="E49" s="11"/>
      <c r="F49" s="11"/>
      <c r="G49" s="28"/>
      <c r="H49" s="3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 x14ac:dyDescent="0.25">
      <c r="A50" s="5" t="s">
        <v>90</v>
      </c>
      <c r="B50" s="5" t="s">
        <v>91</v>
      </c>
      <c r="C50" s="11">
        <f>C24-C48</f>
        <v>0</v>
      </c>
      <c r="D50" s="11">
        <f>D24-D48</f>
        <v>0</v>
      </c>
      <c r="E50" s="11">
        <f>E24-E48</f>
        <v>0</v>
      </c>
      <c r="F50" s="11">
        <f>F24-F48</f>
        <v>0</v>
      </c>
      <c r="G50" s="28"/>
      <c r="H50" s="3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 x14ac:dyDescent="0.25">
      <c r="A51" s="5"/>
      <c r="B51" s="5"/>
      <c r="C51" s="11"/>
      <c r="D51" s="11"/>
      <c r="E51" s="11"/>
      <c r="F51" s="11"/>
      <c r="G51" s="2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 x14ac:dyDescent="0.25">
      <c r="A52" s="5"/>
      <c r="B52" s="5"/>
      <c r="C52" s="11"/>
      <c r="D52" s="11"/>
      <c r="E52" s="11"/>
      <c r="F52" s="11"/>
      <c r="G52" s="2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25">
      <c r="A53" s="5"/>
      <c r="B53" s="20" t="s">
        <v>116</v>
      </c>
      <c r="C53" s="11"/>
      <c r="D53" s="11"/>
      <c r="E53" s="11"/>
      <c r="F53" s="11"/>
      <c r="G53" s="2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25">
      <c r="A54" s="5"/>
      <c r="B54" s="5"/>
      <c r="C54" s="11"/>
      <c r="D54" s="11"/>
      <c r="E54" s="11"/>
      <c r="F54" s="11"/>
      <c r="G54" s="2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 x14ac:dyDescent="0.25">
      <c r="A55" s="5"/>
      <c r="B55" s="5"/>
      <c r="C55" s="11"/>
      <c r="D55" s="5"/>
      <c r="E55" s="5"/>
      <c r="F55" s="5"/>
      <c r="G55" s="2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25">
      <c r="A56" s="5"/>
      <c r="B56" s="5"/>
      <c r="C56" s="11"/>
      <c r="D56" s="11"/>
      <c r="E56" s="5"/>
      <c r="F56" s="5"/>
      <c r="G56" s="2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 x14ac:dyDescent="0.25">
      <c r="A57" s="5"/>
      <c r="B57" s="5"/>
      <c r="C57" s="11"/>
      <c r="D57" s="11"/>
      <c r="E57" s="5"/>
      <c r="F57" s="5"/>
      <c r="G57" s="2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 x14ac:dyDescent="0.25">
      <c r="A58" s="5"/>
      <c r="B58" s="5"/>
      <c r="C58" s="5"/>
      <c r="D58" s="11"/>
      <c r="E58" s="5"/>
      <c r="F58" s="5"/>
      <c r="G58" s="2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 x14ac:dyDescent="0.25">
      <c r="A59" s="5"/>
      <c r="B59" s="5"/>
      <c r="C59" s="5"/>
      <c r="D59" s="5"/>
      <c r="E59" s="5"/>
      <c r="F59" s="5"/>
      <c r="G59" s="2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25">
      <c r="A60" s="5"/>
      <c r="B60" s="5"/>
      <c r="C60" s="5"/>
      <c r="D60" s="5"/>
      <c r="E60" s="5"/>
      <c r="F60" s="5"/>
      <c r="G60" s="2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25">
      <c r="A61" s="5"/>
      <c r="B61" s="5"/>
      <c r="C61" s="5"/>
      <c r="D61" s="5"/>
      <c r="E61" s="5"/>
      <c r="F61" s="5"/>
      <c r="G61" s="2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25">
      <c r="A62" s="5"/>
      <c r="B62" s="5"/>
      <c r="C62" s="5"/>
      <c r="D62" s="5"/>
      <c r="E62" s="5"/>
      <c r="F62" s="5"/>
      <c r="G62" s="28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 x14ac:dyDescent="0.25">
      <c r="A63" s="5"/>
      <c r="B63" s="5"/>
      <c r="C63" s="5"/>
      <c r="D63" s="5"/>
      <c r="E63" s="5"/>
      <c r="F63" s="5"/>
      <c r="G63" s="2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25">
      <c r="A64" s="5"/>
      <c r="B64" s="5"/>
      <c r="C64" s="5"/>
      <c r="D64" s="5"/>
      <c r="E64" s="5"/>
      <c r="F64" s="5"/>
      <c r="G64" s="28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25">
      <c r="A65" s="5"/>
      <c r="B65" s="5"/>
      <c r="C65" s="5"/>
      <c r="D65" s="5"/>
      <c r="E65" s="5"/>
      <c r="F65" s="5"/>
      <c r="G65" s="2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25">
      <c r="A66" s="5"/>
      <c r="B66" s="5"/>
      <c r="C66" s="5"/>
      <c r="D66" s="5"/>
      <c r="E66" s="5"/>
      <c r="F66" s="5"/>
      <c r="G66" s="2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7.75" customHeight="1" x14ac:dyDescent="0.25">
      <c r="A67" s="5"/>
      <c r="B67" s="5"/>
      <c r="C67" s="5"/>
      <c r="D67" s="5"/>
      <c r="E67" s="5"/>
      <c r="F67" s="5"/>
      <c r="G67" s="2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 x14ac:dyDescent="0.25">
      <c r="A68" s="5"/>
      <c r="B68" s="5"/>
      <c r="C68" s="5"/>
      <c r="D68" s="5"/>
      <c r="E68" s="5"/>
      <c r="F68" s="5"/>
      <c r="G68" s="2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25">
      <c r="A69" s="5"/>
      <c r="B69" s="5"/>
      <c r="C69" s="5"/>
      <c r="D69" s="5"/>
      <c r="E69" s="5"/>
      <c r="F69" s="5"/>
      <c r="G69" s="2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25">
      <c r="A70" s="5"/>
      <c r="B70" s="5"/>
      <c r="C70" s="5"/>
      <c r="D70" s="5"/>
      <c r="E70" s="5"/>
      <c r="F70" s="5"/>
      <c r="G70" s="2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 x14ac:dyDescent="0.25">
      <c r="A71" s="5"/>
      <c r="B71" s="5"/>
      <c r="C71" s="5"/>
      <c r="D71" s="5"/>
      <c r="E71" s="5"/>
      <c r="F71" s="5"/>
      <c r="G71" s="2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 x14ac:dyDescent="0.25">
      <c r="A72" s="5"/>
      <c r="B72" s="5"/>
      <c r="C72" s="5"/>
      <c r="D72" s="5"/>
      <c r="E72" s="5"/>
      <c r="F72" s="5"/>
      <c r="G72" s="2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25">
      <c r="A73" s="5"/>
      <c r="B73" s="5"/>
      <c r="C73" s="5"/>
      <c r="D73" s="5"/>
      <c r="E73" s="5"/>
      <c r="F73" s="5"/>
      <c r="G73" s="2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 x14ac:dyDescent="0.25">
      <c r="A74" s="5"/>
      <c r="B74" s="5"/>
      <c r="C74" s="5"/>
      <c r="D74" s="5"/>
      <c r="E74" s="5"/>
      <c r="F74" s="5"/>
      <c r="G74" s="2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 x14ac:dyDescent="0.25">
      <c r="A75" s="5"/>
      <c r="B75" s="5"/>
      <c r="C75" s="5"/>
      <c r="D75" s="5"/>
      <c r="E75" s="5"/>
      <c r="F75" s="5"/>
      <c r="G75" s="2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 x14ac:dyDescent="0.25">
      <c r="A76" s="5"/>
      <c r="B76" s="5"/>
      <c r="C76" s="5"/>
      <c r="D76" s="5"/>
      <c r="E76" s="5"/>
      <c r="F76" s="5"/>
      <c r="G76" s="2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25">
      <c r="A77" s="5"/>
      <c r="B77" s="5"/>
      <c r="C77" s="5"/>
      <c r="D77" s="5"/>
      <c r="E77" s="5"/>
      <c r="F77" s="5"/>
      <c r="G77" s="2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25">
      <c r="A78" s="5"/>
      <c r="B78" s="5"/>
      <c r="C78" s="5"/>
      <c r="D78" s="5"/>
      <c r="E78" s="5"/>
      <c r="F78" s="5"/>
      <c r="G78" s="2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25">
      <c r="A79" s="5"/>
      <c r="B79" s="5"/>
      <c r="C79" s="5"/>
      <c r="D79" s="5"/>
      <c r="E79" s="5"/>
      <c r="F79" s="5"/>
      <c r="G79" s="2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25">
      <c r="A80" s="5"/>
      <c r="B80" s="5"/>
      <c r="C80" s="5"/>
      <c r="D80" s="5"/>
      <c r="E80" s="5"/>
      <c r="F80" s="5"/>
      <c r="G80" s="2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25">
      <c r="A81" s="5"/>
      <c r="B81" s="5"/>
      <c r="C81" s="5"/>
      <c r="D81" s="5"/>
      <c r="E81" s="5"/>
      <c r="F81" s="5"/>
      <c r="G81" s="2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25">
      <c r="A82" s="5"/>
      <c r="B82" s="5"/>
      <c r="C82" s="5"/>
      <c r="D82" s="5"/>
      <c r="E82" s="5"/>
      <c r="F82" s="5"/>
      <c r="G82" s="2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25">
      <c r="A83" s="5"/>
      <c r="B83" s="5"/>
      <c r="C83" s="5"/>
      <c r="D83" s="5"/>
      <c r="E83" s="5"/>
      <c r="F83" s="5"/>
      <c r="G83" s="2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25">
      <c r="A84" s="5"/>
      <c r="B84" s="5"/>
      <c r="C84" s="5"/>
      <c r="D84" s="5"/>
      <c r="E84" s="5"/>
      <c r="F84" s="5"/>
      <c r="G84" s="2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25">
      <c r="A85" s="5"/>
      <c r="B85" s="5"/>
      <c r="C85" s="5"/>
      <c r="D85" s="5"/>
      <c r="E85" s="5"/>
      <c r="F85" s="5"/>
      <c r="G85" s="2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25">
      <c r="A86" s="5"/>
      <c r="B86" s="5"/>
      <c r="C86" s="5"/>
      <c r="D86" s="5"/>
      <c r="E86" s="5"/>
      <c r="F86" s="5"/>
      <c r="G86" s="2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25">
      <c r="A87" s="5"/>
      <c r="B87" s="5"/>
      <c r="C87" s="5"/>
      <c r="D87" s="5"/>
      <c r="E87" s="5"/>
      <c r="F87" s="5"/>
      <c r="G87" s="2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25">
      <c r="A88" s="5"/>
      <c r="B88" s="5"/>
      <c r="C88" s="5"/>
      <c r="D88" s="5"/>
      <c r="E88" s="5"/>
      <c r="F88" s="5"/>
      <c r="G88" s="2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25">
      <c r="A89" s="5"/>
      <c r="B89" s="5"/>
      <c r="C89" s="5"/>
      <c r="D89" s="5"/>
      <c r="E89" s="5"/>
      <c r="F89" s="5"/>
      <c r="G89" s="2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 x14ac:dyDescent="0.25">
      <c r="A90" s="5"/>
      <c r="B90" s="5"/>
      <c r="C90" s="5"/>
      <c r="D90" s="5"/>
      <c r="E90" s="5"/>
      <c r="F90" s="5"/>
      <c r="G90" s="2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25">
      <c r="A91" s="5"/>
      <c r="B91" s="5"/>
      <c r="C91" s="5"/>
      <c r="D91" s="5"/>
      <c r="E91" s="5"/>
      <c r="F91" s="5"/>
      <c r="G91" s="2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25">
      <c r="A92" s="5"/>
      <c r="B92" s="5"/>
      <c r="C92" s="5"/>
      <c r="D92" s="5"/>
      <c r="E92" s="5"/>
      <c r="F92" s="5"/>
      <c r="G92" s="2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 x14ac:dyDescent="0.25">
      <c r="A93" s="5"/>
      <c r="B93" s="5"/>
      <c r="C93" s="5"/>
      <c r="D93" s="5"/>
      <c r="E93" s="5"/>
      <c r="F93" s="5"/>
      <c r="G93" s="2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25">
      <c r="A94" s="5"/>
      <c r="B94" s="5"/>
      <c r="C94" s="5"/>
      <c r="D94" s="5"/>
      <c r="E94" s="5"/>
      <c r="F94" s="5"/>
      <c r="G94" s="2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25">
      <c r="A95" s="5"/>
      <c r="B95" s="5"/>
      <c r="C95" s="5"/>
      <c r="D95" s="5"/>
      <c r="E95" s="5"/>
      <c r="F95" s="5"/>
      <c r="G95" s="2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25">
      <c r="A96" s="5"/>
      <c r="B96" s="5"/>
      <c r="C96" s="5"/>
      <c r="D96" s="5"/>
      <c r="E96" s="5"/>
      <c r="F96" s="5"/>
      <c r="G96" s="2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25">
      <c r="A97" s="5"/>
      <c r="B97" s="5"/>
      <c r="C97" s="5"/>
      <c r="D97" s="5"/>
      <c r="E97" s="5"/>
      <c r="F97" s="5"/>
      <c r="G97" s="2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25">
      <c r="A98" s="5"/>
      <c r="B98" s="5"/>
      <c r="C98" s="5"/>
      <c r="D98" s="5"/>
      <c r="E98" s="5"/>
      <c r="F98" s="5"/>
      <c r="G98" s="2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25">
      <c r="A99" s="5"/>
      <c r="B99" s="5"/>
      <c r="C99" s="5"/>
      <c r="D99" s="5"/>
      <c r="E99" s="5"/>
      <c r="F99" s="5"/>
      <c r="G99" s="2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25">
      <c r="A100" s="5"/>
      <c r="B100" s="5"/>
      <c r="C100" s="5"/>
      <c r="D100" s="5"/>
      <c r="E100" s="5"/>
      <c r="F100" s="5"/>
      <c r="G100" s="2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25">
      <c r="A101" s="5"/>
      <c r="B101" s="5"/>
      <c r="C101" s="5"/>
      <c r="D101" s="5"/>
      <c r="E101" s="5"/>
      <c r="F101" s="5"/>
      <c r="G101" s="2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25">
      <c r="A102" s="5"/>
      <c r="B102" s="5"/>
      <c r="C102" s="5"/>
      <c r="D102" s="5"/>
      <c r="E102" s="5"/>
      <c r="F102" s="5"/>
      <c r="G102" s="2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25">
      <c r="A103" s="5"/>
      <c r="B103" s="5"/>
      <c r="C103" s="5"/>
      <c r="D103" s="5"/>
      <c r="E103" s="5"/>
      <c r="F103" s="5"/>
      <c r="G103" s="2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25">
      <c r="A104" s="5"/>
      <c r="B104" s="5"/>
      <c r="C104" s="5"/>
      <c r="D104" s="5"/>
      <c r="E104" s="5"/>
      <c r="F104" s="5"/>
      <c r="G104" s="2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25">
      <c r="A105" s="5"/>
      <c r="B105" s="5"/>
      <c r="C105" s="5"/>
      <c r="D105" s="5"/>
      <c r="E105" s="5"/>
      <c r="F105" s="5"/>
      <c r="G105" s="2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25">
      <c r="A106" s="5"/>
      <c r="B106" s="5"/>
      <c r="C106" s="5"/>
      <c r="D106" s="5"/>
      <c r="E106" s="5"/>
      <c r="F106" s="5"/>
      <c r="G106" s="2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25">
      <c r="A107" s="5"/>
      <c r="B107" s="5"/>
      <c r="C107" s="5"/>
      <c r="D107" s="5"/>
      <c r="E107" s="5"/>
      <c r="F107" s="5"/>
      <c r="G107" s="2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25">
      <c r="A108" s="5"/>
      <c r="B108" s="5"/>
      <c r="C108" s="5"/>
      <c r="D108" s="5"/>
      <c r="E108" s="5"/>
      <c r="F108" s="5"/>
      <c r="G108" s="2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25">
      <c r="A109" s="5"/>
      <c r="B109" s="5"/>
      <c r="C109" s="5"/>
      <c r="D109" s="5"/>
      <c r="E109" s="5"/>
      <c r="F109" s="5"/>
      <c r="G109" s="2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25">
      <c r="A110" s="5"/>
      <c r="B110" s="5"/>
      <c r="C110" s="5"/>
      <c r="D110" s="5"/>
      <c r="E110" s="5"/>
      <c r="F110" s="5"/>
      <c r="G110" s="2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25">
      <c r="A111" s="5"/>
      <c r="B111" s="5"/>
      <c r="C111" s="5"/>
      <c r="D111" s="5"/>
      <c r="E111" s="5"/>
      <c r="F111" s="5"/>
      <c r="G111" s="2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25">
      <c r="A112" s="5"/>
      <c r="B112" s="5"/>
      <c r="C112" s="5"/>
      <c r="D112" s="5"/>
      <c r="E112" s="5"/>
      <c r="F112" s="5"/>
      <c r="G112" s="2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25">
      <c r="A113" s="5"/>
      <c r="B113" s="5"/>
      <c r="C113" s="5"/>
      <c r="D113" s="5"/>
      <c r="E113" s="5"/>
      <c r="F113" s="5"/>
      <c r="G113" s="2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25">
      <c r="A114" s="5"/>
      <c r="B114" s="5"/>
      <c r="C114" s="5"/>
      <c r="D114" s="5"/>
      <c r="E114" s="5"/>
      <c r="F114" s="5"/>
      <c r="G114" s="2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25">
      <c r="A115" s="5"/>
      <c r="B115" s="5"/>
      <c r="C115" s="5"/>
      <c r="D115" s="5"/>
      <c r="E115" s="5"/>
      <c r="F115" s="5"/>
      <c r="G115" s="2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25">
      <c r="A116" s="5"/>
      <c r="B116" s="5"/>
      <c r="C116" s="5"/>
      <c r="D116" s="5"/>
      <c r="E116" s="5"/>
      <c r="F116" s="5"/>
      <c r="G116" s="2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25">
      <c r="A117" s="5"/>
      <c r="B117" s="5"/>
      <c r="C117" s="5"/>
      <c r="D117" s="5"/>
      <c r="E117" s="5"/>
      <c r="F117" s="5"/>
      <c r="G117" s="2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25">
      <c r="A118" s="5"/>
      <c r="B118" s="5"/>
      <c r="C118" s="5"/>
      <c r="D118" s="5"/>
      <c r="E118" s="5"/>
      <c r="F118" s="5"/>
      <c r="G118" s="2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25">
      <c r="A119" s="5"/>
      <c r="B119" s="5"/>
      <c r="C119" s="5"/>
      <c r="D119" s="5"/>
      <c r="E119" s="5"/>
      <c r="F119" s="5"/>
      <c r="G119" s="2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25">
      <c r="A120" s="5"/>
      <c r="B120" s="5"/>
      <c r="C120" s="5"/>
      <c r="D120" s="5"/>
      <c r="E120" s="5"/>
      <c r="F120" s="5"/>
      <c r="G120" s="2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25">
      <c r="A121" s="5"/>
      <c r="B121" s="5"/>
      <c r="C121" s="5"/>
      <c r="D121" s="5"/>
      <c r="E121" s="5"/>
      <c r="F121" s="5"/>
      <c r="G121" s="2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25">
      <c r="A122" s="5"/>
      <c r="B122" s="5"/>
      <c r="C122" s="5"/>
      <c r="D122" s="5"/>
      <c r="E122" s="5"/>
      <c r="F122" s="5"/>
      <c r="G122" s="2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25">
      <c r="A123" s="5"/>
      <c r="B123" s="5"/>
      <c r="C123" s="5"/>
      <c r="D123" s="5"/>
      <c r="E123" s="5"/>
      <c r="F123" s="5"/>
      <c r="G123" s="2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25">
      <c r="A124" s="5"/>
      <c r="B124" s="5"/>
      <c r="C124" s="5"/>
      <c r="D124" s="5"/>
      <c r="E124" s="5"/>
      <c r="F124" s="5"/>
      <c r="G124" s="2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25">
      <c r="A125" s="5"/>
      <c r="B125" s="5"/>
      <c r="C125" s="5"/>
      <c r="D125" s="5"/>
      <c r="E125" s="5"/>
      <c r="F125" s="5"/>
      <c r="G125" s="2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25">
      <c r="A126" s="5"/>
      <c r="B126" s="5"/>
      <c r="C126" s="5"/>
      <c r="D126" s="5"/>
      <c r="E126" s="5"/>
      <c r="F126" s="5"/>
      <c r="G126" s="2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25">
      <c r="A127" s="5"/>
      <c r="B127" s="5"/>
      <c r="C127" s="5"/>
      <c r="D127" s="5"/>
      <c r="E127" s="5"/>
      <c r="F127" s="5"/>
      <c r="G127" s="2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25">
      <c r="A128" s="5"/>
      <c r="B128" s="5"/>
      <c r="C128" s="5"/>
      <c r="D128" s="5"/>
      <c r="E128" s="5"/>
      <c r="F128" s="5"/>
      <c r="G128" s="2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25">
      <c r="A129" s="5"/>
      <c r="B129" s="5"/>
      <c r="C129" s="5"/>
      <c r="D129" s="5"/>
      <c r="E129" s="5"/>
      <c r="F129" s="5"/>
      <c r="G129" s="2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25">
      <c r="A130" s="5"/>
      <c r="B130" s="5"/>
      <c r="C130" s="5"/>
      <c r="D130" s="5"/>
      <c r="E130" s="5"/>
      <c r="F130" s="5"/>
      <c r="G130" s="2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25">
      <c r="A131" s="5"/>
      <c r="B131" s="5"/>
      <c r="C131" s="5"/>
      <c r="D131" s="5"/>
      <c r="E131" s="5"/>
      <c r="F131" s="5"/>
      <c r="G131" s="2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25">
      <c r="A132" s="5"/>
      <c r="B132" s="5"/>
      <c r="C132" s="5"/>
      <c r="D132" s="5"/>
      <c r="E132" s="5"/>
      <c r="F132" s="5"/>
      <c r="G132" s="2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25">
      <c r="A133" s="5"/>
      <c r="B133" s="5"/>
      <c r="C133" s="5"/>
      <c r="D133" s="5"/>
      <c r="E133" s="5"/>
      <c r="F133" s="5"/>
      <c r="G133" s="2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25">
      <c r="A134" s="5"/>
      <c r="B134" s="5"/>
      <c r="C134" s="5"/>
      <c r="D134" s="5"/>
      <c r="E134" s="5"/>
      <c r="F134" s="5"/>
      <c r="G134" s="2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25">
      <c r="A135" s="5"/>
      <c r="B135" s="5"/>
      <c r="C135" s="5"/>
      <c r="D135" s="5"/>
      <c r="E135" s="5"/>
      <c r="F135" s="5"/>
      <c r="G135" s="2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25">
      <c r="A136" s="5"/>
      <c r="B136" s="5"/>
      <c r="C136" s="5"/>
      <c r="D136" s="5"/>
      <c r="E136" s="5"/>
      <c r="F136" s="5"/>
      <c r="G136" s="2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25">
      <c r="A137" s="5"/>
      <c r="B137" s="5"/>
      <c r="C137" s="5"/>
      <c r="D137" s="5"/>
      <c r="E137" s="5"/>
      <c r="F137" s="5"/>
      <c r="G137" s="2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25">
      <c r="A138" s="5"/>
      <c r="B138" s="5"/>
      <c r="C138" s="5"/>
      <c r="D138" s="5"/>
      <c r="E138" s="5"/>
      <c r="F138" s="5"/>
      <c r="G138" s="2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25">
      <c r="A139" s="5"/>
      <c r="B139" s="5"/>
      <c r="C139" s="5"/>
      <c r="D139" s="5"/>
      <c r="E139" s="5"/>
      <c r="F139" s="5"/>
      <c r="G139" s="2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25">
      <c r="A140" s="5"/>
      <c r="B140" s="5"/>
      <c r="C140" s="5"/>
      <c r="D140" s="5"/>
      <c r="E140" s="5"/>
      <c r="F140" s="5"/>
      <c r="G140" s="2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25">
      <c r="A141" s="5"/>
      <c r="B141" s="5"/>
      <c r="C141" s="5"/>
      <c r="D141" s="5"/>
      <c r="E141" s="5"/>
      <c r="F141" s="5"/>
      <c r="G141" s="2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25">
      <c r="A142" s="5"/>
      <c r="B142" s="5"/>
      <c r="C142" s="5"/>
      <c r="D142" s="5"/>
      <c r="E142" s="5"/>
      <c r="F142" s="5"/>
      <c r="G142" s="2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25">
      <c r="A143" s="5"/>
      <c r="B143" s="5"/>
      <c r="C143" s="5"/>
      <c r="D143" s="5"/>
      <c r="E143" s="5"/>
      <c r="F143" s="5"/>
      <c r="G143" s="2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25">
      <c r="A144" s="5"/>
      <c r="B144" s="5"/>
      <c r="C144" s="5"/>
      <c r="D144" s="5"/>
      <c r="E144" s="5"/>
      <c r="F144" s="5"/>
      <c r="G144" s="2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25">
      <c r="A145" s="5"/>
      <c r="B145" s="5"/>
      <c r="C145" s="5"/>
      <c r="D145" s="5"/>
      <c r="E145" s="5"/>
      <c r="F145" s="5"/>
      <c r="G145" s="2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25">
      <c r="A146" s="5"/>
      <c r="B146" s="5"/>
      <c r="C146" s="5"/>
      <c r="D146" s="5"/>
      <c r="E146" s="5"/>
      <c r="F146" s="5"/>
      <c r="G146" s="2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25">
      <c r="A147" s="5"/>
      <c r="B147" s="5"/>
      <c r="C147" s="5"/>
      <c r="D147" s="5"/>
      <c r="E147" s="5"/>
      <c r="F147" s="5"/>
      <c r="G147" s="2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25">
      <c r="A148" s="5"/>
      <c r="B148" s="5"/>
      <c r="C148" s="5"/>
      <c r="D148" s="5"/>
      <c r="E148" s="5"/>
      <c r="F148" s="5"/>
      <c r="G148" s="2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25">
      <c r="A149" s="5"/>
      <c r="B149" s="5"/>
      <c r="C149" s="5"/>
      <c r="D149" s="5"/>
      <c r="E149" s="5"/>
      <c r="F149" s="5"/>
      <c r="G149" s="2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25">
      <c r="A150" s="5"/>
      <c r="B150" s="5"/>
      <c r="C150" s="5"/>
      <c r="D150" s="5"/>
      <c r="E150" s="5"/>
      <c r="F150" s="5"/>
      <c r="G150" s="2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25">
      <c r="A151" s="5"/>
      <c r="B151" s="5"/>
      <c r="C151" s="5"/>
      <c r="D151" s="5"/>
      <c r="E151" s="5"/>
      <c r="F151" s="5"/>
      <c r="G151" s="2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25">
      <c r="A152" s="5"/>
      <c r="B152" s="5"/>
      <c r="C152" s="5"/>
      <c r="D152" s="5"/>
      <c r="E152" s="5"/>
      <c r="F152" s="5"/>
      <c r="G152" s="2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25">
      <c r="A153" s="5"/>
      <c r="B153" s="5"/>
      <c r="C153" s="5"/>
      <c r="D153" s="5"/>
      <c r="E153" s="5"/>
      <c r="F153" s="5"/>
      <c r="G153" s="2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25">
      <c r="A154" s="5"/>
      <c r="B154" s="5"/>
      <c r="C154" s="5"/>
      <c r="D154" s="5"/>
      <c r="E154" s="5"/>
      <c r="F154" s="5"/>
      <c r="G154" s="2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25">
      <c r="A155" s="5"/>
      <c r="B155" s="5"/>
      <c r="C155" s="5"/>
      <c r="D155" s="5"/>
      <c r="E155" s="5"/>
      <c r="F155" s="5"/>
      <c r="G155" s="2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25">
      <c r="A156" s="5"/>
      <c r="B156" s="5"/>
      <c r="C156" s="5"/>
      <c r="D156" s="5"/>
      <c r="E156" s="5"/>
      <c r="F156" s="5"/>
      <c r="G156" s="2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25">
      <c r="A157" s="5"/>
      <c r="B157" s="5"/>
      <c r="C157" s="5"/>
      <c r="D157" s="5"/>
      <c r="E157" s="5"/>
      <c r="F157" s="5"/>
      <c r="G157" s="2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25">
      <c r="A158" s="5"/>
      <c r="B158" s="5"/>
      <c r="C158" s="5"/>
      <c r="D158" s="5"/>
      <c r="E158" s="5"/>
      <c r="F158" s="5"/>
      <c r="G158" s="2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25">
      <c r="A159" s="5"/>
      <c r="B159" s="5"/>
      <c r="C159" s="5"/>
      <c r="D159" s="5"/>
      <c r="E159" s="5"/>
      <c r="F159" s="5"/>
      <c r="G159" s="2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25">
      <c r="A160" s="5"/>
      <c r="B160" s="5"/>
      <c r="C160" s="5"/>
      <c r="D160" s="5"/>
      <c r="E160" s="5"/>
      <c r="F160" s="5"/>
      <c r="G160" s="2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25">
      <c r="A161" s="5"/>
      <c r="B161" s="5"/>
      <c r="C161" s="5"/>
      <c r="D161" s="5"/>
      <c r="E161" s="5"/>
      <c r="F161" s="5"/>
      <c r="G161" s="2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25">
      <c r="A162" s="5"/>
      <c r="B162" s="5"/>
      <c r="C162" s="5"/>
      <c r="D162" s="5"/>
      <c r="E162" s="5"/>
      <c r="F162" s="5"/>
      <c r="G162" s="2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25">
      <c r="A163" s="5"/>
      <c r="B163" s="5"/>
      <c r="C163" s="5"/>
      <c r="D163" s="5"/>
      <c r="E163" s="5"/>
      <c r="F163" s="5"/>
      <c r="G163" s="2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25">
      <c r="A164" s="5"/>
      <c r="B164" s="5"/>
      <c r="C164" s="5"/>
      <c r="D164" s="5"/>
      <c r="E164" s="5"/>
      <c r="F164" s="5"/>
      <c r="G164" s="2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25">
      <c r="A165" s="5"/>
      <c r="B165" s="5"/>
      <c r="C165" s="5"/>
      <c r="D165" s="5"/>
      <c r="E165" s="5"/>
      <c r="F165" s="5"/>
      <c r="G165" s="2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25">
      <c r="A166" s="5"/>
      <c r="B166" s="5"/>
      <c r="C166" s="5"/>
      <c r="D166" s="5"/>
      <c r="E166" s="5"/>
      <c r="F166" s="5"/>
      <c r="G166" s="2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25">
      <c r="A167" s="5"/>
      <c r="B167" s="5"/>
      <c r="C167" s="5"/>
      <c r="D167" s="5"/>
      <c r="E167" s="5"/>
      <c r="F167" s="5"/>
      <c r="G167" s="2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25">
      <c r="A168" s="5"/>
      <c r="B168" s="5"/>
      <c r="C168" s="5"/>
      <c r="D168" s="5"/>
      <c r="E168" s="5"/>
      <c r="F168" s="5"/>
      <c r="G168" s="2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25">
      <c r="A169" s="5"/>
      <c r="B169" s="5"/>
      <c r="C169" s="5"/>
      <c r="D169" s="5"/>
      <c r="E169" s="5"/>
      <c r="F169" s="5"/>
      <c r="G169" s="2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25">
      <c r="A170" s="5"/>
      <c r="B170" s="5"/>
      <c r="C170" s="5"/>
      <c r="D170" s="5"/>
      <c r="E170" s="5"/>
      <c r="F170" s="5"/>
      <c r="G170" s="2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25">
      <c r="A171" s="5"/>
      <c r="B171" s="5"/>
      <c r="C171" s="5"/>
      <c r="D171" s="5"/>
      <c r="E171" s="5"/>
      <c r="F171" s="5"/>
      <c r="G171" s="2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25">
      <c r="A172" s="5"/>
      <c r="B172" s="5"/>
      <c r="C172" s="5"/>
      <c r="D172" s="5"/>
      <c r="E172" s="5"/>
      <c r="F172" s="5"/>
      <c r="G172" s="2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25">
      <c r="A173" s="5"/>
      <c r="B173" s="5"/>
      <c r="C173" s="5"/>
      <c r="D173" s="5"/>
      <c r="E173" s="5"/>
      <c r="F173" s="5"/>
      <c r="G173" s="2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25">
      <c r="A174" s="5"/>
      <c r="B174" s="5"/>
      <c r="C174" s="5"/>
      <c r="D174" s="5"/>
      <c r="E174" s="5"/>
      <c r="F174" s="5"/>
      <c r="G174" s="2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25">
      <c r="A175" s="5"/>
      <c r="B175" s="5"/>
      <c r="C175" s="5"/>
      <c r="D175" s="5"/>
      <c r="E175" s="5"/>
      <c r="F175" s="5"/>
      <c r="G175" s="2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25">
      <c r="A176" s="5"/>
      <c r="B176" s="5"/>
      <c r="C176" s="5"/>
      <c r="D176" s="5"/>
      <c r="E176" s="5"/>
      <c r="F176" s="5"/>
      <c r="G176" s="2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25">
      <c r="A177" s="5"/>
      <c r="B177" s="5"/>
      <c r="C177" s="5"/>
      <c r="D177" s="5"/>
      <c r="E177" s="5"/>
      <c r="F177" s="5"/>
      <c r="G177" s="2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25">
      <c r="A178" s="5"/>
      <c r="B178" s="5"/>
      <c r="C178" s="5"/>
      <c r="D178" s="5"/>
      <c r="E178" s="5"/>
      <c r="F178" s="5"/>
      <c r="G178" s="2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25">
      <c r="A179" s="5"/>
      <c r="B179" s="5"/>
      <c r="C179" s="5"/>
      <c r="D179" s="5"/>
      <c r="E179" s="5"/>
      <c r="F179" s="5"/>
      <c r="G179" s="2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25">
      <c r="A180" s="5"/>
      <c r="B180" s="5"/>
      <c r="C180" s="5"/>
      <c r="D180" s="5"/>
      <c r="E180" s="5"/>
      <c r="F180" s="5"/>
      <c r="G180" s="2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25">
      <c r="A181" s="5"/>
      <c r="B181" s="5"/>
      <c r="C181" s="5"/>
      <c r="D181" s="5"/>
      <c r="E181" s="5"/>
      <c r="F181" s="5"/>
      <c r="G181" s="2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25">
      <c r="A182" s="5"/>
      <c r="B182" s="5"/>
      <c r="C182" s="5"/>
      <c r="D182" s="5"/>
      <c r="E182" s="5"/>
      <c r="F182" s="5"/>
      <c r="G182" s="2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25">
      <c r="A183" s="5"/>
      <c r="B183" s="5"/>
      <c r="C183" s="5"/>
      <c r="D183" s="5"/>
      <c r="E183" s="5"/>
      <c r="F183" s="5"/>
      <c r="G183" s="2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25">
      <c r="A184" s="5"/>
      <c r="B184" s="5"/>
      <c r="C184" s="5"/>
      <c r="D184" s="5"/>
      <c r="E184" s="5"/>
      <c r="F184" s="5"/>
      <c r="G184" s="2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25">
      <c r="A185" s="5"/>
      <c r="B185" s="5"/>
      <c r="C185" s="5"/>
      <c r="D185" s="5"/>
      <c r="E185" s="5"/>
      <c r="F185" s="5"/>
      <c r="G185" s="2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25">
      <c r="A186" s="5"/>
      <c r="B186" s="5"/>
      <c r="C186" s="5"/>
      <c r="D186" s="5"/>
      <c r="E186" s="5"/>
      <c r="F186" s="5"/>
      <c r="G186" s="2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25">
      <c r="A187" s="5"/>
      <c r="B187" s="5"/>
      <c r="C187" s="5"/>
      <c r="D187" s="5"/>
      <c r="E187" s="5"/>
      <c r="F187" s="5"/>
      <c r="G187" s="2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25">
      <c r="A188" s="5"/>
      <c r="B188" s="5"/>
      <c r="C188" s="5"/>
      <c r="D188" s="5"/>
      <c r="E188" s="5"/>
      <c r="F188" s="5"/>
      <c r="G188" s="2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25">
      <c r="A189" s="5"/>
      <c r="B189" s="5"/>
      <c r="C189" s="5"/>
      <c r="D189" s="5"/>
      <c r="E189" s="5"/>
      <c r="F189" s="5"/>
      <c r="G189" s="2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25">
      <c r="A190" s="5"/>
      <c r="B190" s="5"/>
      <c r="C190" s="5"/>
      <c r="D190" s="5"/>
      <c r="E190" s="5"/>
      <c r="F190" s="5"/>
      <c r="G190" s="2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25">
      <c r="A191" s="5"/>
      <c r="B191" s="5"/>
      <c r="C191" s="5"/>
      <c r="D191" s="5"/>
      <c r="E191" s="5"/>
      <c r="F191" s="5"/>
      <c r="G191" s="2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25">
      <c r="A192" s="5"/>
      <c r="B192" s="5"/>
      <c r="C192" s="5"/>
      <c r="D192" s="5"/>
      <c r="E192" s="5"/>
      <c r="F192" s="5"/>
      <c r="G192" s="2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25">
      <c r="A193" s="5"/>
      <c r="B193" s="5"/>
      <c r="C193" s="5"/>
      <c r="D193" s="5"/>
      <c r="E193" s="5"/>
      <c r="F193" s="5"/>
      <c r="G193" s="2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25">
      <c r="A194" s="5"/>
      <c r="B194" s="5"/>
      <c r="C194" s="5"/>
      <c r="D194" s="5"/>
      <c r="E194" s="5"/>
      <c r="F194" s="5"/>
      <c r="G194" s="2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25">
      <c r="A195" s="5"/>
      <c r="B195" s="5"/>
      <c r="C195" s="5"/>
      <c r="D195" s="5"/>
      <c r="E195" s="5"/>
      <c r="F195" s="5"/>
      <c r="G195" s="2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25">
      <c r="A196" s="5"/>
      <c r="B196" s="5"/>
      <c r="C196" s="5"/>
      <c r="D196" s="5"/>
      <c r="E196" s="5"/>
      <c r="F196" s="5"/>
      <c r="G196" s="2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25">
      <c r="A197" s="5"/>
      <c r="B197" s="5"/>
      <c r="C197" s="5"/>
      <c r="D197" s="5"/>
      <c r="E197" s="5"/>
      <c r="F197" s="5"/>
      <c r="G197" s="2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25">
      <c r="A198" s="5"/>
      <c r="B198" s="5"/>
      <c r="C198" s="5"/>
      <c r="D198" s="5"/>
      <c r="E198" s="5"/>
      <c r="F198" s="5"/>
      <c r="G198" s="2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25">
      <c r="A199" s="5"/>
      <c r="B199" s="5"/>
      <c r="C199" s="5"/>
      <c r="D199" s="5"/>
      <c r="E199" s="5"/>
      <c r="F199" s="5"/>
      <c r="G199" s="2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25">
      <c r="A200" s="5"/>
      <c r="B200" s="5"/>
      <c r="C200" s="5"/>
      <c r="D200" s="5"/>
      <c r="E200" s="5"/>
      <c r="F200" s="5"/>
      <c r="G200" s="2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25">
      <c r="A201" s="5"/>
      <c r="B201" s="5"/>
      <c r="C201" s="5"/>
      <c r="D201" s="5"/>
      <c r="E201" s="5"/>
      <c r="F201" s="5"/>
      <c r="G201" s="2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25">
      <c r="A202" s="5"/>
      <c r="B202" s="5"/>
      <c r="C202" s="5"/>
      <c r="D202" s="5"/>
      <c r="E202" s="5"/>
      <c r="F202" s="5"/>
      <c r="G202" s="2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25">
      <c r="A203" s="5"/>
      <c r="B203" s="5"/>
      <c r="C203" s="5"/>
      <c r="D203" s="5"/>
      <c r="E203" s="5"/>
      <c r="F203" s="5"/>
      <c r="G203" s="2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25">
      <c r="A204" s="5"/>
      <c r="B204" s="5"/>
      <c r="C204" s="5"/>
      <c r="D204" s="5"/>
      <c r="E204" s="5"/>
      <c r="F204" s="5"/>
      <c r="G204" s="2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25">
      <c r="A205" s="5"/>
      <c r="B205" s="5"/>
      <c r="C205" s="5"/>
      <c r="D205" s="5"/>
      <c r="E205" s="5"/>
      <c r="F205" s="5"/>
      <c r="G205" s="2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25">
      <c r="A206" s="5"/>
      <c r="B206" s="5"/>
      <c r="C206" s="5"/>
      <c r="D206" s="5"/>
      <c r="E206" s="5"/>
      <c r="F206" s="5"/>
      <c r="G206" s="2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25">
      <c r="A207" s="5"/>
      <c r="B207" s="5"/>
      <c r="C207" s="5"/>
      <c r="D207" s="5"/>
      <c r="E207" s="5"/>
      <c r="F207" s="5"/>
      <c r="G207" s="2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25">
      <c r="A208" s="5"/>
      <c r="B208" s="5"/>
      <c r="C208" s="5"/>
      <c r="D208" s="5"/>
      <c r="E208" s="5"/>
      <c r="F208" s="5"/>
      <c r="G208" s="2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25">
      <c r="A209" s="5"/>
      <c r="B209" s="5"/>
      <c r="C209" s="5"/>
      <c r="D209" s="5"/>
      <c r="E209" s="5"/>
      <c r="F209" s="5"/>
      <c r="G209" s="2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25">
      <c r="A210" s="5"/>
      <c r="B210" s="5"/>
      <c r="C210" s="5"/>
      <c r="D210" s="5"/>
      <c r="E210" s="5"/>
      <c r="F210" s="5"/>
      <c r="G210" s="2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25">
      <c r="A211" s="5"/>
      <c r="B211" s="5"/>
      <c r="C211" s="5"/>
      <c r="D211" s="5"/>
      <c r="E211" s="5"/>
      <c r="F211" s="5"/>
      <c r="G211" s="2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25">
      <c r="A212" s="5"/>
      <c r="B212" s="5"/>
      <c r="C212" s="5"/>
      <c r="D212" s="5"/>
      <c r="E212" s="5"/>
      <c r="F212" s="5"/>
      <c r="G212" s="2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25">
      <c r="A213" s="5"/>
      <c r="B213" s="5"/>
      <c r="C213" s="5"/>
      <c r="D213" s="5"/>
      <c r="E213" s="5"/>
      <c r="F213" s="5"/>
      <c r="G213" s="2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25">
      <c r="A214" s="5"/>
      <c r="B214" s="5"/>
      <c r="C214" s="5"/>
      <c r="D214" s="5"/>
      <c r="E214" s="5"/>
      <c r="F214" s="5"/>
      <c r="G214" s="2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25">
      <c r="A215" s="5"/>
      <c r="B215" s="5"/>
      <c r="C215" s="5"/>
      <c r="D215" s="5"/>
      <c r="E215" s="5"/>
      <c r="F215" s="5"/>
      <c r="G215" s="2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 x14ac:dyDescent="0.25">
      <c r="A216" s="5"/>
      <c r="B216" s="5"/>
      <c r="C216" s="5"/>
      <c r="D216" s="5"/>
      <c r="E216" s="5"/>
      <c r="F216" s="5"/>
      <c r="G216" s="2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 x14ac:dyDescent="0.25">
      <c r="A217" s="5"/>
      <c r="B217" s="5"/>
      <c r="C217" s="5"/>
      <c r="D217" s="5"/>
      <c r="E217" s="5"/>
      <c r="F217" s="5"/>
      <c r="G217" s="2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 x14ac:dyDescent="0.25">
      <c r="A218" s="5"/>
      <c r="B218" s="5"/>
      <c r="C218" s="5"/>
      <c r="D218" s="5"/>
      <c r="E218" s="5"/>
      <c r="F218" s="5"/>
      <c r="G218" s="2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 x14ac:dyDescent="0.25">
      <c r="A219" s="5"/>
      <c r="B219" s="5"/>
      <c r="C219" s="5"/>
      <c r="D219" s="5"/>
      <c r="E219" s="5"/>
      <c r="F219" s="5"/>
      <c r="G219" s="2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 x14ac:dyDescent="0.25">
      <c r="A220" s="5"/>
      <c r="B220" s="5"/>
      <c r="C220" s="5"/>
      <c r="D220" s="5"/>
      <c r="E220" s="5"/>
      <c r="F220" s="5"/>
      <c r="G220" s="2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 x14ac:dyDescent="0.25">
      <c r="A221" s="5"/>
      <c r="B221" s="5"/>
      <c r="C221" s="5"/>
      <c r="D221" s="5"/>
      <c r="E221" s="5"/>
      <c r="F221" s="5"/>
      <c r="G221" s="2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 x14ac:dyDescent="0.25">
      <c r="A222" s="5"/>
      <c r="B222" s="5"/>
      <c r="C222" s="5"/>
      <c r="D222" s="5"/>
      <c r="E222" s="5"/>
      <c r="F222" s="5"/>
      <c r="G222" s="2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customHeight="1" x14ac:dyDescent="0.25">
      <c r="A223" s="5"/>
      <c r="B223" s="5"/>
      <c r="C223" s="5"/>
      <c r="D223" s="5"/>
      <c r="E223" s="5"/>
      <c r="F223" s="5"/>
      <c r="G223" s="2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customHeight="1" x14ac:dyDescent="0.25">
      <c r="A224" s="5"/>
      <c r="B224" s="5"/>
      <c r="C224" s="5"/>
      <c r="D224" s="5"/>
      <c r="E224" s="5"/>
      <c r="F224" s="5"/>
      <c r="G224" s="2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customHeight="1" x14ac:dyDescent="0.25">
      <c r="A225" s="5"/>
      <c r="B225" s="5"/>
      <c r="C225" s="5"/>
      <c r="D225" s="5"/>
      <c r="E225" s="5"/>
      <c r="F225" s="5"/>
      <c r="G225" s="2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customHeight="1" x14ac:dyDescent="0.25">
      <c r="A226" s="5"/>
      <c r="B226" s="5"/>
      <c r="C226" s="5"/>
      <c r="D226" s="5"/>
      <c r="E226" s="5"/>
      <c r="F226" s="5"/>
      <c r="G226" s="2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customHeight="1" x14ac:dyDescent="0.25">
      <c r="A227" s="5"/>
      <c r="B227" s="5"/>
      <c r="C227" s="5"/>
      <c r="D227" s="5"/>
      <c r="E227" s="5"/>
      <c r="F227" s="5"/>
      <c r="G227" s="2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customHeight="1" x14ac:dyDescent="0.25">
      <c r="A228" s="5"/>
      <c r="B228" s="5"/>
      <c r="C228" s="5"/>
      <c r="D228" s="5"/>
      <c r="E228" s="5"/>
      <c r="F228" s="5"/>
      <c r="G228" s="2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customHeight="1" x14ac:dyDescent="0.25">
      <c r="A229" s="5"/>
      <c r="B229" s="5"/>
      <c r="C229" s="5"/>
      <c r="D229" s="5"/>
      <c r="E229" s="5"/>
      <c r="F229" s="5"/>
      <c r="G229" s="2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customHeight="1" x14ac:dyDescent="0.25">
      <c r="A230" s="5"/>
      <c r="B230" s="5"/>
      <c r="C230" s="5"/>
      <c r="D230" s="5"/>
      <c r="E230" s="5"/>
      <c r="F230" s="5"/>
      <c r="G230" s="2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customHeight="1" x14ac:dyDescent="0.25">
      <c r="A231" s="5"/>
      <c r="B231" s="5"/>
      <c r="C231" s="5"/>
      <c r="D231" s="5"/>
      <c r="E231" s="5"/>
      <c r="F231" s="5"/>
      <c r="G231" s="2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customHeight="1" x14ac:dyDescent="0.25">
      <c r="A232" s="5"/>
      <c r="B232" s="5"/>
      <c r="C232" s="5"/>
      <c r="D232" s="5"/>
      <c r="E232" s="5"/>
      <c r="F232" s="5"/>
      <c r="G232" s="2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customHeight="1" x14ac:dyDescent="0.25">
      <c r="A233" s="5"/>
      <c r="B233" s="5"/>
      <c r="C233" s="5"/>
      <c r="D233" s="5"/>
      <c r="E233" s="5"/>
      <c r="F233" s="5"/>
      <c r="G233" s="2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customHeight="1" x14ac:dyDescent="0.25">
      <c r="A234" s="5"/>
      <c r="B234" s="5"/>
      <c r="C234" s="5"/>
      <c r="D234" s="5"/>
      <c r="E234" s="5"/>
      <c r="F234" s="5"/>
      <c r="G234" s="2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customHeight="1" x14ac:dyDescent="0.25">
      <c r="A235" s="5"/>
      <c r="B235" s="5"/>
      <c r="C235" s="5"/>
      <c r="D235" s="5"/>
      <c r="E235" s="5"/>
      <c r="F235" s="5"/>
      <c r="G235" s="2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customHeight="1" x14ac:dyDescent="0.25">
      <c r="A236" s="5"/>
      <c r="B236" s="5"/>
      <c r="C236" s="5"/>
      <c r="D236" s="5"/>
      <c r="E236" s="5"/>
      <c r="F236" s="5"/>
      <c r="G236" s="2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customHeight="1" x14ac:dyDescent="0.25">
      <c r="A237" s="5"/>
      <c r="B237" s="5"/>
      <c r="C237" s="5"/>
      <c r="D237" s="5"/>
      <c r="E237" s="5"/>
      <c r="F237" s="5"/>
      <c r="G237" s="2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customHeight="1" x14ac:dyDescent="0.25">
      <c r="A238" s="5"/>
      <c r="B238" s="5"/>
      <c r="C238" s="5"/>
      <c r="D238" s="5"/>
      <c r="E238" s="5"/>
      <c r="F238" s="5"/>
      <c r="G238" s="2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customHeight="1" x14ac:dyDescent="0.25">
      <c r="A239" s="5"/>
      <c r="B239" s="5"/>
      <c r="C239" s="5"/>
      <c r="D239" s="5"/>
      <c r="E239" s="5"/>
      <c r="F239" s="5"/>
      <c r="G239" s="2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customHeight="1" x14ac:dyDescent="0.25">
      <c r="A240" s="5"/>
      <c r="B240" s="5"/>
      <c r="C240" s="5"/>
      <c r="D240" s="5"/>
      <c r="E240" s="5"/>
      <c r="F240" s="5"/>
      <c r="G240" s="2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5.75" customHeight="1" x14ac:dyDescent="0.25">
      <c r="A241" s="5"/>
      <c r="B241" s="5"/>
      <c r="C241" s="5"/>
      <c r="D241" s="5"/>
      <c r="E241" s="5"/>
      <c r="F241" s="5"/>
      <c r="G241" s="2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5.75" customHeight="1" x14ac:dyDescent="0.25">
      <c r="A242" s="5"/>
      <c r="B242" s="5"/>
      <c r="C242" s="5"/>
      <c r="D242" s="5"/>
      <c r="E242" s="5"/>
      <c r="F242" s="5"/>
      <c r="G242" s="2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5.75" customHeight="1" x14ac:dyDescent="0.25">
      <c r="A243" s="5"/>
      <c r="B243" s="5"/>
      <c r="C243" s="5"/>
      <c r="D243" s="5"/>
      <c r="E243" s="5"/>
      <c r="F243" s="5"/>
      <c r="G243" s="2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5.75" customHeight="1" x14ac:dyDescent="0.25">
      <c r="A244" s="5"/>
      <c r="B244" s="5"/>
      <c r="C244" s="5"/>
      <c r="D244" s="5"/>
      <c r="E244" s="5"/>
      <c r="F244" s="5"/>
      <c r="G244" s="2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5.75" customHeight="1" x14ac:dyDescent="0.25">
      <c r="A245" s="5"/>
      <c r="B245" s="5"/>
      <c r="C245" s="5"/>
      <c r="D245" s="5"/>
      <c r="E245" s="5"/>
      <c r="F245" s="5"/>
      <c r="G245" s="2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5.75" customHeight="1" x14ac:dyDescent="0.25">
      <c r="A246" s="5"/>
      <c r="B246" s="5"/>
      <c r="C246" s="5"/>
      <c r="D246" s="5"/>
      <c r="E246" s="5"/>
      <c r="F246" s="5"/>
      <c r="G246" s="2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5.75" customHeight="1" x14ac:dyDescent="0.25">
      <c r="A247" s="5"/>
      <c r="B247" s="5"/>
      <c r="C247" s="5"/>
      <c r="D247" s="5"/>
      <c r="E247" s="5"/>
      <c r="F247" s="5"/>
      <c r="G247" s="2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5.75" customHeight="1" x14ac:dyDescent="0.25">
      <c r="A248" s="5"/>
      <c r="B248" s="5"/>
      <c r="C248" s="5"/>
      <c r="D248" s="5"/>
      <c r="E248" s="5"/>
      <c r="F248" s="5"/>
      <c r="G248" s="2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5.75" customHeight="1" x14ac:dyDescent="0.25">
      <c r="A249" s="5"/>
      <c r="B249" s="5"/>
      <c r="C249" s="5"/>
      <c r="D249" s="5"/>
      <c r="E249" s="5"/>
      <c r="F249" s="5"/>
      <c r="G249" s="2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5.75" customHeight="1" x14ac:dyDescent="0.25">
      <c r="A250" s="5"/>
      <c r="B250" s="5"/>
      <c r="C250" s="5"/>
      <c r="D250" s="5"/>
      <c r="E250" s="5"/>
      <c r="F250" s="5"/>
      <c r="G250" s="2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5.75" customHeight="1" x14ac:dyDescent="0.25">
      <c r="A251" s="5"/>
      <c r="B251" s="5"/>
      <c r="C251" s="5"/>
      <c r="D251" s="5"/>
      <c r="E251" s="5"/>
      <c r="F251" s="5"/>
      <c r="G251" s="2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5.75" customHeight="1" x14ac:dyDescent="0.25">
      <c r="A252" s="5"/>
      <c r="B252" s="5"/>
      <c r="C252" s="5"/>
      <c r="D252" s="5"/>
      <c r="E252" s="5"/>
      <c r="F252" s="5"/>
      <c r="G252" s="2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5.75" customHeight="1" x14ac:dyDescent="0.25">
      <c r="A253" s="5"/>
      <c r="B253" s="5"/>
      <c r="C253" s="5"/>
      <c r="D253" s="5"/>
      <c r="E253" s="5"/>
      <c r="F253" s="5"/>
      <c r="G253" s="2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5.75" customHeight="1" x14ac:dyDescent="0.25">
      <c r="A254" s="5"/>
      <c r="B254" s="5"/>
      <c r="C254" s="5"/>
      <c r="D254" s="5"/>
      <c r="E254" s="5"/>
      <c r="F254" s="5"/>
      <c r="G254" s="2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5.75" customHeight="1" x14ac:dyDescent="0.25">
      <c r="A255" s="5"/>
      <c r="B255" s="5"/>
      <c r="C255" s="5"/>
      <c r="D255" s="5"/>
      <c r="E255" s="5"/>
      <c r="F255" s="5"/>
      <c r="G255" s="2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5.75" customHeight="1" x14ac:dyDescent="0.25">
      <c r="A256" s="5"/>
      <c r="B256" s="5"/>
      <c r="C256" s="5"/>
      <c r="D256" s="5"/>
      <c r="E256" s="5"/>
      <c r="F256" s="5"/>
      <c r="G256" s="2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5.75" customHeight="1" x14ac:dyDescent="0.25">
      <c r="A257" s="5"/>
      <c r="B257" s="5"/>
      <c r="C257" s="5"/>
      <c r="D257" s="5"/>
      <c r="E257" s="5"/>
      <c r="F257" s="5"/>
      <c r="G257" s="2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5.75" customHeight="1" x14ac:dyDescent="0.25">
      <c r="A258" s="5"/>
      <c r="B258" s="5"/>
      <c r="C258" s="5"/>
      <c r="D258" s="5"/>
      <c r="E258" s="5"/>
      <c r="F258" s="5"/>
      <c r="G258" s="2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5.75" customHeight="1" x14ac:dyDescent="0.25">
      <c r="A259" s="5"/>
      <c r="B259" s="5"/>
      <c r="C259" s="5"/>
      <c r="D259" s="5"/>
      <c r="E259" s="5"/>
      <c r="F259" s="5"/>
      <c r="G259" s="2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5.75" customHeight="1" x14ac:dyDescent="0.25">
      <c r="A260" s="5"/>
      <c r="B260" s="5"/>
      <c r="C260" s="5"/>
      <c r="D260" s="5"/>
      <c r="E260" s="5"/>
      <c r="F260" s="5"/>
      <c r="G260" s="2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5.75" customHeight="1" x14ac:dyDescent="0.25">
      <c r="A261" s="5"/>
      <c r="B261" s="5"/>
      <c r="C261" s="5"/>
      <c r="D261" s="5"/>
      <c r="E261" s="5"/>
      <c r="F261" s="5"/>
      <c r="G261" s="2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5.75" customHeight="1" x14ac:dyDescent="0.25">
      <c r="A262" s="5"/>
      <c r="B262" s="5"/>
      <c r="C262" s="5"/>
      <c r="D262" s="5"/>
      <c r="E262" s="5"/>
      <c r="F262" s="5"/>
      <c r="G262" s="2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5.75" customHeight="1" x14ac:dyDescent="0.25">
      <c r="A263" s="5"/>
      <c r="B263" s="5"/>
      <c r="C263" s="5"/>
      <c r="D263" s="5"/>
      <c r="E263" s="5"/>
      <c r="F263" s="5"/>
      <c r="G263" s="2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5.75" customHeight="1" x14ac:dyDescent="0.25">
      <c r="A264" s="5"/>
      <c r="B264" s="5"/>
      <c r="C264" s="5"/>
      <c r="D264" s="5"/>
      <c r="E264" s="5"/>
      <c r="F264" s="5"/>
      <c r="G264" s="2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5.75" customHeight="1" x14ac:dyDescent="0.25">
      <c r="A265" s="5"/>
      <c r="B265" s="5"/>
      <c r="C265" s="5"/>
      <c r="D265" s="5"/>
      <c r="E265" s="5"/>
      <c r="F265" s="5"/>
      <c r="G265" s="2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5.75" customHeight="1" x14ac:dyDescent="0.25">
      <c r="A266" s="5"/>
      <c r="B266" s="5"/>
      <c r="C266" s="5"/>
      <c r="D266" s="5"/>
      <c r="E266" s="5"/>
      <c r="F266" s="5"/>
      <c r="G266" s="2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5.75" customHeight="1" x14ac:dyDescent="0.25">
      <c r="A267" s="5"/>
      <c r="B267" s="5"/>
      <c r="C267" s="5"/>
      <c r="D267" s="5"/>
      <c r="E267" s="5"/>
      <c r="F267" s="5"/>
      <c r="G267" s="2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5.75" customHeight="1" x14ac:dyDescent="0.25">
      <c r="A268" s="5"/>
      <c r="B268" s="5"/>
      <c r="C268" s="5"/>
      <c r="D268" s="5"/>
      <c r="E268" s="5"/>
      <c r="F268" s="5"/>
      <c r="G268" s="2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5.75" customHeight="1" x14ac:dyDescent="0.25">
      <c r="A269" s="5"/>
      <c r="B269" s="5"/>
      <c r="C269" s="5"/>
      <c r="D269" s="5"/>
      <c r="E269" s="5"/>
      <c r="F269" s="5"/>
      <c r="G269" s="2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5.75" customHeight="1" x14ac:dyDescent="0.25">
      <c r="A270" s="5"/>
      <c r="B270" s="5"/>
      <c r="C270" s="5"/>
      <c r="D270" s="5"/>
      <c r="E270" s="5"/>
      <c r="F270" s="5"/>
      <c r="G270" s="2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5.75" customHeight="1" x14ac:dyDescent="0.25">
      <c r="A271" s="5"/>
      <c r="B271" s="5"/>
      <c r="C271" s="5"/>
      <c r="D271" s="5"/>
      <c r="E271" s="5"/>
      <c r="F271" s="5"/>
      <c r="G271" s="2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5.75" customHeight="1" x14ac:dyDescent="0.25">
      <c r="A272" s="5"/>
      <c r="B272" s="5"/>
      <c r="C272" s="5"/>
      <c r="D272" s="5"/>
      <c r="E272" s="5"/>
      <c r="F272" s="5"/>
      <c r="G272" s="2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5.75" customHeight="1" x14ac:dyDescent="0.25">
      <c r="A273" s="5"/>
      <c r="B273" s="5"/>
      <c r="C273" s="5"/>
      <c r="D273" s="5"/>
      <c r="E273" s="5"/>
      <c r="F273" s="5"/>
      <c r="G273" s="2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5.75" customHeight="1" x14ac:dyDescent="0.25">
      <c r="A274" s="5"/>
      <c r="B274" s="5"/>
      <c r="C274" s="5"/>
      <c r="D274" s="5"/>
      <c r="E274" s="5"/>
      <c r="F274" s="5"/>
      <c r="G274" s="2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5.75" customHeight="1" x14ac:dyDescent="0.25">
      <c r="A275" s="5"/>
      <c r="B275" s="5"/>
      <c r="C275" s="5"/>
      <c r="D275" s="5"/>
      <c r="E275" s="5"/>
      <c r="F275" s="5"/>
      <c r="G275" s="2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5.75" customHeight="1" x14ac:dyDescent="0.25">
      <c r="A276" s="5"/>
      <c r="B276" s="5"/>
      <c r="C276" s="5"/>
      <c r="D276" s="5"/>
      <c r="E276" s="5"/>
      <c r="F276" s="5"/>
      <c r="G276" s="2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5.75" customHeight="1" x14ac:dyDescent="0.25">
      <c r="A277" s="5"/>
      <c r="B277" s="5"/>
      <c r="C277" s="5"/>
      <c r="D277" s="5"/>
      <c r="E277" s="5"/>
      <c r="F277" s="5"/>
      <c r="G277" s="2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5.75" customHeight="1" x14ac:dyDescent="0.25">
      <c r="A278" s="5"/>
      <c r="B278" s="5"/>
      <c r="C278" s="5"/>
      <c r="D278" s="5"/>
      <c r="E278" s="5"/>
      <c r="F278" s="5"/>
      <c r="G278" s="2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5.75" customHeight="1" x14ac:dyDescent="0.25">
      <c r="A279" s="5"/>
      <c r="B279" s="5"/>
      <c r="C279" s="5"/>
      <c r="D279" s="5"/>
      <c r="E279" s="5"/>
      <c r="F279" s="5"/>
      <c r="G279" s="2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5.75" customHeight="1" x14ac:dyDescent="0.25">
      <c r="A280" s="5"/>
      <c r="B280" s="5"/>
      <c r="C280" s="5"/>
      <c r="D280" s="5"/>
      <c r="E280" s="5"/>
      <c r="F280" s="5"/>
      <c r="G280" s="2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5.75" customHeight="1" x14ac:dyDescent="0.25">
      <c r="A281" s="5"/>
      <c r="B281" s="5"/>
      <c r="C281" s="5"/>
      <c r="D281" s="5"/>
      <c r="E281" s="5"/>
      <c r="F281" s="5"/>
      <c r="G281" s="2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5.75" customHeight="1" x14ac:dyDescent="0.25">
      <c r="A282" s="5"/>
      <c r="B282" s="5"/>
      <c r="C282" s="5"/>
      <c r="D282" s="5"/>
      <c r="E282" s="5"/>
      <c r="F282" s="5"/>
      <c r="G282" s="2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5.75" customHeight="1" x14ac:dyDescent="0.25">
      <c r="A283" s="5"/>
      <c r="B283" s="5"/>
      <c r="C283" s="5"/>
      <c r="D283" s="5"/>
      <c r="E283" s="5"/>
      <c r="F283" s="5"/>
      <c r="G283" s="2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5.75" customHeight="1" x14ac:dyDescent="0.25">
      <c r="A284" s="5"/>
      <c r="B284" s="5"/>
      <c r="C284" s="5"/>
      <c r="D284" s="5"/>
      <c r="E284" s="5"/>
      <c r="F284" s="5"/>
      <c r="G284" s="2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5.75" customHeight="1" x14ac:dyDescent="0.25">
      <c r="A285" s="5"/>
      <c r="B285" s="5"/>
      <c r="C285" s="5"/>
      <c r="D285" s="5"/>
      <c r="E285" s="5"/>
      <c r="F285" s="5"/>
      <c r="G285" s="2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5.75" customHeight="1" x14ac:dyDescent="0.25">
      <c r="A286" s="5"/>
      <c r="B286" s="5"/>
      <c r="C286" s="5"/>
      <c r="D286" s="5"/>
      <c r="E286" s="5"/>
      <c r="F286" s="5"/>
      <c r="G286" s="2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5.75" customHeight="1" x14ac:dyDescent="0.25">
      <c r="A287" s="5"/>
      <c r="B287" s="5"/>
      <c r="C287" s="5"/>
      <c r="D287" s="5"/>
      <c r="E287" s="5"/>
      <c r="F287" s="5"/>
      <c r="G287" s="2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5.75" customHeight="1" x14ac:dyDescent="0.25">
      <c r="A288" s="5"/>
      <c r="B288" s="5"/>
      <c r="C288" s="5"/>
      <c r="D288" s="5"/>
      <c r="E288" s="5"/>
      <c r="F288" s="5"/>
      <c r="G288" s="2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5.75" customHeight="1" x14ac:dyDescent="0.25">
      <c r="A289" s="5"/>
      <c r="B289" s="5"/>
      <c r="C289" s="5"/>
      <c r="D289" s="5"/>
      <c r="E289" s="5"/>
      <c r="F289" s="5"/>
      <c r="G289" s="2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5.75" customHeight="1" x14ac:dyDescent="0.25">
      <c r="A290" s="5"/>
      <c r="B290" s="5"/>
      <c r="C290" s="5"/>
      <c r="D290" s="5"/>
      <c r="E290" s="5"/>
      <c r="F290" s="5"/>
      <c r="G290" s="2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5.75" customHeight="1" x14ac:dyDescent="0.25">
      <c r="A291" s="5"/>
      <c r="B291" s="5"/>
      <c r="C291" s="5"/>
      <c r="D291" s="5"/>
      <c r="E291" s="5"/>
      <c r="F291" s="5"/>
      <c r="G291" s="2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5.75" customHeight="1" x14ac:dyDescent="0.25">
      <c r="A292" s="5"/>
      <c r="B292" s="5"/>
      <c r="C292" s="5"/>
      <c r="D292" s="5"/>
      <c r="E292" s="5"/>
      <c r="F292" s="5"/>
      <c r="G292" s="2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5.75" customHeight="1" x14ac:dyDescent="0.25">
      <c r="A293" s="5"/>
      <c r="B293" s="5"/>
      <c r="C293" s="5"/>
      <c r="D293" s="5"/>
      <c r="E293" s="5"/>
      <c r="F293" s="5"/>
      <c r="G293" s="2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5.75" customHeight="1" x14ac:dyDescent="0.25">
      <c r="A294" s="5"/>
      <c r="B294" s="5"/>
      <c r="C294" s="5"/>
      <c r="D294" s="5"/>
      <c r="E294" s="5"/>
      <c r="F294" s="5"/>
      <c r="G294" s="2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5.75" customHeight="1" x14ac:dyDescent="0.25">
      <c r="A295" s="5"/>
      <c r="B295" s="5"/>
      <c r="C295" s="5"/>
      <c r="D295" s="5"/>
      <c r="E295" s="5"/>
      <c r="F295" s="5"/>
      <c r="G295" s="2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5.75" customHeight="1" x14ac:dyDescent="0.25">
      <c r="A296" s="5"/>
      <c r="B296" s="5"/>
      <c r="C296" s="5"/>
      <c r="D296" s="5"/>
      <c r="E296" s="5"/>
      <c r="F296" s="5"/>
      <c r="G296" s="2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5.75" customHeight="1" x14ac:dyDescent="0.25">
      <c r="A297" s="5"/>
      <c r="B297" s="5"/>
      <c r="C297" s="5"/>
      <c r="D297" s="5"/>
      <c r="E297" s="5"/>
      <c r="F297" s="5"/>
      <c r="G297" s="2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5.75" customHeight="1" x14ac:dyDescent="0.25">
      <c r="A298" s="5"/>
      <c r="B298" s="5"/>
      <c r="C298" s="5"/>
      <c r="D298" s="5"/>
      <c r="E298" s="5"/>
      <c r="F298" s="5"/>
      <c r="G298" s="2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5.75" customHeight="1" x14ac:dyDescent="0.25">
      <c r="A299" s="5"/>
      <c r="B299" s="5"/>
      <c r="C299" s="5"/>
      <c r="D299" s="5"/>
      <c r="E299" s="5"/>
      <c r="F299" s="5"/>
      <c r="G299" s="2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5.75" customHeight="1" x14ac:dyDescent="0.25">
      <c r="A300" s="5"/>
      <c r="B300" s="5"/>
      <c r="C300" s="5"/>
      <c r="D300" s="5"/>
      <c r="E300" s="5"/>
      <c r="F300" s="5"/>
      <c r="G300" s="2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5.75" customHeight="1" x14ac:dyDescent="0.25">
      <c r="A301" s="5"/>
      <c r="B301" s="5"/>
      <c r="C301" s="5"/>
      <c r="D301" s="5"/>
      <c r="E301" s="5"/>
      <c r="F301" s="5"/>
      <c r="G301" s="2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5.75" customHeight="1" x14ac:dyDescent="0.25">
      <c r="A302" s="5"/>
      <c r="B302" s="5"/>
      <c r="C302" s="5"/>
      <c r="D302" s="5"/>
      <c r="E302" s="5"/>
      <c r="F302" s="5"/>
      <c r="G302" s="2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5.75" customHeight="1" x14ac:dyDescent="0.25">
      <c r="A303" s="5"/>
      <c r="B303" s="5"/>
      <c r="C303" s="5"/>
      <c r="D303" s="5"/>
      <c r="E303" s="5"/>
      <c r="F303" s="5"/>
      <c r="G303" s="2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5.75" customHeight="1" x14ac:dyDescent="0.25">
      <c r="A304" s="5"/>
      <c r="B304" s="5"/>
      <c r="C304" s="5"/>
      <c r="D304" s="5"/>
      <c r="E304" s="5"/>
      <c r="F304" s="5"/>
      <c r="G304" s="2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5.75" customHeight="1" x14ac:dyDescent="0.25">
      <c r="A305" s="5"/>
      <c r="B305" s="5"/>
      <c r="C305" s="5"/>
      <c r="D305" s="5"/>
      <c r="E305" s="5"/>
      <c r="F305" s="5"/>
      <c r="G305" s="2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5.75" customHeight="1" x14ac:dyDescent="0.25">
      <c r="A306" s="5"/>
      <c r="B306" s="5"/>
      <c r="C306" s="5"/>
      <c r="D306" s="5"/>
      <c r="E306" s="5"/>
      <c r="F306" s="5"/>
      <c r="G306" s="2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5.75" customHeight="1" x14ac:dyDescent="0.25">
      <c r="A307" s="5"/>
      <c r="B307" s="5"/>
      <c r="C307" s="5"/>
      <c r="D307" s="5"/>
      <c r="E307" s="5"/>
      <c r="F307" s="5"/>
      <c r="G307" s="2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5.75" customHeight="1" x14ac:dyDescent="0.25">
      <c r="A308" s="5"/>
      <c r="B308" s="5"/>
      <c r="C308" s="5"/>
      <c r="D308" s="5"/>
      <c r="E308" s="5"/>
      <c r="F308" s="5"/>
      <c r="G308" s="2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5.75" customHeight="1" x14ac:dyDescent="0.25">
      <c r="A309" s="5"/>
      <c r="B309" s="5"/>
      <c r="C309" s="5"/>
      <c r="D309" s="5"/>
      <c r="E309" s="5"/>
      <c r="F309" s="5"/>
      <c r="G309" s="2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5.75" customHeight="1" x14ac:dyDescent="0.25">
      <c r="A310" s="5"/>
      <c r="B310" s="5"/>
      <c r="C310" s="5"/>
      <c r="D310" s="5"/>
      <c r="E310" s="5"/>
      <c r="F310" s="5"/>
      <c r="G310" s="2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5.75" customHeight="1" x14ac:dyDescent="0.25">
      <c r="A311" s="5"/>
      <c r="B311" s="5"/>
      <c r="C311" s="5"/>
      <c r="D311" s="5"/>
      <c r="E311" s="5"/>
      <c r="F311" s="5"/>
      <c r="G311" s="2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5.75" customHeight="1" x14ac:dyDescent="0.25">
      <c r="A312" s="5"/>
      <c r="B312" s="5"/>
      <c r="C312" s="5"/>
      <c r="D312" s="5"/>
      <c r="E312" s="5"/>
      <c r="F312" s="5"/>
      <c r="G312" s="2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5.75" customHeight="1" x14ac:dyDescent="0.25">
      <c r="A313" s="5"/>
      <c r="B313" s="5"/>
      <c r="C313" s="5"/>
      <c r="D313" s="5"/>
      <c r="E313" s="5"/>
      <c r="F313" s="5"/>
      <c r="G313" s="2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5.75" customHeight="1" x14ac:dyDescent="0.25">
      <c r="A314" s="5"/>
      <c r="B314" s="5"/>
      <c r="C314" s="5"/>
      <c r="D314" s="5"/>
      <c r="E314" s="5"/>
      <c r="F314" s="5"/>
      <c r="G314" s="2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5.75" customHeight="1" x14ac:dyDescent="0.25">
      <c r="A315" s="5"/>
      <c r="B315" s="5"/>
      <c r="C315" s="5"/>
      <c r="D315" s="5"/>
      <c r="E315" s="5"/>
      <c r="F315" s="5"/>
      <c r="G315" s="2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5.75" customHeight="1" x14ac:dyDescent="0.25">
      <c r="A316" s="5"/>
      <c r="B316" s="5"/>
      <c r="C316" s="5"/>
      <c r="D316" s="5"/>
      <c r="E316" s="5"/>
      <c r="F316" s="5"/>
      <c r="G316" s="2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5.75" customHeight="1" x14ac:dyDescent="0.25">
      <c r="A317" s="5"/>
      <c r="B317" s="5"/>
      <c r="C317" s="5"/>
      <c r="D317" s="5"/>
      <c r="E317" s="5"/>
      <c r="F317" s="5"/>
      <c r="G317" s="2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5.75" customHeight="1" x14ac:dyDescent="0.25">
      <c r="A318" s="5"/>
      <c r="B318" s="5"/>
      <c r="C318" s="5"/>
      <c r="D318" s="5"/>
      <c r="E318" s="5"/>
      <c r="F318" s="5"/>
      <c r="G318" s="2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5.75" customHeight="1" x14ac:dyDescent="0.25">
      <c r="A319" s="5"/>
      <c r="B319" s="5"/>
      <c r="C319" s="5"/>
      <c r="D319" s="5"/>
      <c r="E319" s="5"/>
      <c r="F319" s="5"/>
      <c r="G319" s="2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5.75" customHeight="1" x14ac:dyDescent="0.25">
      <c r="A320" s="5"/>
      <c r="B320" s="5"/>
      <c r="C320" s="5"/>
      <c r="D320" s="5"/>
      <c r="E320" s="5"/>
      <c r="F320" s="5"/>
      <c r="G320" s="2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5.75" customHeight="1" x14ac:dyDescent="0.25">
      <c r="A321" s="5"/>
      <c r="B321" s="5"/>
      <c r="C321" s="5"/>
      <c r="D321" s="5"/>
      <c r="E321" s="5"/>
      <c r="F321" s="5"/>
      <c r="G321" s="2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5.75" customHeight="1" x14ac:dyDescent="0.25">
      <c r="A322" s="5"/>
      <c r="B322" s="5"/>
      <c r="C322" s="5"/>
      <c r="D322" s="5"/>
      <c r="E322" s="5"/>
      <c r="F322" s="5"/>
      <c r="G322" s="2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5.75" customHeight="1" x14ac:dyDescent="0.25">
      <c r="A323" s="5"/>
      <c r="B323" s="5"/>
      <c r="C323" s="5"/>
      <c r="D323" s="5"/>
      <c r="E323" s="5"/>
      <c r="F323" s="5"/>
      <c r="G323" s="2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5.75" customHeight="1" x14ac:dyDescent="0.25">
      <c r="A324" s="5"/>
      <c r="B324" s="5"/>
      <c r="C324" s="5"/>
      <c r="D324" s="5"/>
      <c r="E324" s="5"/>
      <c r="F324" s="5"/>
      <c r="G324" s="2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5.75" customHeight="1" x14ac:dyDescent="0.25">
      <c r="A325" s="5"/>
      <c r="B325" s="5"/>
      <c r="C325" s="5"/>
      <c r="D325" s="5"/>
      <c r="E325" s="5"/>
      <c r="F325" s="5"/>
      <c r="G325" s="2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5.75" customHeight="1" x14ac:dyDescent="0.25">
      <c r="A326" s="5"/>
      <c r="B326" s="5"/>
      <c r="C326" s="5"/>
      <c r="D326" s="5"/>
      <c r="E326" s="5"/>
      <c r="F326" s="5"/>
      <c r="G326" s="2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5.75" customHeight="1" x14ac:dyDescent="0.25">
      <c r="A327" s="5"/>
      <c r="B327" s="5"/>
      <c r="C327" s="5"/>
      <c r="D327" s="5"/>
      <c r="E327" s="5"/>
      <c r="F327" s="5"/>
      <c r="G327" s="2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5.75" customHeight="1" x14ac:dyDescent="0.25">
      <c r="A328" s="5"/>
      <c r="B328" s="5"/>
      <c r="C328" s="5"/>
      <c r="D328" s="5"/>
      <c r="E328" s="5"/>
      <c r="F328" s="5"/>
      <c r="G328" s="2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5.75" customHeight="1" x14ac:dyDescent="0.25">
      <c r="A329" s="5"/>
      <c r="B329" s="5"/>
      <c r="C329" s="5"/>
      <c r="D329" s="5"/>
      <c r="E329" s="5"/>
      <c r="F329" s="5"/>
      <c r="G329" s="2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5.75" customHeight="1" x14ac:dyDescent="0.25">
      <c r="A330" s="5"/>
      <c r="B330" s="5"/>
      <c r="C330" s="5"/>
      <c r="D330" s="5"/>
      <c r="E330" s="5"/>
      <c r="F330" s="5"/>
      <c r="G330" s="2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5.75" customHeight="1" x14ac:dyDescent="0.25">
      <c r="A331" s="5"/>
      <c r="B331" s="5"/>
      <c r="C331" s="5"/>
      <c r="D331" s="5"/>
      <c r="E331" s="5"/>
      <c r="F331" s="5"/>
      <c r="G331" s="2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5.75" customHeight="1" x14ac:dyDescent="0.25">
      <c r="A332" s="5"/>
      <c r="B332" s="5"/>
      <c r="C332" s="5"/>
      <c r="D332" s="5"/>
      <c r="E332" s="5"/>
      <c r="F332" s="5"/>
      <c r="G332" s="2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5.75" customHeight="1" x14ac:dyDescent="0.25">
      <c r="A333" s="5"/>
      <c r="B333" s="5"/>
      <c r="C333" s="5"/>
      <c r="D333" s="5"/>
      <c r="E333" s="5"/>
      <c r="F333" s="5"/>
      <c r="G333" s="2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5.75" customHeight="1" x14ac:dyDescent="0.25">
      <c r="A334" s="5"/>
      <c r="B334" s="5"/>
      <c r="C334" s="5"/>
      <c r="D334" s="5"/>
      <c r="E334" s="5"/>
      <c r="F334" s="5"/>
      <c r="G334" s="2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5.75" customHeight="1" x14ac:dyDescent="0.25">
      <c r="A335" s="5"/>
      <c r="B335" s="5"/>
      <c r="C335" s="5"/>
      <c r="D335" s="5"/>
      <c r="E335" s="5"/>
      <c r="F335" s="5"/>
      <c r="G335" s="2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5.75" customHeight="1" x14ac:dyDescent="0.25">
      <c r="A336" s="5"/>
      <c r="B336" s="5"/>
      <c r="C336" s="5"/>
      <c r="D336" s="5"/>
      <c r="E336" s="5"/>
      <c r="F336" s="5"/>
      <c r="G336" s="2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5.75" customHeight="1" x14ac:dyDescent="0.25">
      <c r="A337" s="5"/>
      <c r="B337" s="5"/>
      <c r="C337" s="5"/>
      <c r="D337" s="5"/>
      <c r="E337" s="5"/>
      <c r="F337" s="5"/>
      <c r="G337" s="2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5.75" customHeight="1" x14ac:dyDescent="0.25">
      <c r="A338" s="5"/>
      <c r="B338" s="5"/>
      <c r="C338" s="5"/>
      <c r="D338" s="5"/>
      <c r="E338" s="5"/>
      <c r="F338" s="5"/>
      <c r="G338" s="2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5.75" customHeight="1" x14ac:dyDescent="0.25">
      <c r="A339" s="5"/>
      <c r="B339" s="5"/>
      <c r="C339" s="5"/>
      <c r="D339" s="5"/>
      <c r="E339" s="5"/>
      <c r="F339" s="5"/>
      <c r="G339" s="2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5.75" customHeight="1" x14ac:dyDescent="0.25">
      <c r="A340" s="5"/>
      <c r="B340" s="5"/>
      <c r="C340" s="5"/>
      <c r="D340" s="5"/>
      <c r="E340" s="5"/>
      <c r="F340" s="5"/>
      <c r="G340" s="2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5.75" customHeight="1" x14ac:dyDescent="0.25">
      <c r="A341" s="5"/>
      <c r="B341" s="5"/>
      <c r="C341" s="5"/>
      <c r="D341" s="5"/>
      <c r="E341" s="5"/>
      <c r="F341" s="5"/>
      <c r="G341" s="2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5.75" customHeight="1" x14ac:dyDescent="0.25">
      <c r="A342" s="5"/>
      <c r="B342" s="5"/>
      <c r="C342" s="5"/>
      <c r="D342" s="5"/>
      <c r="E342" s="5"/>
      <c r="F342" s="5"/>
      <c r="G342" s="2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5.75" customHeight="1" x14ac:dyDescent="0.25">
      <c r="A343" s="5"/>
      <c r="B343" s="5"/>
      <c r="C343" s="5"/>
      <c r="D343" s="5"/>
      <c r="E343" s="5"/>
      <c r="F343" s="5"/>
      <c r="G343" s="2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5.75" customHeight="1" x14ac:dyDescent="0.25">
      <c r="A344" s="5"/>
      <c r="B344" s="5"/>
      <c r="C344" s="5"/>
      <c r="D344" s="5"/>
      <c r="E344" s="5"/>
      <c r="F344" s="5"/>
      <c r="G344" s="2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5.75" customHeight="1" x14ac:dyDescent="0.25">
      <c r="A345" s="5"/>
      <c r="B345" s="5"/>
      <c r="C345" s="5"/>
      <c r="D345" s="5"/>
      <c r="E345" s="5"/>
      <c r="F345" s="5"/>
      <c r="G345" s="2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5.75" customHeight="1" x14ac:dyDescent="0.25">
      <c r="A346" s="5"/>
      <c r="B346" s="5"/>
      <c r="C346" s="5"/>
      <c r="D346" s="5"/>
      <c r="E346" s="5"/>
      <c r="F346" s="5"/>
      <c r="G346" s="2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5.75" customHeight="1" x14ac:dyDescent="0.25">
      <c r="A347" s="5"/>
      <c r="B347" s="5"/>
      <c r="C347" s="5"/>
      <c r="D347" s="5"/>
      <c r="E347" s="5"/>
      <c r="F347" s="5"/>
      <c r="G347" s="2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5.75" customHeight="1" x14ac:dyDescent="0.25">
      <c r="A348" s="5"/>
      <c r="B348" s="5"/>
      <c r="C348" s="5"/>
      <c r="D348" s="5"/>
      <c r="E348" s="5"/>
      <c r="F348" s="5"/>
      <c r="G348" s="2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5.75" customHeight="1" x14ac:dyDescent="0.25">
      <c r="A349" s="5"/>
      <c r="B349" s="5"/>
      <c r="C349" s="5"/>
      <c r="D349" s="5"/>
      <c r="E349" s="5"/>
      <c r="F349" s="5"/>
      <c r="G349" s="2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5.75" customHeight="1" x14ac:dyDescent="0.25">
      <c r="A350" s="5"/>
      <c r="B350" s="5"/>
      <c r="C350" s="5"/>
      <c r="D350" s="5"/>
      <c r="E350" s="5"/>
      <c r="F350" s="5"/>
      <c r="G350" s="2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5.75" customHeight="1" x14ac:dyDescent="0.25">
      <c r="A351" s="5"/>
      <c r="B351" s="5"/>
      <c r="C351" s="5"/>
      <c r="D351" s="5"/>
      <c r="E351" s="5"/>
      <c r="F351" s="5"/>
      <c r="G351" s="2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5.75" customHeight="1" x14ac:dyDescent="0.25">
      <c r="A352" s="5"/>
      <c r="B352" s="5"/>
      <c r="C352" s="5"/>
      <c r="D352" s="5"/>
      <c r="E352" s="5"/>
      <c r="F352" s="5"/>
      <c r="G352" s="2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5.75" customHeight="1" x14ac:dyDescent="0.25">
      <c r="A353" s="5"/>
      <c r="B353" s="5"/>
      <c r="C353" s="5"/>
      <c r="D353" s="5"/>
      <c r="E353" s="5"/>
      <c r="F353" s="5"/>
      <c r="G353" s="2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5.75" customHeight="1" x14ac:dyDescent="0.25">
      <c r="A354" s="5"/>
      <c r="B354" s="5"/>
      <c r="C354" s="5"/>
      <c r="D354" s="5"/>
      <c r="E354" s="5"/>
      <c r="F354" s="5"/>
      <c r="G354" s="2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5.75" customHeight="1" x14ac:dyDescent="0.25">
      <c r="A355" s="5"/>
      <c r="B355" s="5"/>
      <c r="C355" s="5"/>
      <c r="D355" s="5"/>
      <c r="E355" s="5"/>
      <c r="F355" s="5"/>
      <c r="G355" s="2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5.75" customHeight="1" x14ac:dyDescent="0.25">
      <c r="A356" s="5"/>
      <c r="B356" s="5"/>
      <c r="C356" s="5"/>
      <c r="D356" s="5"/>
      <c r="E356" s="5"/>
      <c r="F356" s="5"/>
      <c r="G356" s="2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5.75" customHeight="1" x14ac:dyDescent="0.25">
      <c r="A357" s="5"/>
      <c r="B357" s="5"/>
      <c r="C357" s="5"/>
      <c r="D357" s="5"/>
      <c r="E357" s="5"/>
      <c r="F357" s="5"/>
      <c r="G357" s="2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5.75" customHeight="1" x14ac:dyDescent="0.25">
      <c r="A358" s="5"/>
      <c r="B358" s="5"/>
      <c r="C358" s="5"/>
      <c r="D358" s="5"/>
      <c r="E358" s="5"/>
      <c r="F358" s="5"/>
      <c r="G358" s="2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5.75" customHeight="1" x14ac:dyDescent="0.25">
      <c r="A359" s="5"/>
      <c r="B359" s="5"/>
      <c r="C359" s="5"/>
      <c r="D359" s="5"/>
      <c r="E359" s="5"/>
      <c r="F359" s="5"/>
      <c r="G359" s="2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5.75" customHeight="1" x14ac:dyDescent="0.25">
      <c r="A360" s="5"/>
      <c r="B360" s="5"/>
      <c r="C360" s="5"/>
      <c r="D360" s="5"/>
      <c r="E360" s="5"/>
      <c r="F360" s="5"/>
      <c r="G360" s="2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5.75" customHeight="1" x14ac:dyDescent="0.25">
      <c r="A361" s="5"/>
      <c r="B361" s="5"/>
      <c r="C361" s="5"/>
      <c r="D361" s="5"/>
      <c r="E361" s="5"/>
      <c r="F361" s="5"/>
      <c r="G361" s="2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5.75" customHeight="1" x14ac:dyDescent="0.25">
      <c r="A362" s="5"/>
      <c r="B362" s="5"/>
      <c r="C362" s="5"/>
      <c r="D362" s="5"/>
      <c r="E362" s="5"/>
      <c r="F362" s="5"/>
      <c r="G362" s="2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 x14ac:dyDescent="0.25">
      <c r="A363" s="5"/>
      <c r="B363" s="5"/>
      <c r="C363" s="5"/>
      <c r="D363" s="5"/>
      <c r="E363" s="5"/>
      <c r="F363" s="5"/>
      <c r="G363" s="2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5.75" customHeight="1" x14ac:dyDescent="0.25">
      <c r="A364" s="5"/>
      <c r="B364" s="5"/>
      <c r="C364" s="5"/>
      <c r="D364" s="5"/>
      <c r="E364" s="5"/>
      <c r="F364" s="5"/>
      <c r="G364" s="2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5.75" customHeight="1" x14ac:dyDescent="0.25">
      <c r="A365" s="5"/>
      <c r="B365" s="5"/>
      <c r="C365" s="5"/>
      <c r="D365" s="5"/>
      <c r="E365" s="5"/>
      <c r="F365" s="5"/>
      <c r="G365" s="2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5.75" customHeight="1" x14ac:dyDescent="0.25">
      <c r="A366" s="5"/>
      <c r="B366" s="5"/>
      <c r="C366" s="5"/>
      <c r="D366" s="5"/>
      <c r="E366" s="5"/>
      <c r="F366" s="5"/>
      <c r="G366" s="2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5.75" customHeight="1" x14ac:dyDescent="0.25">
      <c r="A367" s="5"/>
      <c r="B367" s="5"/>
      <c r="C367" s="5"/>
      <c r="D367" s="5"/>
      <c r="E367" s="5"/>
      <c r="F367" s="5"/>
      <c r="G367" s="2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5.75" customHeight="1" x14ac:dyDescent="0.25">
      <c r="A368" s="5"/>
      <c r="B368" s="5"/>
      <c r="C368" s="5"/>
      <c r="D368" s="5"/>
      <c r="E368" s="5"/>
      <c r="F368" s="5"/>
      <c r="G368" s="2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5.75" customHeight="1" x14ac:dyDescent="0.25">
      <c r="A369" s="5"/>
      <c r="B369" s="5"/>
      <c r="C369" s="5"/>
      <c r="D369" s="5"/>
      <c r="E369" s="5"/>
      <c r="F369" s="5"/>
      <c r="G369" s="2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5.75" customHeight="1" x14ac:dyDescent="0.25">
      <c r="A370" s="5"/>
      <c r="B370" s="5"/>
      <c r="C370" s="5"/>
      <c r="D370" s="5"/>
      <c r="E370" s="5"/>
      <c r="F370" s="5"/>
      <c r="G370" s="2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5.75" customHeight="1" x14ac:dyDescent="0.25">
      <c r="A371" s="5"/>
      <c r="B371" s="5"/>
      <c r="C371" s="5"/>
      <c r="D371" s="5"/>
      <c r="E371" s="5"/>
      <c r="F371" s="5"/>
      <c r="G371" s="2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5.75" customHeight="1" x14ac:dyDescent="0.25">
      <c r="A372" s="5"/>
      <c r="B372" s="5"/>
      <c r="C372" s="5"/>
      <c r="D372" s="5"/>
      <c r="E372" s="5"/>
      <c r="F372" s="5"/>
      <c r="G372" s="2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5.75" customHeight="1" x14ac:dyDescent="0.25">
      <c r="A373" s="5"/>
      <c r="B373" s="5"/>
      <c r="C373" s="5"/>
      <c r="D373" s="5"/>
      <c r="E373" s="5"/>
      <c r="F373" s="5"/>
      <c r="G373" s="2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5.75" customHeight="1" x14ac:dyDescent="0.25">
      <c r="A374" s="5"/>
      <c r="B374" s="5"/>
      <c r="C374" s="5"/>
      <c r="D374" s="5"/>
      <c r="E374" s="5"/>
      <c r="F374" s="5"/>
      <c r="G374" s="2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5.75" customHeight="1" x14ac:dyDescent="0.25">
      <c r="A375" s="5"/>
      <c r="B375" s="5"/>
      <c r="C375" s="5"/>
      <c r="D375" s="5"/>
      <c r="E375" s="5"/>
      <c r="F375" s="5"/>
      <c r="G375" s="2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5.75" customHeight="1" x14ac:dyDescent="0.25">
      <c r="A376" s="5"/>
      <c r="B376" s="5"/>
      <c r="C376" s="5"/>
      <c r="D376" s="5"/>
      <c r="E376" s="5"/>
      <c r="F376" s="5"/>
      <c r="G376" s="2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5.75" customHeight="1" x14ac:dyDescent="0.25">
      <c r="A377" s="5"/>
      <c r="B377" s="5"/>
      <c r="C377" s="5"/>
      <c r="D377" s="5"/>
      <c r="E377" s="5"/>
      <c r="F377" s="5"/>
      <c r="G377" s="2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5.75" customHeight="1" x14ac:dyDescent="0.25">
      <c r="A378" s="5"/>
      <c r="B378" s="5"/>
      <c r="C378" s="5"/>
      <c r="D378" s="5"/>
      <c r="E378" s="5"/>
      <c r="F378" s="5"/>
      <c r="G378" s="2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5.75" customHeight="1" x14ac:dyDescent="0.25">
      <c r="A379" s="5"/>
      <c r="B379" s="5"/>
      <c r="C379" s="5"/>
      <c r="D379" s="5"/>
      <c r="E379" s="5"/>
      <c r="F379" s="5"/>
      <c r="G379" s="2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5.75" customHeight="1" x14ac:dyDescent="0.25">
      <c r="A380" s="5"/>
      <c r="B380" s="5"/>
      <c r="C380" s="5"/>
      <c r="D380" s="5"/>
      <c r="E380" s="5"/>
      <c r="F380" s="5"/>
      <c r="G380" s="2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5.75" customHeight="1" x14ac:dyDescent="0.25">
      <c r="A381" s="5"/>
      <c r="B381" s="5"/>
      <c r="C381" s="5"/>
      <c r="D381" s="5"/>
      <c r="E381" s="5"/>
      <c r="F381" s="5"/>
      <c r="G381" s="2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5.75" customHeight="1" x14ac:dyDescent="0.25">
      <c r="A382" s="5"/>
      <c r="B382" s="5"/>
      <c r="C382" s="5"/>
      <c r="D382" s="5"/>
      <c r="E382" s="5"/>
      <c r="F382" s="5"/>
      <c r="G382" s="2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5.75" customHeight="1" x14ac:dyDescent="0.25">
      <c r="A383" s="5"/>
      <c r="B383" s="5"/>
      <c r="C383" s="5"/>
      <c r="D383" s="5"/>
      <c r="E383" s="5"/>
      <c r="F383" s="5"/>
      <c r="G383" s="2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5.75" customHeight="1" x14ac:dyDescent="0.25">
      <c r="A384" s="5"/>
      <c r="B384" s="5"/>
      <c r="C384" s="5"/>
      <c r="D384" s="5"/>
      <c r="E384" s="5"/>
      <c r="F384" s="5"/>
      <c r="G384" s="2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5.75" customHeight="1" x14ac:dyDescent="0.25">
      <c r="A385" s="5"/>
      <c r="B385" s="5"/>
      <c r="C385" s="5"/>
      <c r="D385" s="5"/>
      <c r="E385" s="5"/>
      <c r="F385" s="5"/>
      <c r="G385" s="2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5.75" customHeight="1" x14ac:dyDescent="0.25">
      <c r="A386" s="5"/>
      <c r="B386" s="5"/>
      <c r="C386" s="5"/>
      <c r="D386" s="5"/>
      <c r="E386" s="5"/>
      <c r="F386" s="5"/>
      <c r="G386" s="2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5.75" customHeight="1" x14ac:dyDescent="0.25">
      <c r="A387" s="5"/>
      <c r="B387" s="5"/>
      <c r="C387" s="5"/>
      <c r="D387" s="5"/>
      <c r="E387" s="5"/>
      <c r="F387" s="5"/>
      <c r="G387" s="2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5.75" customHeight="1" x14ac:dyDescent="0.25">
      <c r="A388" s="5"/>
      <c r="B388" s="5"/>
      <c r="C388" s="5"/>
      <c r="D388" s="5"/>
      <c r="E388" s="5"/>
      <c r="F388" s="5"/>
      <c r="G388" s="2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5.75" customHeight="1" x14ac:dyDescent="0.25">
      <c r="A389" s="5"/>
      <c r="B389" s="5"/>
      <c r="C389" s="5"/>
      <c r="D389" s="5"/>
      <c r="E389" s="5"/>
      <c r="F389" s="5"/>
      <c r="G389" s="2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5.75" customHeight="1" x14ac:dyDescent="0.25">
      <c r="A390" s="5"/>
      <c r="B390" s="5"/>
      <c r="C390" s="5"/>
      <c r="D390" s="5"/>
      <c r="E390" s="5"/>
      <c r="F390" s="5"/>
      <c r="G390" s="2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5.75" customHeight="1" x14ac:dyDescent="0.25">
      <c r="A391" s="5"/>
      <c r="B391" s="5"/>
      <c r="C391" s="5"/>
      <c r="D391" s="5"/>
      <c r="E391" s="5"/>
      <c r="F391" s="5"/>
      <c r="G391" s="2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5.75" customHeight="1" x14ac:dyDescent="0.25">
      <c r="A392" s="5"/>
      <c r="B392" s="5"/>
      <c r="C392" s="5"/>
      <c r="D392" s="5"/>
      <c r="E392" s="5"/>
      <c r="F392" s="5"/>
      <c r="G392" s="2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5.75" customHeight="1" x14ac:dyDescent="0.25">
      <c r="A393" s="5"/>
      <c r="B393" s="5"/>
      <c r="C393" s="5"/>
      <c r="D393" s="5"/>
      <c r="E393" s="5"/>
      <c r="F393" s="5"/>
      <c r="G393" s="2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5.75" customHeight="1" x14ac:dyDescent="0.25">
      <c r="A394" s="5"/>
      <c r="B394" s="5"/>
      <c r="C394" s="5"/>
      <c r="D394" s="5"/>
      <c r="E394" s="5"/>
      <c r="F394" s="5"/>
      <c r="G394" s="2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5.75" customHeight="1" x14ac:dyDescent="0.25">
      <c r="A395" s="5"/>
      <c r="B395" s="5"/>
      <c r="C395" s="5"/>
      <c r="D395" s="5"/>
      <c r="E395" s="5"/>
      <c r="F395" s="5"/>
      <c r="G395" s="2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5.75" customHeight="1" x14ac:dyDescent="0.25">
      <c r="A396" s="5"/>
      <c r="B396" s="5"/>
      <c r="C396" s="5"/>
      <c r="D396" s="5"/>
      <c r="E396" s="5"/>
      <c r="F396" s="5"/>
      <c r="G396" s="2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5.75" customHeight="1" x14ac:dyDescent="0.25">
      <c r="A397" s="5"/>
      <c r="B397" s="5"/>
      <c r="C397" s="5"/>
      <c r="D397" s="5"/>
      <c r="E397" s="5"/>
      <c r="F397" s="5"/>
      <c r="G397" s="2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5.75" customHeight="1" x14ac:dyDescent="0.25">
      <c r="A398" s="5"/>
      <c r="B398" s="5"/>
      <c r="C398" s="5"/>
      <c r="D398" s="5"/>
      <c r="E398" s="5"/>
      <c r="F398" s="5"/>
      <c r="G398" s="2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5.75" customHeight="1" x14ac:dyDescent="0.25">
      <c r="A399" s="5"/>
      <c r="B399" s="5"/>
      <c r="C399" s="5"/>
      <c r="D399" s="5"/>
      <c r="E399" s="5"/>
      <c r="F399" s="5"/>
      <c r="G399" s="2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5.75" customHeight="1" x14ac:dyDescent="0.25">
      <c r="A400" s="5"/>
      <c r="B400" s="5"/>
      <c r="C400" s="5"/>
      <c r="D400" s="5"/>
      <c r="E400" s="5"/>
      <c r="F400" s="5"/>
      <c r="G400" s="2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5.75" customHeight="1" x14ac:dyDescent="0.25">
      <c r="A401" s="5"/>
      <c r="B401" s="5"/>
      <c r="C401" s="5"/>
      <c r="D401" s="5"/>
      <c r="E401" s="5"/>
      <c r="F401" s="5"/>
      <c r="G401" s="2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5.75" customHeight="1" x14ac:dyDescent="0.25">
      <c r="A402" s="5"/>
      <c r="B402" s="5"/>
      <c r="C402" s="5"/>
      <c r="D402" s="5"/>
      <c r="E402" s="5"/>
      <c r="F402" s="5"/>
      <c r="G402" s="2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5.75" customHeight="1" x14ac:dyDescent="0.25">
      <c r="A403" s="5"/>
      <c r="B403" s="5"/>
      <c r="C403" s="5"/>
      <c r="D403" s="5"/>
      <c r="E403" s="5"/>
      <c r="F403" s="5"/>
      <c r="G403" s="2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5.75" customHeight="1" x14ac:dyDescent="0.25">
      <c r="A404" s="5"/>
      <c r="B404" s="5"/>
      <c r="C404" s="5"/>
      <c r="D404" s="5"/>
      <c r="E404" s="5"/>
      <c r="F404" s="5"/>
      <c r="G404" s="2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5.75" customHeight="1" x14ac:dyDescent="0.25">
      <c r="A405" s="5"/>
      <c r="B405" s="5"/>
      <c r="C405" s="5"/>
      <c r="D405" s="5"/>
      <c r="E405" s="5"/>
      <c r="F405" s="5"/>
      <c r="G405" s="2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5.75" customHeight="1" x14ac:dyDescent="0.25">
      <c r="A406" s="5"/>
      <c r="B406" s="5"/>
      <c r="C406" s="5"/>
      <c r="D406" s="5"/>
      <c r="E406" s="5"/>
      <c r="F406" s="5"/>
      <c r="G406" s="2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5.75" customHeight="1" x14ac:dyDescent="0.25">
      <c r="A407" s="5"/>
      <c r="B407" s="5"/>
      <c r="C407" s="5"/>
      <c r="D407" s="5"/>
      <c r="E407" s="5"/>
      <c r="F407" s="5"/>
      <c r="G407" s="2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5.75" customHeight="1" x14ac:dyDescent="0.25">
      <c r="A408" s="5"/>
      <c r="B408" s="5"/>
      <c r="C408" s="5"/>
      <c r="D408" s="5"/>
      <c r="E408" s="5"/>
      <c r="F408" s="5"/>
      <c r="G408" s="2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5.75" customHeight="1" x14ac:dyDescent="0.25">
      <c r="A409" s="5"/>
      <c r="B409" s="5"/>
      <c r="C409" s="5"/>
      <c r="D409" s="5"/>
      <c r="E409" s="5"/>
      <c r="F409" s="5"/>
      <c r="G409" s="2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5.75" customHeight="1" x14ac:dyDescent="0.25">
      <c r="A410" s="5"/>
      <c r="B410" s="5"/>
      <c r="C410" s="5"/>
      <c r="D410" s="5"/>
      <c r="E410" s="5"/>
      <c r="F410" s="5"/>
      <c r="G410" s="2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5.75" customHeight="1" x14ac:dyDescent="0.25">
      <c r="A411" s="5"/>
      <c r="B411" s="5"/>
      <c r="C411" s="5"/>
      <c r="D411" s="5"/>
      <c r="E411" s="5"/>
      <c r="F411" s="5"/>
      <c r="G411" s="2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5.75" customHeight="1" x14ac:dyDescent="0.25">
      <c r="A412" s="5"/>
      <c r="B412" s="5"/>
      <c r="C412" s="5"/>
      <c r="D412" s="5"/>
      <c r="E412" s="5"/>
      <c r="F412" s="5"/>
      <c r="G412" s="2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5.75" customHeight="1" x14ac:dyDescent="0.25">
      <c r="A413" s="5"/>
      <c r="B413" s="5"/>
      <c r="C413" s="5"/>
      <c r="D413" s="5"/>
      <c r="E413" s="5"/>
      <c r="F413" s="5"/>
      <c r="G413" s="2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5.75" customHeight="1" x14ac:dyDescent="0.25">
      <c r="A414" s="5"/>
      <c r="B414" s="5"/>
      <c r="C414" s="5"/>
      <c r="D414" s="5"/>
      <c r="E414" s="5"/>
      <c r="F414" s="5"/>
      <c r="G414" s="2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5.75" customHeight="1" x14ac:dyDescent="0.25">
      <c r="A415" s="5"/>
      <c r="B415" s="5"/>
      <c r="C415" s="5"/>
      <c r="D415" s="5"/>
      <c r="E415" s="5"/>
      <c r="F415" s="5"/>
      <c r="G415" s="2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5.75" customHeight="1" x14ac:dyDescent="0.25">
      <c r="A416" s="5"/>
      <c r="B416" s="5"/>
      <c r="C416" s="5"/>
      <c r="D416" s="5"/>
      <c r="E416" s="5"/>
      <c r="F416" s="5"/>
      <c r="G416" s="2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5.75" customHeight="1" x14ac:dyDescent="0.25">
      <c r="A417" s="5"/>
      <c r="B417" s="5"/>
      <c r="C417" s="5"/>
      <c r="D417" s="5"/>
      <c r="E417" s="5"/>
      <c r="F417" s="5"/>
      <c r="G417" s="2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5.75" customHeight="1" x14ac:dyDescent="0.25">
      <c r="A418" s="5"/>
      <c r="B418" s="5"/>
      <c r="C418" s="5"/>
      <c r="D418" s="5"/>
      <c r="E418" s="5"/>
      <c r="F418" s="5"/>
      <c r="G418" s="2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5.75" customHeight="1" x14ac:dyDescent="0.25">
      <c r="A419" s="5"/>
      <c r="B419" s="5"/>
      <c r="C419" s="5"/>
      <c r="D419" s="5"/>
      <c r="E419" s="5"/>
      <c r="F419" s="5"/>
      <c r="G419" s="2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5.75" customHeight="1" x14ac:dyDescent="0.25">
      <c r="A420" s="5"/>
      <c r="B420" s="5"/>
      <c r="C420" s="5"/>
      <c r="D420" s="5"/>
      <c r="E420" s="5"/>
      <c r="F420" s="5"/>
      <c r="G420" s="2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5.75" customHeight="1" x14ac:dyDescent="0.25">
      <c r="A421" s="5"/>
      <c r="B421" s="5"/>
      <c r="C421" s="5"/>
      <c r="D421" s="5"/>
      <c r="E421" s="5"/>
      <c r="F421" s="5"/>
      <c r="G421" s="2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5.75" customHeight="1" x14ac:dyDescent="0.25">
      <c r="A422" s="5"/>
      <c r="B422" s="5"/>
      <c r="C422" s="5"/>
      <c r="D422" s="5"/>
      <c r="E422" s="5"/>
      <c r="F422" s="5"/>
      <c r="G422" s="2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5.75" customHeight="1" x14ac:dyDescent="0.25">
      <c r="A423" s="5"/>
      <c r="B423" s="5"/>
      <c r="C423" s="5"/>
      <c r="D423" s="5"/>
      <c r="E423" s="5"/>
      <c r="F423" s="5"/>
      <c r="G423" s="2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5.75" customHeight="1" x14ac:dyDescent="0.25">
      <c r="A424" s="5"/>
      <c r="B424" s="5"/>
      <c r="C424" s="5"/>
      <c r="D424" s="5"/>
      <c r="E424" s="5"/>
      <c r="F424" s="5"/>
      <c r="G424" s="2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5.75" customHeight="1" x14ac:dyDescent="0.25">
      <c r="A425" s="5"/>
      <c r="B425" s="5"/>
      <c r="C425" s="5"/>
      <c r="D425" s="5"/>
      <c r="E425" s="5"/>
      <c r="F425" s="5"/>
      <c r="G425" s="2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5.75" customHeight="1" x14ac:dyDescent="0.25">
      <c r="A426" s="5"/>
      <c r="B426" s="5"/>
      <c r="C426" s="5"/>
      <c r="D426" s="5"/>
      <c r="E426" s="5"/>
      <c r="F426" s="5"/>
      <c r="G426" s="2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5.75" customHeight="1" x14ac:dyDescent="0.25">
      <c r="A427" s="5"/>
      <c r="B427" s="5"/>
      <c r="C427" s="5"/>
      <c r="D427" s="5"/>
      <c r="E427" s="5"/>
      <c r="F427" s="5"/>
      <c r="G427" s="2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5.75" customHeight="1" x14ac:dyDescent="0.25">
      <c r="A428" s="5"/>
      <c r="B428" s="5"/>
      <c r="C428" s="5"/>
      <c r="D428" s="5"/>
      <c r="E428" s="5"/>
      <c r="F428" s="5"/>
      <c r="G428" s="2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5.75" customHeight="1" x14ac:dyDescent="0.25">
      <c r="A429" s="5"/>
      <c r="B429" s="5"/>
      <c r="C429" s="5"/>
      <c r="D429" s="5"/>
      <c r="E429" s="5"/>
      <c r="F429" s="5"/>
      <c r="G429" s="2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5.75" customHeight="1" x14ac:dyDescent="0.25">
      <c r="A430" s="5"/>
      <c r="B430" s="5"/>
      <c r="C430" s="5"/>
      <c r="D430" s="5"/>
      <c r="E430" s="5"/>
      <c r="F430" s="5"/>
      <c r="G430" s="2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5.75" customHeight="1" x14ac:dyDescent="0.25">
      <c r="A431" s="5"/>
      <c r="B431" s="5"/>
      <c r="C431" s="5"/>
      <c r="D431" s="5"/>
      <c r="E431" s="5"/>
      <c r="F431" s="5"/>
      <c r="G431" s="2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5.75" customHeight="1" x14ac:dyDescent="0.25">
      <c r="A432" s="5"/>
      <c r="B432" s="5"/>
      <c r="C432" s="5"/>
      <c r="D432" s="5"/>
      <c r="E432" s="5"/>
      <c r="F432" s="5"/>
      <c r="G432" s="2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customHeight="1" x14ac:dyDescent="0.25">
      <c r="A433" s="5"/>
      <c r="B433" s="5"/>
      <c r="C433" s="5"/>
      <c r="D433" s="5"/>
      <c r="E433" s="5"/>
      <c r="F433" s="5"/>
      <c r="G433" s="2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customHeight="1" x14ac:dyDescent="0.25">
      <c r="A434" s="5"/>
      <c r="B434" s="5"/>
      <c r="C434" s="5"/>
      <c r="D434" s="5"/>
      <c r="E434" s="5"/>
      <c r="F434" s="5"/>
      <c r="G434" s="2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5.75" customHeight="1" x14ac:dyDescent="0.25">
      <c r="A435" s="5"/>
      <c r="B435" s="5"/>
      <c r="C435" s="5"/>
      <c r="D435" s="5"/>
      <c r="E435" s="5"/>
      <c r="F435" s="5"/>
      <c r="G435" s="2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5.75" customHeight="1" x14ac:dyDescent="0.25">
      <c r="A436" s="5"/>
      <c r="B436" s="5"/>
      <c r="C436" s="5"/>
      <c r="D436" s="5"/>
      <c r="E436" s="5"/>
      <c r="F436" s="5"/>
      <c r="G436" s="2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customHeight="1" x14ac:dyDescent="0.25">
      <c r="A437" s="5"/>
      <c r="B437" s="5"/>
      <c r="C437" s="5"/>
      <c r="D437" s="5"/>
      <c r="E437" s="5"/>
      <c r="F437" s="5"/>
      <c r="G437" s="2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5.75" customHeight="1" x14ac:dyDescent="0.25">
      <c r="A438" s="5"/>
      <c r="B438" s="5"/>
      <c r="C438" s="5"/>
      <c r="D438" s="5"/>
      <c r="E438" s="5"/>
      <c r="F438" s="5"/>
      <c r="G438" s="2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customHeight="1" x14ac:dyDescent="0.25">
      <c r="A439" s="5"/>
      <c r="B439" s="5"/>
      <c r="C439" s="5"/>
      <c r="D439" s="5"/>
      <c r="E439" s="5"/>
      <c r="F439" s="5"/>
      <c r="G439" s="2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5.75" customHeight="1" x14ac:dyDescent="0.25">
      <c r="A440" s="5"/>
      <c r="B440" s="5"/>
      <c r="C440" s="5"/>
      <c r="D440" s="5"/>
      <c r="E440" s="5"/>
      <c r="F440" s="5"/>
      <c r="G440" s="2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5.75" customHeight="1" x14ac:dyDescent="0.25">
      <c r="A441" s="5"/>
      <c r="B441" s="5"/>
      <c r="C441" s="5"/>
      <c r="D441" s="5"/>
      <c r="E441" s="5"/>
      <c r="F441" s="5"/>
      <c r="G441" s="2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5.75" customHeight="1" x14ac:dyDescent="0.25">
      <c r="A442" s="5"/>
      <c r="B442" s="5"/>
      <c r="C442" s="5"/>
      <c r="D442" s="5"/>
      <c r="E442" s="5"/>
      <c r="F442" s="5"/>
      <c r="G442" s="2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5.75" customHeight="1" x14ac:dyDescent="0.25">
      <c r="A443" s="5"/>
      <c r="B443" s="5"/>
      <c r="C443" s="5"/>
      <c r="D443" s="5"/>
      <c r="E443" s="5"/>
      <c r="F443" s="5"/>
      <c r="G443" s="2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5.75" customHeight="1" x14ac:dyDescent="0.25">
      <c r="A444" s="5"/>
      <c r="B444" s="5"/>
      <c r="C444" s="5"/>
      <c r="D444" s="5"/>
      <c r="E444" s="5"/>
      <c r="F444" s="5"/>
      <c r="G444" s="2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5.75" customHeight="1" x14ac:dyDescent="0.25">
      <c r="A445" s="5"/>
      <c r="B445" s="5"/>
      <c r="C445" s="5"/>
      <c r="D445" s="5"/>
      <c r="E445" s="5"/>
      <c r="F445" s="5"/>
      <c r="G445" s="2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5.75" customHeight="1" x14ac:dyDescent="0.25">
      <c r="A446" s="5"/>
      <c r="B446" s="5"/>
      <c r="C446" s="5"/>
      <c r="D446" s="5"/>
      <c r="E446" s="5"/>
      <c r="F446" s="5"/>
      <c r="G446" s="2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5.75" customHeight="1" x14ac:dyDescent="0.25">
      <c r="A447" s="5"/>
      <c r="B447" s="5"/>
      <c r="C447" s="5"/>
      <c r="D447" s="5"/>
      <c r="E447" s="5"/>
      <c r="F447" s="5"/>
      <c r="G447" s="2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5.75" customHeight="1" x14ac:dyDescent="0.25">
      <c r="A448" s="5"/>
      <c r="B448" s="5"/>
      <c r="C448" s="5"/>
      <c r="D448" s="5"/>
      <c r="E448" s="5"/>
      <c r="F448" s="5"/>
      <c r="G448" s="2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customHeight="1" x14ac:dyDescent="0.25">
      <c r="A449" s="5"/>
      <c r="B449" s="5"/>
      <c r="C449" s="5"/>
      <c r="D449" s="5"/>
      <c r="E449" s="5"/>
      <c r="F449" s="5"/>
      <c r="G449" s="2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5.75" customHeight="1" x14ac:dyDescent="0.25">
      <c r="A450" s="5"/>
      <c r="B450" s="5"/>
      <c r="C450" s="5"/>
      <c r="D450" s="5"/>
      <c r="E450" s="5"/>
      <c r="F450" s="5"/>
      <c r="G450" s="2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5.75" customHeight="1" x14ac:dyDescent="0.25">
      <c r="A451" s="5"/>
      <c r="B451" s="5"/>
      <c r="C451" s="5"/>
      <c r="D451" s="5"/>
      <c r="E451" s="5"/>
      <c r="F451" s="5"/>
      <c r="G451" s="2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customHeight="1" x14ac:dyDescent="0.25">
      <c r="A452" s="5"/>
      <c r="B452" s="5"/>
      <c r="C452" s="5"/>
      <c r="D452" s="5"/>
      <c r="E452" s="5"/>
      <c r="F452" s="5"/>
      <c r="G452" s="2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5.75" customHeight="1" x14ac:dyDescent="0.25">
      <c r="A453" s="5"/>
      <c r="B453" s="5"/>
      <c r="C453" s="5"/>
      <c r="D453" s="5"/>
      <c r="E453" s="5"/>
      <c r="F453" s="5"/>
      <c r="G453" s="2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5.75" customHeight="1" x14ac:dyDescent="0.25">
      <c r="A454" s="5"/>
      <c r="B454" s="5"/>
      <c r="C454" s="5"/>
      <c r="D454" s="5"/>
      <c r="E454" s="5"/>
      <c r="F454" s="5"/>
      <c r="G454" s="2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5.75" customHeight="1" x14ac:dyDescent="0.25">
      <c r="A455" s="5"/>
      <c r="B455" s="5"/>
      <c r="C455" s="5"/>
      <c r="D455" s="5"/>
      <c r="E455" s="5"/>
      <c r="F455" s="5"/>
      <c r="G455" s="2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5.75" customHeight="1" x14ac:dyDescent="0.25">
      <c r="A456" s="5"/>
      <c r="B456" s="5"/>
      <c r="C456" s="5"/>
      <c r="D456" s="5"/>
      <c r="E456" s="5"/>
      <c r="F456" s="5"/>
      <c r="G456" s="2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customHeight="1" x14ac:dyDescent="0.25">
      <c r="A457" s="5"/>
      <c r="B457" s="5"/>
      <c r="C457" s="5"/>
      <c r="D457" s="5"/>
      <c r="E457" s="5"/>
      <c r="F457" s="5"/>
      <c r="G457" s="2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5.75" customHeight="1" x14ac:dyDescent="0.25">
      <c r="A458" s="5"/>
      <c r="B458" s="5"/>
      <c r="C458" s="5"/>
      <c r="D458" s="5"/>
      <c r="E458" s="5"/>
      <c r="F458" s="5"/>
      <c r="G458" s="2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customHeight="1" x14ac:dyDescent="0.25">
      <c r="A459" s="5"/>
      <c r="B459" s="5"/>
      <c r="C459" s="5"/>
      <c r="D459" s="5"/>
      <c r="E459" s="5"/>
      <c r="F459" s="5"/>
      <c r="G459" s="2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5.75" customHeight="1" x14ac:dyDescent="0.25">
      <c r="A460" s="5"/>
      <c r="B460" s="5"/>
      <c r="C460" s="5"/>
      <c r="D460" s="5"/>
      <c r="E460" s="5"/>
      <c r="F460" s="5"/>
      <c r="G460" s="2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5.75" customHeight="1" x14ac:dyDescent="0.25">
      <c r="A461" s="5"/>
      <c r="B461" s="5"/>
      <c r="C461" s="5"/>
      <c r="D461" s="5"/>
      <c r="E461" s="5"/>
      <c r="F461" s="5"/>
      <c r="G461" s="2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5.75" customHeight="1" x14ac:dyDescent="0.25">
      <c r="A462" s="5"/>
      <c r="B462" s="5"/>
      <c r="C462" s="5"/>
      <c r="D462" s="5"/>
      <c r="E462" s="5"/>
      <c r="F462" s="5"/>
      <c r="G462" s="2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5.75" customHeight="1" x14ac:dyDescent="0.25">
      <c r="A463" s="5"/>
      <c r="B463" s="5"/>
      <c r="C463" s="5"/>
      <c r="D463" s="5"/>
      <c r="E463" s="5"/>
      <c r="F463" s="5"/>
      <c r="G463" s="2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customHeight="1" x14ac:dyDescent="0.25">
      <c r="A464" s="5"/>
      <c r="B464" s="5"/>
      <c r="C464" s="5"/>
      <c r="D464" s="5"/>
      <c r="E464" s="5"/>
      <c r="F464" s="5"/>
      <c r="G464" s="2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customHeight="1" x14ac:dyDescent="0.25">
      <c r="A465" s="5"/>
      <c r="B465" s="5"/>
      <c r="C465" s="5"/>
      <c r="D465" s="5"/>
      <c r="E465" s="5"/>
      <c r="F465" s="5"/>
      <c r="G465" s="2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5.75" customHeight="1" x14ac:dyDescent="0.25">
      <c r="A466" s="5"/>
      <c r="B466" s="5"/>
      <c r="C466" s="5"/>
      <c r="D466" s="5"/>
      <c r="E466" s="5"/>
      <c r="F466" s="5"/>
      <c r="G466" s="2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customHeight="1" x14ac:dyDescent="0.25">
      <c r="A467" s="5"/>
      <c r="B467" s="5"/>
      <c r="C467" s="5"/>
      <c r="D467" s="5"/>
      <c r="E467" s="5"/>
      <c r="F467" s="5"/>
      <c r="G467" s="2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5.75" customHeight="1" x14ac:dyDescent="0.25">
      <c r="A468" s="5"/>
      <c r="B468" s="5"/>
      <c r="C468" s="5"/>
      <c r="D468" s="5"/>
      <c r="E468" s="5"/>
      <c r="F468" s="5"/>
      <c r="G468" s="2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5.75" customHeight="1" x14ac:dyDescent="0.25">
      <c r="A469" s="5"/>
      <c r="B469" s="5"/>
      <c r="C469" s="5"/>
      <c r="D469" s="5"/>
      <c r="E469" s="5"/>
      <c r="F469" s="5"/>
      <c r="G469" s="2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5.75" customHeight="1" x14ac:dyDescent="0.25">
      <c r="A470" s="5"/>
      <c r="B470" s="5"/>
      <c r="C470" s="5"/>
      <c r="D470" s="5"/>
      <c r="E470" s="5"/>
      <c r="F470" s="5"/>
      <c r="G470" s="2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5.75" customHeight="1" x14ac:dyDescent="0.25">
      <c r="A471" s="5"/>
      <c r="B471" s="5"/>
      <c r="C471" s="5"/>
      <c r="D471" s="5"/>
      <c r="E471" s="5"/>
      <c r="F471" s="5"/>
      <c r="G471" s="2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5.75" customHeight="1" x14ac:dyDescent="0.25">
      <c r="A472" s="5"/>
      <c r="B472" s="5"/>
      <c r="C472" s="5"/>
      <c r="D472" s="5"/>
      <c r="E472" s="5"/>
      <c r="F472" s="5"/>
      <c r="G472" s="2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5.75" customHeight="1" x14ac:dyDescent="0.25">
      <c r="A473" s="5"/>
      <c r="B473" s="5"/>
      <c r="C473" s="5"/>
      <c r="D473" s="5"/>
      <c r="E473" s="5"/>
      <c r="F473" s="5"/>
      <c r="G473" s="2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5.75" customHeight="1" x14ac:dyDescent="0.25">
      <c r="A474" s="5"/>
      <c r="B474" s="5"/>
      <c r="C474" s="5"/>
      <c r="D474" s="5"/>
      <c r="E474" s="5"/>
      <c r="F474" s="5"/>
      <c r="G474" s="2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5.75" customHeight="1" x14ac:dyDescent="0.25">
      <c r="A475" s="5"/>
      <c r="B475" s="5"/>
      <c r="C475" s="5"/>
      <c r="D475" s="5"/>
      <c r="E475" s="5"/>
      <c r="F475" s="5"/>
      <c r="G475" s="2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5.75" customHeight="1" x14ac:dyDescent="0.25">
      <c r="A476" s="5"/>
      <c r="B476" s="5"/>
      <c r="C476" s="5"/>
      <c r="D476" s="5"/>
      <c r="E476" s="5"/>
      <c r="F476" s="5"/>
      <c r="G476" s="2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5.75" customHeight="1" x14ac:dyDescent="0.25">
      <c r="A477" s="5"/>
      <c r="B477" s="5"/>
      <c r="C477" s="5"/>
      <c r="D477" s="5"/>
      <c r="E477" s="5"/>
      <c r="F477" s="5"/>
      <c r="G477" s="2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5.75" customHeight="1" x14ac:dyDescent="0.25">
      <c r="A478" s="5"/>
      <c r="B478" s="5"/>
      <c r="C478" s="5"/>
      <c r="D478" s="5"/>
      <c r="E478" s="5"/>
      <c r="F478" s="5"/>
      <c r="G478" s="2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5.75" customHeight="1" x14ac:dyDescent="0.25">
      <c r="A479" s="5"/>
      <c r="B479" s="5"/>
      <c r="C479" s="5"/>
      <c r="D479" s="5"/>
      <c r="E479" s="5"/>
      <c r="F479" s="5"/>
      <c r="G479" s="2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5.75" customHeight="1" x14ac:dyDescent="0.25">
      <c r="A480" s="5"/>
      <c r="B480" s="5"/>
      <c r="C480" s="5"/>
      <c r="D480" s="5"/>
      <c r="E480" s="5"/>
      <c r="F480" s="5"/>
      <c r="G480" s="2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5.75" customHeight="1" x14ac:dyDescent="0.25">
      <c r="A481" s="5"/>
      <c r="B481" s="5"/>
      <c r="C481" s="5"/>
      <c r="D481" s="5"/>
      <c r="E481" s="5"/>
      <c r="F481" s="5"/>
      <c r="G481" s="2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customHeight="1" x14ac:dyDescent="0.25">
      <c r="A482" s="5"/>
      <c r="B482" s="5"/>
      <c r="C482" s="5"/>
      <c r="D482" s="5"/>
      <c r="E482" s="5"/>
      <c r="F482" s="5"/>
      <c r="G482" s="2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5.75" customHeight="1" x14ac:dyDescent="0.25">
      <c r="A483" s="5"/>
      <c r="B483" s="5"/>
      <c r="C483" s="5"/>
      <c r="D483" s="5"/>
      <c r="E483" s="5"/>
      <c r="F483" s="5"/>
      <c r="G483" s="2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5.75" customHeight="1" x14ac:dyDescent="0.25">
      <c r="A484" s="5"/>
      <c r="B484" s="5"/>
      <c r="C484" s="5"/>
      <c r="D484" s="5"/>
      <c r="E484" s="5"/>
      <c r="F484" s="5"/>
      <c r="G484" s="2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5.75" customHeight="1" x14ac:dyDescent="0.25">
      <c r="A485" s="5"/>
      <c r="B485" s="5"/>
      <c r="C485" s="5"/>
      <c r="D485" s="5"/>
      <c r="E485" s="5"/>
      <c r="F485" s="5"/>
      <c r="G485" s="2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5.75" customHeight="1" x14ac:dyDescent="0.25">
      <c r="A486" s="5"/>
      <c r="B486" s="5"/>
      <c r="C486" s="5"/>
      <c r="D486" s="5"/>
      <c r="E486" s="5"/>
      <c r="F486" s="5"/>
      <c r="G486" s="2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5.75" customHeight="1" x14ac:dyDescent="0.25">
      <c r="A487" s="5"/>
      <c r="B487" s="5"/>
      <c r="C487" s="5"/>
      <c r="D487" s="5"/>
      <c r="E487" s="5"/>
      <c r="F487" s="5"/>
      <c r="G487" s="2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5.75" customHeight="1" x14ac:dyDescent="0.25">
      <c r="A488" s="5"/>
      <c r="B488" s="5"/>
      <c r="C488" s="5"/>
      <c r="D488" s="5"/>
      <c r="E488" s="5"/>
      <c r="F488" s="5"/>
      <c r="G488" s="2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5.75" customHeight="1" x14ac:dyDescent="0.25">
      <c r="A489" s="5"/>
      <c r="B489" s="5"/>
      <c r="C489" s="5"/>
      <c r="D489" s="5"/>
      <c r="E489" s="5"/>
      <c r="F489" s="5"/>
      <c r="G489" s="2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5.75" customHeight="1" x14ac:dyDescent="0.25">
      <c r="A490" s="5"/>
      <c r="B490" s="5"/>
      <c r="C490" s="5"/>
      <c r="D490" s="5"/>
      <c r="E490" s="5"/>
      <c r="F490" s="5"/>
      <c r="G490" s="2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5.75" customHeight="1" x14ac:dyDescent="0.25">
      <c r="A491" s="5"/>
      <c r="B491" s="5"/>
      <c r="C491" s="5"/>
      <c r="D491" s="5"/>
      <c r="E491" s="5"/>
      <c r="F491" s="5"/>
      <c r="G491" s="2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5.75" customHeight="1" x14ac:dyDescent="0.25">
      <c r="A492" s="5"/>
      <c r="B492" s="5"/>
      <c r="C492" s="5"/>
      <c r="D492" s="5"/>
      <c r="E492" s="5"/>
      <c r="F492" s="5"/>
      <c r="G492" s="2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5.75" customHeight="1" x14ac:dyDescent="0.25">
      <c r="A493" s="5"/>
      <c r="B493" s="5"/>
      <c r="C493" s="5"/>
      <c r="D493" s="5"/>
      <c r="E493" s="5"/>
      <c r="F493" s="5"/>
      <c r="G493" s="2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5.75" customHeight="1" x14ac:dyDescent="0.25">
      <c r="A494" s="5"/>
      <c r="B494" s="5"/>
      <c r="C494" s="5"/>
      <c r="D494" s="5"/>
      <c r="E494" s="5"/>
      <c r="F494" s="5"/>
      <c r="G494" s="2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5.75" customHeight="1" x14ac:dyDescent="0.25">
      <c r="A495" s="5"/>
      <c r="B495" s="5"/>
      <c r="C495" s="5"/>
      <c r="D495" s="5"/>
      <c r="E495" s="5"/>
      <c r="F495" s="5"/>
      <c r="G495" s="2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5.75" customHeight="1" x14ac:dyDescent="0.25">
      <c r="A496" s="5"/>
      <c r="B496" s="5"/>
      <c r="C496" s="5"/>
      <c r="D496" s="5"/>
      <c r="E496" s="5"/>
      <c r="F496" s="5"/>
      <c r="G496" s="2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5.75" customHeight="1" x14ac:dyDescent="0.25">
      <c r="A497" s="5"/>
      <c r="B497" s="5"/>
      <c r="C497" s="5"/>
      <c r="D497" s="5"/>
      <c r="E497" s="5"/>
      <c r="F497" s="5"/>
      <c r="G497" s="2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5.75" customHeight="1" x14ac:dyDescent="0.25">
      <c r="A498" s="5"/>
      <c r="B498" s="5"/>
      <c r="C498" s="5"/>
      <c r="D498" s="5"/>
      <c r="E498" s="5"/>
      <c r="F498" s="5"/>
      <c r="G498" s="2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customHeight="1" x14ac:dyDescent="0.25">
      <c r="A499" s="5"/>
      <c r="B499" s="5"/>
      <c r="C499" s="5"/>
      <c r="D499" s="5"/>
      <c r="E499" s="5"/>
      <c r="F499" s="5"/>
      <c r="G499" s="2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customHeight="1" x14ac:dyDescent="0.25">
      <c r="A500" s="5"/>
      <c r="B500" s="5"/>
      <c r="C500" s="5"/>
      <c r="D500" s="5"/>
      <c r="E500" s="5"/>
      <c r="F500" s="5"/>
      <c r="G500" s="2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5.75" customHeight="1" x14ac:dyDescent="0.25">
      <c r="A501" s="5"/>
      <c r="B501" s="5"/>
      <c r="C501" s="5"/>
      <c r="D501" s="5"/>
      <c r="E501" s="5"/>
      <c r="F501" s="5"/>
      <c r="G501" s="2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5.75" customHeight="1" x14ac:dyDescent="0.25">
      <c r="A502" s="5"/>
      <c r="B502" s="5"/>
      <c r="C502" s="5"/>
      <c r="D502" s="5"/>
      <c r="E502" s="5"/>
      <c r="F502" s="5"/>
      <c r="G502" s="2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5.75" customHeight="1" x14ac:dyDescent="0.25">
      <c r="A503" s="5"/>
      <c r="B503" s="5"/>
      <c r="C503" s="5"/>
      <c r="D503" s="5"/>
      <c r="E503" s="5"/>
      <c r="F503" s="5"/>
      <c r="G503" s="2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5.75" customHeight="1" x14ac:dyDescent="0.25">
      <c r="A504" s="5"/>
      <c r="B504" s="5"/>
      <c r="C504" s="5"/>
      <c r="D504" s="5"/>
      <c r="E504" s="5"/>
      <c r="F504" s="5"/>
      <c r="G504" s="2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customHeight="1" x14ac:dyDescent="0.25">
      <c r="A505" s="5"/>
      <c r="B505" s="5"/>
      <c r="C505" s="5"/>
      <c r="D505" s="5"/>
      <c r="E505" s="5"/>
      <c r="F505" s="5"/>
      <c r="G505" s="2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5.75" customHeight="1" x14ac:dyDescent="0.25">
      <c r="A506" s="5"/>
      <c r="B506" s="5"/>
      <c r="C506" s="5"/>
      <c r="D506" s="5"/>
      <c r="E506" s="5"/>
      <c r="F506" s="5"/>
      <c r="G506" s="2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5.75" customHeight="1" x14ac:dyDescent="0.25">
      <c r="A507" s="5"/>
      <c r="B507" s="5"/>
      <c r="C507" s="5"/>
      <c r="D507" s="5"/>
      <c r="E507" s="5"/>
      <c r="F507" s="5"/>
      <c r="G507" s="2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5.75" customHeight="1" x14ac:dyDescent="0.25">
      <c r="A508" s="5"/>
      <c r="B508" s="5"/>
      <c r="C508" s="5"/>
      <c r="D508" s="5"/>
      <c r="E508" s="5"/>
      <c r="F508" s="5"/>
      <c r="G508" s="2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5.75" customHeight="1" x14ac:dyDescent="0.25">
      <c r="A509" s="5"/>
      <c r="B509" s="5"/>
      <c r="C509" s="5"/>
      <c r="D509" s="5"/>
      <c r="E509" s="5"/>
      <c r="F509" s="5"/>
      <c r="G509" s="2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5.75" customHeight="1" x14ac:dyDescent="0.25">
      <c r="A510" s="5"/>
      <c r="B510" s="5"/>
      <c r="C510" s="5"/>
      <c r="D510" s="5"/>
      <c r="E510" s="5"/>
      <c r="F510" s="5"/>
      <c r="G510" s="2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customHeight="1" x14ac:dyDescent="0.25">
      <c r="A511" s="5"/>
      <c r="B511" s="5"/>
      <c r="C511" s="5"/>
      <c r="D511" s="5"/>
      <c r="E511" s="5"/>
      <c r="F511" s="5"/>
      <c r="G511" s="2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5.75" customHeight="1" x14ac:dyDescent="0.25">
      <c r="A512" s="5"/>
      <c r="B512" s="5"/>
      <c r="C512" s="5"/>
      <c r="D512" s="5"/>
      <c r="E512" s="5"/>
      <c r="F512" s="5"/>
      <c r="G512" s="2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5.75" customHeight="1" x14ac:dyDescent="0.25">
      <c r="A513" s="5"/>
      <c r="B513" s="5"/>
      <c r="C513" s="5"/>
      <c r="D513" s="5"/>
      <c r="E513" s="5"/>
      <c r="F513" s="5"/>
      <c r="G513" s="2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customHeight="1" x14ac:dyDescent="0.25">
      <c r="A514" s="5"/>
      <c r="B514" s="5"/>
      <c r="C514" s="5"/>
      <c r="D514" s="5"/>
      <c r="E514" s="5"/>
      <c r="F514" s="5"/>
      <c r="G514" s="2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5.75" customHeight="1" x14ac:dyDescent="0.25">
      <c r="A515" s="5"/>
      <c r="B515" s="5"/>
      <c r="C515" s="5"/>
      <c r="D515" s="5"/>
      <c r="E515" s="5"/>
      <c r="F515" s="5"/>
      <c r="G515" s="2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5.75" customHeight="1" x14ac:dyDescent="0.25">
      <c r="A516" s="5"/>
      <c r="B516" s="5"/>
      <c r="C516" s="5"/>
      <c r="D516" s="5"/>
      <c r="E516" s="5"/>
      <c r="F516" s="5"/>
      <c r="G516" s="2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5.75" customHeight="1" x14ac:dyDescent="0.25">
      <c r="A517" s="5"/>
      <c r="B517" s="5"/>
      <c r="C517" s="5"/>
      <c r="D517" s="5"/>
      <c r="E517" s="5"/>
      <c r="F517" s="5"/>
      <c r="G517" s="2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5.75" customHeight="1" x14ac:dyDescent="0.25">
      <c r="A518" s="5"/>
      <c r="B518" s="5"/>
      <c r="C518" s="5"/>
      <c r="D518" s="5"/>
      <c r="E518" s="5"/>
      <c r="F518" s="5"/>
      <c r="G518" s="2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5.75" customHeight="1" x14ac:dyDescent="0.25">
      <c r="A519" s="5"/>
      <c r="B519" s="5"/>
      <c r="C519" s="5"/>
      <c r="D519" s="5"/>
      <c r="E519" s="5"/>
      <c r="F519" s="5"/>
      <c r="G519" s="2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customHeight="1" x14ac:dyDescent="0.25">
      <c r="A520" s="5"/>
      <c r="B520" s="5"/>
      <c r="C520" s="5"/>
      <c r="D520" s="5"/>
      <c r="E520" s="5"/>
      <c r="F520" s="5"/>
      <c r="G520" s="2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5.75" customHeight="1" x14ac:dyDescent="0.25">
      <c r="A521" s="5"/>
      <c r="B521" s="5"/>
      <c r="C521" s="5"/>
      <c r="D521" s="5"/>
      <c r="E521" s="5"/>
      <c r="F521" s="5"/>
      <c r="G521" s="2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5.75" customHeight="1" x14ac:dyDescent="0.25">
      <c r="A522" s="5"/>
      <c r="B522" s="5"/>
      <c r="C522" s="5"/>
      <c r="D522" s="5"/>
      <c r="E522" s="5"/>
      <c r="F522" s="5"/>
      <c r="G522" s="2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customHeight="1" x14ac:dyDescent="0.25">
      <c r="A523" s="5"/>
      <c r="B523" s="5"/>
      <c r="C523" s="5"/>
      <c r="D523" s="5"/>
      <c r="E523" s="5"/>
      <c r="F523" s="5"/>
      <c r="G523" s="2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5.75" customHeight="1" x14ac:dyDescent="0.25">
      <c r="A524" s="5"/>
      <c r="B524" s="5"/>
      <c r="C524" s="5"/>
      <c r="D524" s="5"/>
      <c r="E524" s="5"/>
      <c r="F524" s="5"/>
      <c r="G524" s="2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customHeight="1" x14ac:dyDescent="0.25">
      <c r="A525" s="5"/>
      <c r="B525" s="5"/>
      <c r="C525" s="5"/>
      <c r="D525" s="5"/>
      <c r="E525" s="5"/>
      <c r="F525" s="5"/>
      <c r="G525" s="2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5.75" customHeight="1" x14ac:dyDescent="0.25">
      <c r="A526" s="5"/>
      <c r="B526" s="5"/>
      <c r="C526" s="5"/>
      <c r="D526" s="5"/>
      <c r="E526" s="5"/>
      <c r="F526" s="5"/>
      <c r="G526" s="2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5.75" customHeight="1" x14ac:dyDescent="0.25">
      <c r="A527" s="5"/>
      <c r="B527" s="5"/>
      <c r="C527" s="5"/>
      <c r="D527" s="5"/>
      <c r="E527" s="5"/>
      <c r="F527" s="5"/>
      <c r="G527" s="2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5.75" customHeight="1" x14ac:dyDescent="0.25">
      <c r="A528" s="5"/>
      <c r="B528" s="5"/>
      <c r="C528" s="5"/>
      <c r="D528" s="5"/>
      <c r="E528" s="5"/>
      <c r="F528" s="5"/>
      <c r="G528" s="2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5.75" customHeight="1" x14ac:dyDescent="0.25">
      <c r="A529" s="5"/>
      <c r="B529" s="5"/>
      <c r="C529" s="5"/>
      <c r="D529" s="5"/>
      <c r="E529" s="5"/>
      <c r="F529" s="5"/>
      <c r="G529" s="2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5.75" customHeight="1" x14ac:dyDescent="0.25">
      <c r="A530" s="5"/>
      <c r="B530" s="5"/>
      <c r="C530" s="5"/>
      <c r="D530" s="5"/>
      <c r="E530" s="5"/>
      <c r="F530" s="5"/>
      <c r="G530" s="2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5.75" customHeight="1" x14ac:dyDescent="0.25">
      <c r="A531" s="5"/>
      <c r="B531" s="5"/>
      <c r="C531" s="5"/>
      <c r="D531" s="5"/>
      <c r="E531" s="5"/>
      <c r="F531" s="5"/>
      <c r="G531" s="2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5.75" customHeight="1" x14ac:dyDescent="0.25">
      <c r="A532" s="5"/>
      <c r="B532" s="5"/>
      <c r="C532" s="5"/>
      <c r="D532" s="5"/>
      <c r="E532" s="5"/>
      <c r="F532" s="5"/>
      <c r="G532" s="2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5.75" customHeight="1" x14ac:dyDescent="0.25">
      <c r="A533" s="5"/>
      <c r="B533" s="5"/>
      <c r="C533" s="5"/>
      <c r="D533" s="5"/>
      <c r="E533" s="5"/>
      <c r="F533" s="5"/>
      <c r="G533" s="2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5.75" customHeight="1" x14ac:dyDescent="0.25">
      <c r="A534" s="5"/>
      <c r="B534" s="5"/>
      <c r="C534" s="5"/>
      <c r="D534" s="5"/>
      <c r="E534" s="5"/>
      <c r="F534" s="5"/>
      <c r="G534" s="2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5.75" customHeight="1" x14ac:dyDescent="0.25">
      <c r="A535" s="5"/>
      <c r="B535" s="5"/>
      <c r="C535" s="5"/>
      <c r="D535" s="5"/>
      <c r="E535" s="5"/>
      <c r="F535" s="5"/>
      <c r="G535" s="2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customHeight="1" x14ac:dyDescent="0.25">
      <c r="A536" s="5"/>
      <c r="B536" s="5"/>
      <c r="C536" s="5"/>
      <c r="D536" s="5"/>
      <c r="E536" s="5"/>
      <c r="F536" s="5"/>
      <c r="G536" s="2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5.75" customHeight="1" x14ac:dyDescent="0.25">
      <c r="A537" s="5"/>
      <c r="B537" s="5"/>
      <c r="C537" s="5"/>
      <c r="D537" s="5"/>
      <c r="E537" s="5"/>
      <c r="F537" s="5"/>
      <c r="G537" s="2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customHeight="1" x14ac:dyDescent="0.25">
      <c r="A538" s="5"/>
      <c r="B538" s="5"/>
      <c r="C538" s="5"/>
      <c r="D538" s="5"/>
      <c r="E538" s="5"/>
      <c r="F538" s="5"/>
      <c r="G538" s="2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5.75" customHeight="1" x14ac:dyDescent="0.25">
      <c r="A539" s="5"/>
      <c r="B539" s="5"/>
      <c r="C539" s="5"/>
      <c r="D539" s="5"/>
      <c r="E539" s="5"/>
      <c r="F539" s="5"/>
      <c r="G539" s="2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5.75" customHeight="1" x14ac:dyDescent="0.25">
      <c r="A540" s="5"/>
      <c r="B540" s="5"/>
      <c r="C540" s="5"/>
      <c r="D540" s="5"/>
      <c r="E540" s="5"/>
      <c r="F540" s="5"/>
      <c r="G540" s="2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customHeight="1" x14ac:dyDescent="0.25">
      <c r="A541" s="5"/>
      <c r="B541" s="5"/>
      <c r="C541" s="5"/>
      <c r="D541" s="5"/>
      <c r="E541" s="5"/>
      <c r="F541" s="5"/>
      <c r="G541" s="2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5.75" customHeight="1" x14ac:dyDescent="0.25">
      <c r="A542" s="5"/>
      <c r="B542" s="5"/>
      <c r="C542" s="5"/>
      <c r="D542" s="5"/>
      <c r="E542" s="5"/>
      <c r="F542" s="5"/>
      <c r="G542" s="2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5.75" customHeight="1" x14ac:dyDescent="0.25">
      <c r="A543" s="5"/>
      <c r="B543" s="5"/>
      <c r="C543" s="5"/>
      <c r="D543" s="5"/>
      <c r="E543" s="5"/>
      <c r="F543" s="5"/>
      <c r="G543" s="2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customHeight="1" x14ac:dyDescent="0.25">
      <c r="A544" s="5"/>
      <c r="B544" s="5"/>
      <c r="C544" s="5"/>
      <c r="D544" s="5"/>
      <c r="E544" s="5"/>
      <c r="F544" s="5"/>
      <c r="G544" s="2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5.75" customHeight="1" x14ac:dyDescent="0.25">
      <c r="A545" s="5"/>
      <c r="B545" s="5"/>
      <c r="C545" s="5"/>
      <c r="D545" s="5"/>
      <c r="E545" s="5"/>
      <c r="F545" s="5"/>
      <c r="G545" s="2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customHeight="1" x14ac:dyDescent="0.25">
      <c r="A546" s="5"/>
      <c r="B546" s="5"/>
      <c r="C546" s="5"/>
      <c r="D546" s="5"/>
      <c r="E546" s="5"/>
      <c r="F546" s="5"/>
      <c r="G546" s="2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5.75" customHeight="1" x14ac:dyDescent="0.25">
      <c r="A547" s="5"/>
      <c r="B547" s="5"/>
      <c r="C547" s="5"/>
      <c r="D547" s="5"/>
      <c r="E547" s="5"/>
      <c r="F547" s="5"/>
      <c r="G547" s="2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5.75" customHeight="1" x14ac:dyDescent="0.25">
      <c r="A548" s="5"/>
      <c r="B548" s="5"/>
      <c r="C548" s="5"/>
      <c r="D548" s="5"/>
      <c r="E548" s="5"/>
      <c r="F548" s="5"/>
      <c r="G548" s="2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5.75" customHeight="1" x14ac:dyDescent="0.25">
      <c r="A549" s="5"/>
      <c r="B549" s="5"/>
      <c r="C549" s="5"/>
      <c r="D549" s="5"/>
      <c r="E549" s="5"/>
      <c r="F549" s="5"/>
      <c r="G549" s="2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5.75" customHeight="1" x14ac:dyDescent="0.25">
      <c r="A550" s="5"/>
      <c r="B550" s="5"/>
      <c r="C550" s="5"/>
      <c r="D550" s="5"/>
      <c r="E550" s="5"/>
      <c r="F550" s="5"/>
      <c r="G550" s="2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5.75" customHeight="1" x14ac:dyDescent="0.25">
      <c r="A551" s="5"/>
      <c r="B551" s="5"/>
      <c r="C551" s="5"/>
      <c r="D551" s="5"/>
      <c r="E551" s="5"/>
      <c r="F551" s="5"/>
      <c r="G551" s="2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customHeight="1" x14ac:dyDescent="0.25">
      <c r="A552" s="5"/>
      <c r="B552" s="5"/>
      <c r="C552" s="5"/>
      <c r="D552" s="5"/>
      <c r="E552" s="5"/>
      <c r="F552" s="5"/>
      <c r="G552" s="2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customHeight="1" x14ac:dyDescent="0.25">
      <c r="A553" s="5"/>
      <c r="B553" s="5"/>
      <c r="C553" s="5"/>
      <c r="D553" s="5"/>
      <c r="E553" s="5"/>
      <c r="F553" s="5"/>
      <c r="G553" s="2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5.75" customHeight="1" x14ac:dyDescent="0.25">
      <c r="A554" s="5"/>
      <c r="B554" s="5"/>
      <c r="C554" s="5"/>
      <c r="D554" s="5"/>
      <c r="E554" s="5"/>
      <c r="F554" s="5"/>
      <c r="G554" s="2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customHeight="1" x14ac:dyDescent="0.25">
      <c r="A555" s="5"/>
      <c r="B555" s="5"/>
      <c r="C555" s="5"/>
      <c r="D555" s="5"/>
      <c r="E555" s="5"/>
      <c r="F555" s="5"/>
      <c r="G555" s="2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5.75" customHeight="1" x14ac:dyDescent="0.25">
      <c r="A556" s="5"/>
      <c r="B556" s="5"/>
      <c r="C556" s="5"/>
      <c r="D556" s="5"/>
      <c r="E556" s="5"/>
      <c r="F556" s="5"/>
      <c r="G556" s="2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5.75" customHeight="1" x14ac:dyDescent="0.25">
      <c r="A557" s="5"/>
      <c r="B557" s="5"/>
      <c r="C557" s="5"/>
      <c r="D557" s="5"/>
      <c r="E557" s="5"/>
      <c r="F557" s="5"/>
      <c r="G557" s="2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customHeight="1" x14ac:dyDescent="0.25">
      <c r="A558" s="5"/>
      <c r="B558" s="5"/>
      <c r="C558" s="5"/>
      <c r="D558" s="5"/>
      <c r="E558" s="5"/>
      <c r="F558" s="5"/>
      <c r="G558" s="2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customHeight="1" x14ac:dyDescent="0.25">
      <c r="A559" s="5"/>
      <c r="B559" s="5"/>
      <c r="C559" s="5"/>
      <c r="D559" s="5"/>
      <c r="E559" s="5"/>
      <c r="F559" s="5"/>
      <c r="G559" s="2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5.75" customHeight="1" x14ac:dyDescent="0.25">
      <c r="A560" s="5"/>
      <c r="B560" s="5"/>
      <c r="C560" s="5"/>
      <c r="D560" s="5"/>
      <c r="E560" s="5"/>
      <c r="F560" s="5"/>
      <c r="G560" s="2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5.75" customHeight="1" x14ac:dyDescent="0.25">
      <c r="A561" s="5"/>
      <c r="B561" s="5"/>
      <c r="C561" s="5"/>
      <c r="D561" s="5"/>
      <c r="E561" s="5"/>
      <c r="F561" s="5"/>
      <c r="G561" s="2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5.75" customHeight="1" x14ac:dyDescent="0.25">
      <c r="A562" s="5"/>
      <c r="B562" s="5"/>
      <c r="C562" s="5"/>
      <c r="D562" s="5"/>
      <c r="E562" s="5"/>
      <c r="F562" s="5"/>
      <c r="G562" s="2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5.75" customHeight="1" x14ac:dyDescent="0.25">
      <c r="A563" s="5"/>
      <c r="B563" s="5"/>
      <c r="C563" s="5"/>
      <c r="D563" s="5"/>
      <c r="E563" s="5"/>
      <c r="F563" s="5"/>
      <c r="G563" s="2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5.75" customHeight="1" x14ac:dyDescent="0.25">
      <c r="A564" s="5"/>
      <c r="B564" s="5"/>
      <c r="C564" s="5"/>
      <c r="D564" s="5"/>
      <c r="E564" s="5"/>
      <c r="F564" s="5"/>
      <c r="G564" s="2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customHeight="1" x14ac:dyDescent="0.25">
      <c r="A565" s="5"/>
      <c r="B565" s="5"/>
      <c r="C565" s="5"/>
      <c r="D565" s="5"/>
      <c r="E565" s="5"/>
      <c r="F565" s="5"/>
      <c r="G565" s="2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customHeight="1" x14ac:dyDescent="0.25">
      <c r="A566" s="5"/>
      <c r="B566" s="5"/>
      <c r="C566" s="5"/>
      <c r="D566" s="5"/>
      <c r="E566" s="5"/>
      <c r="F566" s="5"/>
      <c r="G566" s="2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5.75" customHeight="1" x14ac:dyDescent="0.25">
      <c r="A567" s="5"/>
      <c r="B567" s="5"/>
      <c r="C567" s="5"/>
      <c r="D567" s="5"/>
      <c r="E567" s="5"/>
      <c r="F567" s="5"/>
      <c r="G567" s="2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5.75" customHeight="1" x14ac:dyDescent="0.25">
      <c r="A568" s="5"/>
      <c r="B568" s="5"/>
      <c r="C568" s="5"/>
      <c r="D568" s="5"/>
      <c r="E568" s="5"/>
      <c r="F568" s="5"/>
      <c r="G568" s="2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customHeight="1" x14ac:dyDescent="0.25">
      <c r="A569" s="5"/>
      <c r="B569" s="5"/>
      <c r="C569" s="5"/>
      <c r="D569" s="5"/>
      <c r="E569" s="5"/>
      <c r="F569" s="5"/>
      <c r="G569" s="2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customHeight="1" x14ac:dyDescent="0.25">
      <c r="A570" s="5"/>
      <c r="B570" s="5"/>
      <c r="C570" s="5"/>
      <c r="D570" s="5"/>
      <c r="E570" s="5"/>
      <c r="F570" s="5"/>
      <c r="G570" s="2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customHeight="1" x14ac:dyDescent="0.25">
      <c r="A571" s="5"/>
      <c r="B571" s="5"/>
      <c r="C571" s="5"/>
      <c r="D571" s="5"/>
      <c r="E571" s="5"/>
      <c r="F571" s="5"/>
      <c r="G571" s="2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customHeight="1" x14ac:dyDescent="0.25">
      <c r="A572" s="5"/>
      <c r="B572" s="5"/>
      <c r="C572" s="5"/>
      <c r="D572" s="5"/>
      <c r="E572" s="5"/>
      <c r="F572" s="5"/>
      <c r="G572" s="2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customHeight="1" x14ac:dyDescent="0.25">
      <c r="A573" s="5"/>
      <c r="B573" s="5"/>
      <c r="C573" s="5"/>
      <c r="D573" s="5"/>
      <c r="E573" s="5"/>
      <c r="F573" s="5"/>
      <c r="G573" s="2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5.75" customHeight="1" x14ac:dyDescent="0.25">
      <c r="A574" s="5"/>
      <c r="B574" s="5"/>
      <c r="C574" s="5"/>
      <c r="D574" s="5"/>
      <c r="E574" s="5"/>
      <c r="F574" s="5"/>
      <c r="G574" s="2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customHeight="1" x14ac:dyDescent="0.25">
      <c r="A575" s="5"/>
      <c r="B575" s="5"/>
      <c r="C575" s="5"/>
      <c r="D575" s="5"/>
      <c r="E575" s="5"/>
      <c r="F575" s="5"/>
      <c r="G575" s="2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customHeight="1" x14ac:dyDescent="0.25">
      <c r="A576" s="5"/>
      <c r="B576" s="5"/>
      <c r="C576" s="5"/>
      <c r="D576" s="5"/>
      <c r="E576" s="5"/>
      <c r="F576" s="5"/>
      <c r="G576" s="2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5.75" customHeight="1" x14ac:dyDescent="0.25">
      <c r="A577" s="5"/>
      <c r="B577" s="5"/>
      <c r="C577" s="5"/>
      <c r="D577" s="5"/>
      <c r="E577" s="5"/>
      <c r="F577" s="5"/>
      <c r="G577" s="2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customHeight="1" x14ac:dyDescent="0.25">
      <c r="A578" s="5"/>
      <c r="B578" s="5"/>
      <c r="C578" s="5"/>
      <c r="D578" s="5"/>
      <c r="E578" s="5"/>
      <c r="F578" s="5"/>
      <c r="G578" s="2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customHeight="1" x14ac:dyDescent="0.25">
      <c r="A579" s="5"/>
      <c r="B579" s="5"/>
      <c r="C579" s="5"/>
      <c r="D579" s="5"/>
      <c r="E579" s="5"/>
      <c r="F579" s="5"/>
      <c r="G579" s="2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5.75" customHeight="1" x14ac:dyDescent="0.25">
      <c r="A580" s="5"/>
      <c r="B580" s="5"/>
      <c r="C580" s="5"/>
      <c r="D580" s="5"/>
      <c r="E580" s="5"/>
      <c r="F580" s="5"/>
      <c r="G580" s="2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customHeight="1" x14ac:dyDescent="0.25">
      <c r="A581" s="5"/>
      <c r="B581" s="5"/>
      <c r="C581" s="5"/>
      <c r="D581" s="5"/>
      <c r="E581" s="5"/>
      <c r="F581" s="5"/>
      <c r="G581" s="2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5.75" customHeight="1" x14ac:dyDescent="0.25">
      <c r="A582" s="5"/>
      <c r="B582" s="5"/>
      <c r="C582" s="5"/>
      <c r="D582" s="5"/>
      <c r="E582" s="5"/>
      <c r="F582" s="5"/>
      <c r="G582" s="2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5.75" customHeight="1" x14ac:dyDescent="0.25">
      <c r="A583" s="5"/>
      <c r="B583" s="5"/>
      <c r="C583" s="5"/>
      <c r="D583" s="5"/>
      <c r="E583" s="5"/>
      <c r="F583" s="5"/>
      <c r="G583" s="2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customHeight="1" x14ac:dyDescent="0.25">
      <c r="A584" s="5"/>
      <c r="B584" s="5"/>
      <c r="C584" s="5"/>
      <c r="D584" s="5"/>
      <c r="E584" s="5"/>
      <c r="F584" s="5"/>
      <c r="G584" s="2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5.75" customHeight="1" x14ac:dyDescent="0.25">
      <c r="A585" s="5"/>
      <c r="B585" s="5"/>
      <c r="C585" s="5"/>
      <c r="D585" s="5"/>
      <c r="E585" s="5"/>
      <c r="F585" s="5"/>
      <c r="G585" s="2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customHeight="1" x14ac:dyDescent="0.25">
      <c r="A586" s="5"/>
      <c r="B586" s="5"/>
      <c r="C586" s="5"/>
      <c r="D586" s="5"/>
      <c r="E586" s="5"/>
      <c r="F586" s="5"/>
      <c r="G586" s="2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5.75" customHeight="1" x14ac:dyDescent="0.25">
      <c r="A587" s="5"/>
      <c r="B587" s="5"/>
      <c r="C587" s="5"/>
      <c r="D587" s="5"/>
      <c r="E587" s="5"/>
      <c r="F587" s="5"/>
      <c r="G587" s="2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customHeight="1" x14ac:dyDescent="0.25">
      <c r="A588" s="5"/>
      <c r="B588" s="5"/>
      <c r="C588" s="5"/>
      <c r="D588" s="5"/>
      <c r="E588" s="5"/>
      <c r="F588" s="5"/>
      <c r="G588" s="2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5.75" customHeight="1" x14ac:dyDescent="0.25">
      <c r="A589" s="5"/>
      <c r="B589" s="5"/>
      <c r="C589" s="5"/>
      <c r="D589" s="5"/>
      <c r="E589" s="5"/>
      <c r="F589" s="5"/>
      <c r="G589" s="2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5.75" customHeight="1" x14ac:dyDescent="0.25">
      <c r="A590" s="5"/>
      <c r="B590" s="5"/>
      <c r="C590" s="5"/>
      <c r="D590" s="5"/>
      <c r="E590" s="5"/>
      <c r="F590" s="5"/>
      <c r="G590" s="2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5.75" customHeight="1" x14ac:dyDescent="0.25">
      <c r="A591" s="5"/>
      <c r="B591" s="5"/>
      <c r="C591" s="5"/>
      <c r="D591" s="5"/>
      <c r="E591" s="5"/>
      <c r="F591" s="5"/>
      <c r="G591" s="2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5.75" customHeight="1" x14ac:dyDescent="0.25">
      <c r="A592" s="5"/>
      <c r="B592" s="5"/>
      <c r="C592" s="5"/>
      <c r="D592" s="5"/>
      <c r="E592" s="5"/>
      <c r="F592" s="5"/>
      <c r="G592" s="2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5.75" customHeight="1" x14ac:dyDescent="0.25">
      <c r="A593" s="5"/>
      <c r="B593" s="5"/>
      <c r="C593" s="5"/>
      <c r="D593" s="5"/>
      <c r="E593" s="5"/>
      <c r="F593" s="5"/>
      <c r="G593" s="2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customHeight="1" x14ac:dyDescent="0.25">
      <c r="A594" s="5"/>
      <c r="B594" s="5"/>
      <c r="C594" s="5"/>
      <c r="D594" s="5"/>
      <c r="E594" s="5"/>
      <c r="F594" s="5"/>
      <c r="G594" s="2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customHeight="1" x14ac:dyDescent="0.25">
      <c r="A595" s="5"/>
      <c r="B595" s="5"/>
      <c r="C595" s="5"/>
      <c r="D595" s="5"/>
      <c r="E595" s="5"/>
      <c r="F595" s="5"/>
      <c r="G595" s="2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customHeight="1" x14ac:dyDescent="0.25">
      <c r="A596" s="5"/>
      <c r="B596" s="5"/>
      <c r="C596" s="5"/>
      <c r="D596" s="5"/>
      <c r="E596" s="5"/>
      <c r="F596" s="5"/>
      <c r="G596" s="2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customHeight="1" x14ac:dyDescent="0.25">
      <c r="A597" s="5"/>
      <c r="B597" s="5"/>
      <c r="C597" s="5"/>
      <c r="D597" s="5"/>
      <c r="E597" s="5"/>
      <c r="F597" s="5"/>
      <c r="G597" s="2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customHeight="1" x14ac:dyDescent="0.25">
      <c r="A598" s="5"/>
      <c r="B598" s="5"/>
      <c r="C598" s="5"/>
      <c r="D598" s="5"/>
      <c r="E598" s="5"/>
      <c r="F598" s="5"/>
      <c r="G598" s="2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5.75" customHeight="1" x14ac:dyDescent="0.25">
      <c r="A599" s="5"/>
      <c r="B599" s="5"/>
      <c r="C599" s="5"/>
      <c r="D599" s="5"/>
      <c r="E599" s="5"/>
      <c r="F599" s="5"/>
      <c r="G599" s="2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customHeight="1" x14ac:dyDescent="0.25">
      <c r="A600" s="5"/>
      <c r="B600" s="5"/>
      <c r="C600" s="5"/>
      <c r="D600" s="5"/>
      <c r="E600" s="5"/>
      <c r="F600" s="5"/>
      <c r="G600" s="2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customHeight="1" x14ac:dyDescent="0.25">
      <c r="A601" s="5"/>
      <c r="B601" s="5"/>
      <c r="C601" s="5"/>
      <c r="D601" s="5"/>
      <c r="E601" s="5"/>
      <c r="F601" s="5"/>
      <c r="G601" s="2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customHeight="1" x14ac:dyDescent="0.25">
      <c r="A602" s="5"/>
      <c r="B602" s="5"/>
      <c r="C602" s="5"/>
      <c r="D602" s="5"/>
      <c r="E602" s="5"/>
      <c r="F602" s="5"/>
      <c r="G602" s="2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customHeight="1" x14ac:dyDescent="0.25">
      <c r="A603" s="5"/>
      <c r="B603" s="5"/>
      <c r="C603" s="5"/>
      <c r="D603" s="5"/>
      <c r="E603" s="5"/>
      <c r="F603" s="5"/>
      <c r="G603" s="2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customHeight="1" x14ac:dyDescent="0.25">
      <c r="A604" s="5"/>
      <c r="B604" s="5"/>
      <c r="C604" s="5"/>
      <c r="D604" s="5"/>
      <c r="E604" s="5"/>
      <c r="F604" s="5"/>
      <c r="G604" s="2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customHeight="1" x14ac:dyDescent="0.25">
      <c r="A605" s="5"/>
      <c r="B605" s="5"/>
      <c r="C605" s="5"/>
      <c r="D605" s="5"/>
      <c r="E605" s="5"/>
      <c r="F605" s="5"/>
      <c r="G605" s="2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5.75" customHeight="1" x14ac:dyDescent="0.25">
      <c r="A606" s="5"/>
      <c r="B606" s="5"/>
      <c r="C606" s="5"/>
      <c r="D606" s="5"/>
      <c r="E606" s="5"/>
      <c r="F606" s="5"/>
      <c r="G606" s="2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5.75" customHeight="1" x14ac:dyDescent="0.25">
      <c r="A607" s="5"/>
      <c r="B607" s="5"/>
      <c r="C607" s="5"/>
      <c r="D607" s="5"/>
      <c r="E607" s="5"/>
      <c r="F607" s="5"/>
      <c r="G607" s="2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5.75" customHeight="1" x14ac:dyDescent="0.25">
      <c r="A608" s="5"/>
      <c r="B608" s="5"/>
      <c r="C608" s="5"/>
      <c r="D608" s="5"/>
      <c r="E608" s="5"/>
      <c r="F608" s="5"/>
      <c r="G608" s="2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customHeight="1" x14ac:dyDescent="0.25">
      <c r="A609" s="5"/>
      <c r="B609" s="5"/>
      <c r="C609" s="5"/>
      <c r="D609" s="5"/>
      <c r="E609" s="5"/>
      <c r="F609" s="5"/>
      <c r="G609" s="2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customHeight="1" x14ac:dyDescent="0.25">
      <c r="A610" s="5"/>
      <c r="B610" s="5"/>
      <c r="C610" s="5"/>
      <c r="D610" s="5"/>
      <c r="E610" s="5"/>
      <c r="F610" s="5"/>
      <c r="G610" s="2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customHeight="1" x14ac:dyDescent="0.25">
      <c r="A611" s="5"/>
      <c r="B611" s="5"/>
      <c r="C611" s="5"/>
      <c r="D611" s="5"/>
      <c r="E611" s="5"/>
      <c r="F611" s="5"/>
      <c r="G611" s="2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customHeight="1" x14ac:dyDescent="0.25">
      <c r="A612" s="5"/>
      <c r="B612" s="5"/>
      <c r="C612" s="5"/>
      <c r="D612" s="5"/>
      <c r="E612" s="5"/>
      <c r="F612" s="5"/>
      <c r="G612" s="2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customHeight="1" x14ac:dyDescent="0.25">
      <c r="A613" s="5"/>
      <c r="B613" s="5"/>
      <c r="C613" s="5"/>
      <c r="D613" s="5"/>
      <c r="E613" s="5"/>
      <c r="F613" s="5"/>
      <c r="G613" s="2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customHeight="1" x14ac:dyDescent="0.25">
      <c r="A614" s="5"/>
      <c r="B614" s="5"/>
      <c r="C614" s="5"/>
      <c r="D614" s="5"/>
      <c r="E614" s="5"/>
      <c r="F614" s="5"/>
      <c r="G614" s="2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5.75" customHeight="1" x14ac:dyDescent="0.25">
      <c r="A615" s="5"/>
      <c r="B615" s="5"/>
      <c r="C615" s="5"/>
      <c r="D615" s="5"/>
      <c r="E615" s="5"/>
      <c r="F615" s="5"/>
      <c r="G615" s="2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5.75" customHeight="1" x14ac:dyDescent="0.25">
      <c r="A616" s="5"/>
      <c r="B616" s="5"/>
      <c r="C616" s="5"/>
      <c r="D616" s="5"/>
      <c r="E616" s="5"/>
      <c r="F616" s="5"/>
      <c r="G616" s="2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5.75" customHeight="1" x14ac:dyDescent="0.25">
      <c r="A617" s="5"/>
      <c r="B617" s="5"/>
      <c r="C617" s="5"/>
      <c r="D617" s="5"/>
      <c r="E617" s="5"/>
      <c r="F617" s="5"/>
      <c r="G617" s="2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5.75" customHeight="1" x14ac:dyDescent="0.25">
      <c r="A618" s="5"/>
      <c r="B618" s="5"/>
      <c r="C618" s="5"/>
      <c r="D618" s="5"/>
      <c r="E618" s="5"/>
      <c r="F618" s="5"/>
      <c r="G618" s="2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5.75" customHeight="1" x14ac:dyDescent="0.25">
      <c r="A619" s="5"/>
      <c r="B619" s="5"/>
      <c r="C619" s="5"/>
      <c r="D619" s="5"/>
      <c r="E619" s="5"/>
      <c r="F619" s="5"/>
      <c r="G619" s="2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5.75" customHeight="1" x14ac:dyDescent="0.25">
      <c r="A620" s="5"/>
      <c r="B620" s="5"/>
      <c r="C620" s="5"/>
      <c r="D620" s="5"/>
      <c r="E620" s="5"/>
      <c r="F620" s="5"/>
      <c r="G620" s="2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5.75" customHeight="1" x14ac:dyDescent="0.25">
      <c r="A621" s="5"/>
      <c r="B621" s="5"/>
      <c r="C621" s="5"/>
      <c r="D621" s="5"/>
      <c r="E621" s="5"/>
      <c r="F621" s="5"/>
      <c r="G621" s="2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5.75" customHeight="1" x14ac:dyDescent="0.25">
      <c r="A622" s="5"/>
      <c r="B622" s="5"/>
      <c r="C622" s="5"/>
      <c r="D622" s="5"/>
      <c r="E622" s="5"/>
      <c r="F622" s="5"/>
      <c r="G622" s="2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customHeight="1" x14ac:dyDescent="0.25">
      <c r="A623" s="5"/>
      <c r="B623" s="5"/>
      <c r="C623" s="5"/>
      <c r="D623" s="5"/>
      <c r="E623" s="5"/>
      <c r="F623" s="5"/>
      <c r="G623" s="2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5.75" customHeight="1" x14ac:dyDescent="0.25">
      <c r="A624" s="5"/>
      <c r="B624" s="5"/>
      <c r="C624" s="5"/>
      <c r="D624" s="5"/>
      <c r="E624" s="5"/>
      <c r="F624" s="5"/>
      <c r="G624" s="2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5.75" customHeight="1" x14ac:dyDescent="0.25">
      <c r="A625" s="5"/>
      <c r="B625" s="5"/>
      <c r="C625" s="5"/>
      <c r="D625" s="5"/>
      <c r="E625" s="5"/>
      <c r="F625" s="5"/>
      <c r="G625" s="2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customHeight="1" x14ac:dyDescent="0.25">
      <c r="A626" s="5"/>
      <c r="B626" s="5"/>
      <c r="C626" s="5"/>
      <c r="D626" s="5"/>
      <c r="E626" s="5"/>
      <c r="F626" s="5"/>
      <c r="G626" s="2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5.75" customHeight="1" x14ac:dyDescent="0.25">
      <c r="A627" s="5"/>
      <c r="B627" s="5"/>
      <c r="C627" s="5"/>
      <c r="D627" s="5"/>
      <c r="E627" s="5"/>
      <c r="F627" s="5"/>
      <c r="G627" s="2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5.75" customHeight="1" x14ac:dyDescent="0.25">
      <c r="A628" s="5"/>
      <c r="B628" s="5"/>
      <c r="C628" s="5"/>
      <c r="D628" s="5"/>
      <c r="E628" s="5"/>
      <c r="F628" s="5"/>
      <c r="G628" s="2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customHeight="1" x14ac:dyDescent="0.25">
      <c r="A629" s="5"/>
      <c r="B629" s="5"/>
      <c r="C629" s="5"/>
      <c r="D629" s="5"/>
      <c r="E629" s="5"/>
      <c r="F629" s="5"/>
      <c r="G629" s="2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customHeight="1" x14ac:dyDescent="0.25">
      <c r="A630" s="5"/>
      <c r="B630" s="5"/>
      <c r="C630" s="5"/>
      <c r="D630" s="5"/>
      <c r="E630" s="5"/>
      <c r="F630" s="5"/>
      <c r="G630" s="2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customHeight="1" x14ac:dyDescent="0.25">
      <c r="A631" s="5"/>
      <c r="B631" s="5"/>
      <c r="C631" s="5"/>
      <c r="D631" s="5"/>
      <c r="E631" s="5"/>
      <c r="F631" s="5"/>
      <c r="G631" s="2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customHeight="1" x14ac:dyDescent="0.25">
      <c r="A632" s="5"/>
      <c r="B632" s="5"/>
      <c r="C632" s="5"/>
      <c r="D632" s="5"/>
      <c r="E632" s="5"/>
      <c r="F632" s="5"/>
      <c r="G632" s="2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customHeight="1" x14ac:dyDescent="0.25">
      <c r="A633" s="5"/>
      <c r="B633" s="5"/>
      <c r="C633" s="5"/>
      <c r="D633" s="5"/>
      <c r="E633" s="5"/>
      <c r="F633" s="5"/>
      <c r="G633" s="2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customHeight="1" x14ac:dyDescent="0.25">
      <c r="A634" s="5"/>
      <c r="B634" s="5"/>
      <c r="C634" s="5"/>
      <c r="D634" s="5"/>
      <c r="E634" s="5"/>
      <c r="F634" s="5"/>
      <c r="G634" s="2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5.75" customHeight="1" x14ac:dyDescent="0.25">
      <c r="A635" s="5"/>
      <c r="B635" s="5"/>
      <c r="C635" s="5"/>
      <c r="D635" s="5"/>
      <c r="E635" s="5"/>
      <c r="F635" s="5"/>
      <c r="G635" s="2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5.75" customHeight="1" x14ac:dyDescent="0.25">
      <c r="A636" s="5"/>
      <c r="B636" s="5"/>
      <c r="C636" s="5"/>
      <c r="D636" s="5"/>
      <c r="E636" s="5"/>
      <c r="F636" s="5"/>
      <c r="G636" s="2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5.75" customHeight="1" x14ac:dyDescent="0.25">
      <c r="A637" s="5"/>
      <c r="B637" s="5"/>
      <c r="C637" s="5"/>
      <c r="D637" s="5"/>
      <c r="E637" s="5"/>
      <c r="F637" s="5"/>
      <c r="G637" s="2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5.75" customHeight="1" x14ac:dyDescent="0.25">
      <c r="A638" s="5"/>
      <c r="B638" s="5"/>
      <c r="C638" s="5"/>
      <c r="D638" s="5"/>
      <c r="E638" s="5"/>
      <c r="F638" s="5"/>
      <c r="G638" s="2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5.75" customHeight="1" x14ac:dyDescent="0.25">
      <c r="A639" s="5"/>
      <c r="B639" s="5"/>
      <c r="C639" s="5"/>
      <c r="D639" s="5"/>
      <c r="E639" s="5"/>
      <c r="F639" s="5"/>
      <c r="G639" s="2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customHeight="1" x14ac:dyDescent="0.25">
      <c r="A640" s="5"/>
      <c r="B640" s="5"/>
      <c r="C640" s="5"/>
      <c r="D640" s="5"/>
      <c r="E640" s="5"/>
      <c r="F640" s="5"/>
      <c r="G640" s="2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5.75" customHeight="1" x14ac:dyDescent="0.25">
      <c r="A641" s="5"/>
      <c r="B641" s="5"/>
      <c r="C641" s="5"/>
      <c r="D641" s="5"/>
      <c r="E641" s="5"/>
      <c r="F641" s="5"/>
      <c r="G641" s="2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5.75" customHeight="1" x14ac:dyDescent="0.25">
      <c r="A642" s="5"/>
      <c r="B642" s="5"/>
      <c r="C642" s="5"/>
      <c r="D642" s="5"/>
      <c r="E642" s="5"/>
      <c r="F642" s="5"/>
      <c r="G642" s="2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customHeight="1" x14ac:dyDescent="0.25">
      <c r="A643" s="5"/>
      <c r="B643" s="5"/>
      <c r="C643" s="5"/>
      <c r="D643" s="5"/>
      <c r="E643" s="5"/>
      <c r="F643" s="5"/>
      <c r="G643" s="2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customHeight="1" x14ac:dyDescent="0.25">
      <c r="A644" s="5"/>
      <c r="B644" s="5"/>
      <c r="C644" s="5"/>
      <c r="D644" s="5"/>
      <c r="E644" s="5"/>
      <c r="F644" s="5"/>
      <c r="G644" s="2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customHeight="1" x14ac:dyDescent="0.25">
      <c r="A645" s="5"/>
      <c r="B645" s="5"/>
      <c r="C645" s="5"/>
      <c r="D645" s="5"/>
      <c r="E645" s="5"/>
      <c r="F645" s="5"/>
      <c r="G645" s="2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customHeight="1" x14ac:dyDescent="0.25">
      <c r="A646" s="5"/>
      <c r="B646" s="5"/>
      <c r="C646" s="5"/>
      <c r="D646" s="5"/>
      <c r="E646" s="5"/>
      <c r="F646" s="5"/>
      <c r="G646" s="2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customHeight="1" x14ac:dyDescent="0.25">
      <c r="A647" s="5"/>
      <c r="B647" s="5"/>
      <c r="C647" s="5"/>
      <c r="D647" s="5"/>
      <c r="E647" s="5"/>
      <c r="F647" s="5"/>
      <c r="G647" s="2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5.75" customHeight="1" x14ac:dyDescent="0.25">
      <c r="A648" s="5"/>
      <c r="B648" s="5"/>
      <c r="C648" s="5"/>
      <c r="D648" s="5"/>
      <c r="E648" s="5"/>
      <c r="F648" s="5"/>
      <c r="G648" s="2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customHeight="1" x14ac:dyDescent="0.25">
      <c r="A649" s="5"/>
      <c r="B649" s="5"/>
      <c r="C649" s="5"/>
      <c r="D649" s="5"/>
      <c r="E649" s="5"/>
      <c r="F649" s="5"/>
      <c r="G649" s="2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5.75" customHeight="1" x14ac:dyDescent="0.25">
      <c r="A650" s="5"/>
      <c r="B650" s="5"/>
      <c r="C650" s="5"/>
      <c r="D650" s="5"/>
      <c r="E650" s="5"/>
      <c r="F650" s="5"/>
      <c r="G650" s="2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5.75" customHeight="1" x14ac:dyDescent="0.25">
      <c r="A651" s="5"/>
      <c r="B651" s="5"/>
      <c r="C651" s="5"/>
      <c r="D651" s="5"/>
      <c r="E651" s="5"/>
      <c r="F651" s="5"/>
      <c r="G651" s="2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5.75" customHeight="1" x14ac:dyDescent="0.25">
      <c r="A652" s="5"/>
      <c r="B652" s="5"/>
      <c r="C652" s="5"/>
      <c r="D652" s="5"/>
      <c r="E652" s="5"/>
      <c r="F652" s="5"/>
      <c r="G652" s="2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5.75" customHeight="1" x14ac:dyDescent="0.25">
      <c r="A653" s="5"/>
      <c r="B653" s="5"/>
      <c r="C653" s="5"/>
      <c r="D653" s="5"/>
      <c r="E653" s="5"/>
      <c r="F653" s="5"/>
      <c r="G653" s="2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5.75" customHeight="1" x14ac:dyDescent="0.25">
      <c r="A654" s="5"/>
      <c r="B654" s="5"/>
      <c r="C654" s="5"/>
      <c r="D654" s="5"/>
      <c r="E654" s="5"/>
      <c r="F654" s="5"/>
      <c r="G654" s="2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5.75" customHeight="1" x14ac:dyDescent="0.25">
      <c r="A655" s="5"/>
      <c r="B655" s="5"/>
      <c r="C655" s="5"/>
      <c r="D655" s="5"/>
      <c r="E655" s="5"/>
      <c r="F655" s="5"/>
      <c r="G655" s="2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5.75" customHeight="1" x14ac:dyDescent="0.25">
      <c r="A656" s="5"/>
      <c r="B656" s="5"/>
      <c r="C656" s="5"/>
      <c r="D656" s="5"/>
      <c r="E656" s="5"/>
      <c r="F656" s="5"/>
      <c r="G656" s="2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customHeight="1" x14ac:dyDescent="0.25">
      <c r="A657" s="5"/>
      <c r="B657" s="5"/>
      <c r="C657" s="5"/>
      <c r="D657" s="5"/>
      <c r="E657" s="5"/>
      <c r="F657" s="5"/>
      <c r="G657" s="2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5.75" customHeight="1" x14ac:dyDescent="0.25">
      <c r="A658" s="5"/>
      <c r="B658" s="5"/>
      <c r="C658" s="5"/>
      <c r="D658" s="5"/>
      <c r="E658" s="5"/>
      <c r="F658" s="5"/>
      <c r="G658" s="2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5.75" customHeight="1" x14ac:dyDescent="0.25">
      <c r="A659" s="5"/>
      <c r="B659" s="5"/>
      <c r="C659" s="5"/>
      <c r="D659" s="5"/>
      <c r="E659" s="5"/>
      <c r="F659" s="5"/>
      <c r="G659" s="2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5.75" customHeight="1" x14ac:dyDescent="0.25">
      <c r="A660" s="5"/>
      <c r="B660" s="5"/>
      <c r="C660" s="5"/>
      <c r="D660" s="5"/>
      <c r="E660" s="5"/>
      <c r="F660" s="5"/>
      <c r="G660" s="2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5.75" customHeight="1" x14ac:dyDescent="0.25">
      <c r="A661" s="5"/>
      <c r="B661" s="5"/>
      <c r="C661" s="5"/>
      <c r="D661" s="5"/>
      <c r="E661" s="5"/>
      <c r="F661" s="5"/>
      <c r="G661" s="2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5.75" customHeight="1" x14ac:dyDescent="0.25">
      <c r="A662" s="5"/>
      <c r="B662" s="5"/>
      <c r="C662" s="5"/>
      <c r="D662" s="5"/>
      <c r="E662" s="5"/>
      <c r="F662" s="5"/>
      <c r="G662" s="2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5.75" customHeight="1" x14ac:dyDescent="0.25">
      <c r="A663" s="5"/>
      <c r="B663" s="5"/>
      <c r="C663" s="5"/>
      <c r="D663" s="5"/>
      <c r="E663" s="5"/>
      <c r="F663" s="5"/>
      <c r="G663" s="2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5.75" customHeight="1" x14ac:dyDescent="0.25">
      <c r="A664" s="5"/>
      <c r="B664" s="5"/>
      <c r="C664" s="5"/>
      <c r="D664" s="5"/>
      <c r="E664" s="5"/>
      <c r="F664" s="5"/>
      <c r="G664" s="2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customHeight="1" x14ac:dyDescent="0.25">
      <c r="A665" s="5"/>
      <c r="B665" s="5"/>
      <c r="C665" s="5"/>
      <c r="D665" s="5"/>
      <c r="E665" s="5"/>
      <c r="F665" s="5"/>
      <c r="G665" s="2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5.75" customHeight="1" x14ac:dyDescent="0.25">
      <c r="A666" s="5"/>
      <c r="B666" s="5"/>
      <c r="C666" s="5"/>
      <c r="D666" s="5"/>
      <c r="E666" s="5"/>
      <c r="F666" s="5"/>
      <c r="G666" s="2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5.75" customHeight="1" x14ac:dyDescent="0.25">
      <c r="A667" s="5"/>
      <c r="B667" s="5"/>
      <c r="C667" s="5"/>
      <c r="D667" s="5"/>
      <c r="E667" s="5"/>
      <c r="F667" s="5"/>
      <c r="G667" s="2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customHeight="1" x14ac:dyDescent="0.25">
      <c r="A668" s="5"/>
      <c r="B668" s="5"/>
      <c r="C668" s="5"/>
      <c r="D668" s="5"/>
      <c r="E668" s="5"/>
      <c r="F668" s="5"/>
      <c r="G668" s="2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5.75" customHeight="1" x14ac:dyDescent="0.25">
      <c r="A669" s="5"/>
      <c r="B669" s="5"/>
      <c r="C669" s="5"/>
      <c r="D669" s="5"/>
      <c r="E669" s="5"/>
      <c r="F669" s="5"/>
      <c r="G669" s="2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5.75" customHeight="1" x14ac:dyDescent="0.25">
      <c r="A670" s="5"/>
      <c r="B670" s="5"/>
      <c r="C670" s="5"/>
      <c r="D670" s="5"/>
      <c r="E670" s="5"/>
      <c r="F670" s="5"/>
      <c r="G670" s="2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5.75" customHeight="1" x14ac:dyDescent="0.25">
      <c r="A671" s="5"/>
      <c r="B671" s="5"/>
      <c r="C671" s="5"/>
      <c r="D671" s="5"/>
      <c r="E671" s="5"/>
      <c r="F671" s="5"/>
      <c r="G671" s="2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5.75" customHeight="1" x14ac:dyDescent="0.25">
      <c r="A672" s="5"/>
      <c r="B672" s="5"/>
      <c r="C672" s="5"/>
      <c r="D672" s="5"/>
      <c r="E672" s="5"/>
      <c r="F672" s="5"/>
      <c r="G672" s="2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customHeight="1" x14ac:dyDescent="0.25">
      <c r="A673" s="5"/>
      <c r="B673" s="5"/>
      <c r="C673" s="5"/>
      <c r="D673" s="5"/>
      <c r="E673" s="5"/>
      <c r="F673" s="5"/>
      <c r="G673" s="2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customHeight="1" x14ac:dyDescent="0.25">
      <c r="A674" s="5"/>
      <c r="B674" s="5"/>
      <c r="C674" s="5"/>
      <c r="D674" s="5"/>
      <c r="E674" s="5"/>
      <c r="F674" s="5"/>
      <c r="G674" s="2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customHeight="1" x14ac:dyDescent="0.25">
      <c r="A675" s="5"/>
      <c r="B675" s="5"/>
      <c r="C675" s="5"/>
      <c r="D675" s="5"/>
      <c r="E675" s="5"/>
      <c r="F675" s="5"/>
      <c r="G675" s="2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customHeight="1" x14ac:dyDescent="0.25">
      <c r="A676" s="5"/>
      <c r="B676" s="5"/>
      <c r="C676" s="5"/>
      <c r="D676" s="5"/>
      <c r="E676" s="5"/>
      <c r="F676" s="5"/>
      <c r="G676" s="2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customHeight="1" x14ac:dyDescent="0.25">
      <c r="A677" s="5"/>
      <c r="B677" s="5"/>
      <c r="C677" s="5"/>
      <c r="D677" s="5"/>
      <c r="E677" s="5"/>
      <c r="F677" s="5"/>
      <c r="G677" s="2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5.75" customHeight="1" x14ac:dyDescent="0.25">
      <c r="A678" s="5"/>
      <c r="B678" s="5"/>
      <c r="C678" s="5"/>
      <c r="D678" s="5"/>
      <c r="E678" s="5"/>
      <c r="F678" s="5"/>
      <c r="G678" s="2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5.75" customHeight="1" x14ac:dyDescent="0.25">
      <c r="A679" s="5"/>
      <c r="B679" s="5"/>
      <c r="C679" s="5"/>
      <c r="D679" s="5"/>
      <c r="E679" s="5"/>
      <c r="F679" s="5"/>
      <c r="G679" s="2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customHeight="1" x14ac:dyDescent="0.25">
      <c r="A680" s="5"/>
      <c r="B680" s="5"/>
      <c r="C680" s="5"/>
      <c r="D680" s="5"/>
      <c r="E680" s="5"/>
      <c r="F680" s="5"/>
      <c r="G680" s="2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5.75" customHeight="1" x14ac:dyDescent="0.25">
      <c r="A681" s="5"/>
      <c r="B681" s="5"/>
      <c r="C681" s="5"/>
      <c r="D681" s="5"/>
      <c r="E681" s="5"/>
      <c r="F681" s="5"/>
      <c r="G681" s="2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5.75" customHeight="1" x14ac:dyDescent="0.25">
      <c r="A682" s="5"/>
      <c r="B682" s="5"/>
      <c r="C682" s="5"/>
      <c r="D682" s="5"/>
      <c r="E682" s="5"/>
      <c r="F682" s="5"/>
      <c r="G682" s="2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customHeight="1" x14ac:dyDescent="0.25">
      <c r="A683" s="5"/>
      <c r="B683" s="5"/>
      <c r="C683" s="5"/>
      <c r="D683" s="5"/>
      <c r="E683" s="5"/>
      <c r="F683" s="5"/>
      <c r="G683" s="2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customHeight="1" x14ac:dyDescent="0.25">
      <c r="A684" s="5"/>
      <c r="B684" s="5"/>
      <c r="C684" s="5"/>
      <c r="D684" s="5"/>
      <c r="E684" s="5"/>
      <c r="F684" s="5"/>
      <c r="G684" s="2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5.75" customHeight="1" x14ac:dyDescent="0.25">
      <c r="A685" s="5"/>
      <c r="B685" s="5"/>
      <c r="C685" s="5"/>
      <c r="D685" s="5"/>
      <c r="E685" s="5"/>
      <c r="F685" s="5"/>
      <c r="G685" s="2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customHeight="1" x14ac:dyDescent="0.25">
      <c r="A686" s="5"/>
      <c r="B686" s="5"/>
      <c r="C686" s="5"/>
      <c r="D686" s="5"/>
      <c r="E686" s="5"/>
      <c r="F686" s="5"/>
      <c r="G686" s="2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customHeight="1" x14ac:dyDescent="0.25">
      <c r="A687" s="5"/>
      <c r="B687" s="5"/>
      <c r="C687" s="5"/>
      <c r="D687" s="5"/>
      <c r="E687" s="5"/>
      <c r="F687" s="5"/>
      <c r="G687" s="2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customHeight="1" x14ac:dyDescent="0.25">
      <c r="A688" s="5"/>
      <c r="B688" s="5"/>
      <c r="C688" s="5"/>
      <c r="D688" s="5"/>
      <c r="E688" s="5"/>
      <c r="F688" s="5"/>
      <c r="G688" s="2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5.75" customHeight="1" x14ac:dyDescent="0.25">
      <c r="A689" s="5"/>
      <c r="B689" s="5"/>
      <c r="C689" s="5"/>
      <c r="D689" s="5"/>
      <c r="E689" s="5"/>
      <c r="F689" s="5"/>
      <c r="G689" s="2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customHeight="1" x14ac:dyDescent="0.25">
      <c r="A690" s="5"/>
      <c r="B690" s="5"/>
      <c r="C690" s="5"/>
      <c r="D690" s="5"/>
      <c r="E690" s="5"/>
      <c r="F690" s="5"/>
      <c r="G690" s="2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customHeight="1" x14ac:dyDescent="0.25">
      <c r="A691" s="5"/>
      <c r="B691" s="5"/>
      <c r="C691" s="5"/>
      <c r="D691" s="5"/>
      <c r="E691" s="5"/>
      <c r="F691" s="5"/>
      <c r="G691" s="2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5.75" customHeight="1" x14ac:dyDescent="0.25">
      <c r="A692" s="5"/>
      <c r="B692" s="5"/>
      <c r="C692" s="5"/>
      <c r="D692" s="5"/>
      <c r="E692" s="5"/>
      <c r="F692" s="5"/>
      <c r="G692" s="2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customHeight="1" x14ac:dyDescent="0.25">
      <c r="A693" s="5"/>
      <c r="B693" s="5"/>
      <c r="C693" s="5"/>
      <c r="D693" s="5"/>
      <c r="E693" s="5"/>
      <c r="F693" s="5"/>
      <c r="G693" s="2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5.75" customHeight="1" x14ac:dyDescent="0.25">
      <c r="A694" s="5"/>
      <c r="B694" s="5"/>
      <c r="C694" s="5"/>
      <c r="D694" s="5"/>
      <c r="E694" s="5"/>
      <c r="F694" s="5"/>
      <c r="G694" s="2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5.75" customHeight="1" x14ac:dyDescent="0.25">
      <c r="A695" s="5"/>
      <c r="B695" s="5"/>
      <c r="C695" s="5"/>
      <c r="D695" s="5"/>
      <c r="E695" s="5"/>
      <c r="F695" s="5"/>
      <c r="G695" s="2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5.75" customHeight="1" x14ac:dyDescent="0.25">
      <c r="A696" s="5"/>
      <c r="B696" s="5"/>
      <c r="C696" s="5"/>
      <c r="D696" s="5"/>
      <c r="E696" s="5"/>
      <c r="F696" s="5"/>
      <c r="G696" s="2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5.75" customHeight="1" x14ac:dyDescent="0.25">
      <c r="A697" s="5"/>
      <c r="B697" s="5"/>
      <c r="C697" s="5"/>
      <c r="D697" s="5"/>
      <c r="E697" s="5"/>
      <c r="F697" s="5"/>
      <c r="G697" s="2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5.75" customHeight="1" x14ac:dyDescent="0.25">
      <c r="A698" s="5"/>
      <c r="B698" s="5"/>
      <c r="C698" s="5"/>
      <c r="D698" s="5"/>
      <c r="E698" s="5"/>
      <c r="F698" s="5"/>
      <c r="G698" s="2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5.75" customHeight="1" x14ac:dyDescent="0.25">
      <c r="A699" s="5"/>
      <c r="B699" s="5"/>
      <c r="C699" s="5"/>
      <c r="D699" s="5"/>
      <c r="E699" s="5"/>
      <c r="F699" s="5"/>
      <c r="G699" s="2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5.75" customHeight="1" x14ac:dyDescent="0.25">
      <c r="A700" s="5"/>
      <c r="B700" s="5"/>
      <c r="C700" s="5"/>
      <c r="D700" s="5"/>
      <c r="E700" s="5"/>
      <c r="F700" s="5"/>
      <c r="G700" s="2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5.75" customHeight="1" x14ac:dyDescent="0.25">
      <c r="A701" s="5"/>
      <c r="B701" s="5"/>
      <c r="C701" s="5"/>
      <c r="D701" s="5"/>
      <c r="E701" s="5"/>
      <c r="F701" s="5"/>
      <c r="G701" s="2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5.75" customHeight="1" x14ac:dyDescent="0.25">
      <c r="A702" s="5"/>
      <c r="B702" s="5"/>
      <c r="C702" s="5"/>
      <c r="D702" s="5"/>
      <c r="E702" s="5"/>
      <c r="F702" s="5"/>
      <c r="G702" s="2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5.75" customHeight="1" x14ac:dyDescent="0.25">
      <c r="A703" s="5"/>
      <c r="B703" s="5"/>
      <c r="C703" s="5"/>
      <c r="D703" s="5"/>
      <c r="E703" s="5"/>
      <c r="F703" s="5"/>
      <c r="G703" s="2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5.75" customHeight="1" x14ac:dyDescent="0.25">
      <c r="A704" s="5"/>
      <c r="B704" s="5"/>
      <c r="C704" s="5"/>
      <c r="D704" s="5"/>
      <c r="E704" s="5"/>
      <c r="F704" s="5"/>
      <c r="G704" s="2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5.75" customHeight="1" x14ac:dyDescent="0.25">
      <c r="A705" s="5"/>
      <c r="B705" s="5"/>
      <c r="C705" s="5"/>
      <c r="D705" s="5"/>
      <c r="E705" s="5"/>
      <c r="F705" s="5"/>
      <c r="G705" s="2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5.75" customHeight="1" x14ac:dyDescent="0.25">
      <c r="A706" s="5"/>
      <c r="B706" s="5"/>
      <c r="C706" s="5"/>
      <c r="D706" s="5"/>
      <c r="E706" s="5"/>
      <c r="F706" s="5"/>
      <c r="G706" s="2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5.75" customHeight="1" x14ac:dyDescent="0.25">
      <c r="A707" s="5"/>
      <c r="B707" s="5"/>
      <c r="C707" s="5"/>
      <c r="D707" s="5"/>
      <c r="E707" s="5"/>
      <c r="F707" s="5"/>
      <c r="G707" s="2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5.75" customHeight="1" x14ac:dyDescent="0.25">
      <c r="A708" s="5"/>
      <c r="B708" s="5"/>
      <c r="C708" s="5"/>
      <c r="D708" s="5"/>
      <c r="E708" s="5"/>
      <c r="F708" s="5"/>
      <c r="G708" s="2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5.75" customHeight="1" x14ac:dyDescent="0.25">
      <c r="A709" s="5"/>
      <c r="B709" s="5"/>
      <c r="C709" s="5"/>
      <c r="D709" s="5"/>
      <c r="E709" s="5"/>
      <c r="F709" s="5"/>
      <c r="G709" s="2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5.75" customHeight="1" x14ac:dyDescent="0.25">
      <c r="A710" s="5"/>
      <c r="B710" s="5"/>
      <c r="C710" s="5"/>
      <c r="D710" s="5"/>
      <c r="E710" s="5"/>
      <c r="F710" s="5"/>
      <c r="G710" s="2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5.75" customHeight="1" x14ac:dyDescent="0.25">
      <c r="A711" s="5"/>
      <c r="B711" s="5"/>
      <c r="C711" s="5"/>
      <c r="D711" s="5"/>
      <c r="E711" s="5"/>
      <c r="F711" s="5"/>
      <c r="G711" s="2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5.75" customHeight="1" x14ac:dyDescent="0.25">
      <c r="A712" s="5"/>
      <c r="B712" s="5"/>
      <c r="C712" s="5"/>
      <c r="D712" s="5"/>
      <c r="E712" s="5"/>
      <c r="F712" s="5"/>
      <c r="G712" s="2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5.75" customHeight="1" x14ac:dyDescent="0.25">
      <c r="A713" s="5"/>
      <c r="B713" s="5"/>
      <c r="C713" s="5"/>
      <c r="D713" s="5"/>
      <c r="E713" s="5"/>
      <c r="F713" s="5"/>
      <c r="G713" s="2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5.75" customHeight="1" x14ac:dyDescent="0.25">
      <c r="A714" s="5"/>
      <c r="B714" s="5"/>
      <c r="C714" s="5"/>
      <c r="D714" s="5"/>
      <c r="E714" s="5"/>
      <c r="F714" s="5"/>
      <c r="G714" s="2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5.75" customHeight="1" x14ac:dyDescent="0.25">
      <c r="A715" s="5"/>
      <c r="B715" s="5"/>
      <c r="C715" s="5"/>
      <c r="D715" s="5"/>
      <c r="E715" s="5"/>
      <c r="F715" s="5"/>
      <c r="G715" s="2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5.75" customHeight="1" x14ac:dyDescent="0.25">
      <c r="A716" s="5"/>
      <c r="B716" s="5"/>
      <c r="C716" s="5"/>
      <c r="D716" s="5"/>
      <c r="E716" s="5"/>
      <c r="F716" s="5"/>
      <c r="G716" s="2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5.75" customHeight="1" x14ac:dyDescent="0.25">
      <c r="A717" s="5"/>
      <c r="B717" s="5"/>
      <c r="C717" s="5"/>
      <c r="D717" s="5"/>
      <c r="E717" s="5"/>
      <c r="F717" s="5"/>
      <c r="G717" s="2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5.75" customHeight="1" x14ac:dyDescent="0.25">
      <c r="A718" s="5"/>
      <c r="B718" s="5"/>
      <c r="C718" s="5"/>
      <c r="D718" s="5"/>
      <c r="E718" s="5"/>
      <c r="F718" s="5"/>
      <c r="G718" s="2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5.75" customHeight="1" x14ac:dyDescent="0.25">
      <c r="A719" s="5"/>
      <c r="B719" s="5"/>
      <c r="C719" s="5"/>
      <c r="D719" s="5"/>
      <c r="E719" s="5"/>
      <c r="F719" s="5"/>
      <c r="G719" s="2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5.75" customHeight="1" x14ac:dyDescent="0.25">
      <c r="A720" s="5"/>
      <c r="B720" s="5"/>
      <c r="C720" s="5"/>
      <c r="D720" s="5"/>
      <c r="E720" s="5"/>
      <c r="F720" s="5"/>
      <c r="G720" s="2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5.75" customHeight="1" x14ac:dyDescent="0.25">
      <c r="A721" s="5"/>
      <c r="B721" s="5"/>
      <c r="C721" s="5"/>
      <c r="D721" s="5"/>
      <c r="E721" s="5"/>
      <c r="F721" s="5"/>
      <c r="G721" s="2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5.75" customHeight="1" x14ac:dyDescent="0.25">
      <c r="A722" s="5"/>
      <c r="B722" s="5"/>
      <c r="C722" s="5"/>
      <c r="D722" s="5"/>
      <c r="E722" s="5"/>
      <c r="F722" s="5"/>
      <c r="G722" s="2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5.75" customHeight="1" x14ac:dyDescent="0.25">
      <c r="A723" s="5"/>
      <c r="B723" s="5"/>
      <c r="C723" s="5"/>
      <c r="D723" s="5"/>
      <c r="E723" s="5"/>
      <c r="F723" s="5"/>
      <c r="G723" s="2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5.75" customHeight="1" x14ac:dyDescent="0.25">
      <c r="A724" s="5"/>
      <c r="B724" s="5"/>
      <c r="C724" s="5"/>
      <c r="D724" s="5"/>
      <c r="E724" s="5"/>
      <c r="F724" s="5"/>
      <c r="G724" s="2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5.75" customHeight="1" x14ac:dyDescent="0.25">
      <c r="A725" s="5"/>
      <c r="B725" s="5"/>
      <c r="C725" s="5"/>
      <c r="D725" s="5"/>
      <c r="E725" s="5"/>
      <c r="F725" s="5"/>
      <c r="G725" s="2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5.75" customHeight="1" x14ac:dyDescent="0.25">
      <c r="A726" s="5"/>
      <c r="B726" s="5"/>
      <c r="C726" s="5"/>
      <c r="D726" s="5"/>
      <c r="E726" s="5"/>
      <c r="F726" s="5"/>
      <c r="G726" s="2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5.75" customHeight="1" x14ac:dyDescent="0.25">
      <c r="A727" s="5"/>
      <c r="B727" s="5"/>
      <c r="C727" s="5"/>
      <c r="D727" s="5"/>
      <c r="E727" s="5"/>
      <c r="F727" s="5"/>
      <c r="G727" s="2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5.75" customHeight="1" x14ac:dyDescent="0.25">
      <c r="A728" s="5"/>
      <c r="B728" s="5"/>
      <c r="C728" s="5"/>
      <c r="D728" s="5"/>
      <c r="E728" s="5"/>
      <c r="F728" s="5"/>
      <c r="G728" s="2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5.75" customHeight="1" x14ac:dyDescent="0.25">
      <c r="A729" s="5"/>
      <c r="B729" s="5"/>
      <c r="C729" s="5"/>
      <c r="D729" s="5"/>
      <c r="E729" s="5"/>
      <c r="F729" s="5"/>
      <c r="G729" s="2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5.75" customHeight="1" x14ac:dyDescent="0.25">
      <c r="A730" s="5"/>
      <c r="B730" s="5"/>
      <c r="C730" s="5"/>
      <c r="D730" s="5"/>
      <c r="E730" s="5"/>
      <c r="F730" s="5"/>
      <c r="G730" s="2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5.75" customHeight="1" x14ac:dyDescent="0.25">
      <c r="A731" s="5"/>
      <c r="B731" s="5"/>
      <c r="C731" s="5"/>
      <c r="D731" s="5"/>
      <c r="E731" s="5"/>
      <c r="F731" s="5"/>
      <c r="G731" s="2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5.75" customHeight="1" x14ac:dyDescent="0.25">
      <c r="A732" s="5"/>
      <c r="B732" s="5"/>
      <c r="C732" s="5"/>
      <c r="D732" s="5"/>
      <c r="E732" s="5"/>
      <c r="F732" s="5"/>
      <c r="G732" s="2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5.75" customHeight="1" x14ac:dyDescent="0.25">
      <c r="A733" s="5"/>
      <c r="B733" s="5"/>
      <c r="C733" s="5"/>
      <c r="D733" s="5"/>
      <c r="E733" s="5"/>
      <c r="F733" s="5"/>
      <c r="G733" s="2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5.75" customHeight="1" x14ac:dyDescent="0.25">
      <c r="A734" s="5"/>
      <c r="B734" s="5"/>
      <c r="C734" s="5"/>
      <c r="D734" s="5"/>
      <c r="E734" s="5"/>
      <c r="F734" s="5"/>
      <c r="G734" s="2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5.75" customHeight="1" x14ac:dyDescent="0.25">
      <c r="A735" s="5"/>
      <c r="B735" s="5"/>
      <c r="C735" s="5"/>
      <c r="D735" s="5"/>
      <c r="E735" s="5"/>
      <c r="F735" s="5"/>
      <c r="G735" s="2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5.75" customHeight="1" x14ac:dyDescent="0.25">
      <c r="A736" s="5"/>
      <c r="B736" s="5"/>
      <c r="C736" s="5"/>
      <c r="D736" s="5"/>
      <c r="E736" s="5"/>
      <c r="F736" s="5"/>
      <c r="G736" s="2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5.75" customHeight="1" x14ac:dyDescent="0.25">
      <c r="A737" s="5"/>
      <c r="B737" s="5"/>
      <c r="C737" s="5"/>
      <c r="D737" s="5"/>
      <c r="E737" s="5"/>
      <c r="F737" s="5"/>
      <c r="G737" s="2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5.75" customHeight="1" x14ac:dyDescent="0.25">
      <c r="A738" s="5"/>
      <c r="B738" s="5"/>
      <c r="C738" s="5"/>
      <c r="D738" s="5"/>
      <c r="E738" s="5"/>
      <c r="F738" s="5"/>
      <c r="G738" s="2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5.75" customHeight="1" x14ac:dyDescent="0.25">
      <c r="A739" s="5"/>
      <c r="B739" s="5"/>
      <c r="C739" s="5"/>
      <c r="D739" s="5"/>
      <c r="E739" s="5"/>
      <c r="F739" s="5"/>
      <c r="G739" s="2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5.75" customHeight="1" x14ac:dyDescent="0.25">
      <c r="A740" s="5"/>
      <c r="B740" s="5"/>
      <c r="C740" s="5"/>
      <c r="D740" s="5"/>
      <c r="E740" s="5"/>
      <c r="F740" s="5"/>
      <c r="G740" s="2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5.75" customHeight="1" x14ac:dyDescent="0.25">
      <c r="A741" s="5"/>
      <c r="B741" s="5"/>
      <c r="C741" s="5"/>
      <c r="D741" s="5"/>
      <c r="E741" s="5"/>
      <c r="F741" s="5"/>
      <c r="G741" s="2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5.75" customHeight="1" x14ac:dyDescent="0.25">
      <c r="A742" s="5"/>
      <c r="B742" s="5"/>
      <c r="C742" s="5"/>
      <c r="D742" s="5"/>
      <c r="E742" s="5"/>
      <c r="F742" s="5"/>
      <c r="G742" s="2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5.75" customHeight="1" x14ac:dyDescent="0.25">
      <c r="A743" s="5"/>
      <c r="B743" s="5"/>
      <c r="C743" s="5"/>
      <c r="D743" s="5"/>
      <c r="E743" s="5"/>
      <c r="F743" s="5"/>
      <c r="G743" s="2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5.75" customHeight="1" x14ac:dyDescent="0.25">
      <c r="A744" s="5"/>
      <c r="B744" s="5"/>
      <c r="C744" s="5"/>
      <c r="D744" s="5"/>
      <c r="E744" s="5"/>
      <c r="F744" s="5"/>
      <c r="G744" s="2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5.75" customHeight="1" x14ac:dyDescent="0.25">
      <c r="A745" s="5"/>
      <c r="B745" s="5"/>
      <c r="C745" s="5"/>
      <c r="D745" s="5"/>
      <c r="E745" s="5"/>
      <c r="F745" s="5"/>
      <c r="G745" s="2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5.75" customHeight="1" x14ac:dyDescent="0.25">
      <c r="A746" s="5"/>
      <c r="B746" s="5"/>
      <c r="C746" s="5"/>
      <c r="D746" s="5"/>
      <c r="E746" s="5"/>
      <c r="F746" s="5"/>
      <c r="G746" s="2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5.75" customHeight="1" x14ac:dyDescent="0.25">
      <c r="A747" s="5"/>
      <c r="B747" s="5"/>
      <c r="C747" s="5"/>
      <c r="D747" s="5"/>
      <c r="E747" s="5"/>
      <c r="F747" s="5"/>
      <c r="G747" s="2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5.75" customHeight="1" x14ac:dyDescent="0.25">
      <c r="A748" s="5"/>
      <c r="B748" s="5"/>
      <c r="C748" s="5"/>
      <c r="D748" s="5"/>
      <c r="E748" s="5"/>
      <c r="F748" s="5"/>
      <c r="G748" s="2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5.75" customHeight="1" x14ac:dyDescent="0.25">
      <c r="A749" s="5"/>
      <c r="B749" s="5"/>
      <c r="C749" s="5"/>
      <c r="D749" s="5"/>
      <c r="E749" s="5"/>
      <c r="F749" s="5"/>
      <c r="G749" s="2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5.75" customHeight="1" x14ac:dyDescent="0.25">
      <c r="A750" s="5"/>
      <c r="B750" s="5"/>
      <c r="C750" s="5"/>
      <c r="D750" s="5"/>
      <c r="E750" s="5"/>
      <c r="F750" s="5"/>
      <c r="G750" s="2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5.75" customHeight="1" x14ac:dyDescent="0.25">
      <c r="A751" s="5"/>
      <c r="B751" s="5"/>
      <c r="C751" s="5"/>
      <c r="D751" s="5"/>
      <c r="E751" s="5"/>
      <c r="F751" s="5"/>
      <c r="G751" s="2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5.75" customHeight="1" x14ac:dyDescent="0.25">
      <c r="A752" s="5"/>
      <c r="B752" s="5"/>
      <c r="C752" s="5"/>
      <c r="D752" s="5"/>
      <c r="E752" s="5"/>
      <c r="F752" s="5"/>
      <c r="G752" s="2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5.75" customHeight="1" x14ac:dyDescent="0.25">
      <c r="A753" s="5"/>
      <c r="B753" s="5"/>
      <c r="C753" s="5"/>
      <c r="D753" s="5"/>
      <c r="E753" s="5"/>
      <c r="F753" s="5"/>
      <c r="G753" s="2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5.75" customHeight="1" x14ac:dyDescent="0.25">
      <c r="A754" s="5"/>
      <c r="B754" s="5"/>
      <c r="C754" s="5"/>
      <c r="D754" s="5"/>
      <c r="E754" s="5"/>
      <c r="F754" s="5"/>
      <c r="G754" s="2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5.75" customHeight="1" x14ac:dyDescent="0.25">
      <c r="A755" s="5"/>
      <c r="B755" s="5"/>
      <c r="C755" s="5"/>
      <c r="D755" s="5"/>
      <c r="E755" s="5"/>
      <c r="F755" s="5"/>
      <c r="G755" s="2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5.75" customHeight="1" x14ac:dyDescent="0.25">
      <c r="A756" s="5"/>
      <c r="B756" s="5"/>
      <c r="C756" s="5"/>
      <c r="D756" s="5"/>
      <c r="E756" s="5"/>
      <c r="F756" s="5"/>
      <c r="G756" s="2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5.75" customHeight="1" x14ac:dyDescent="0.25">
      <c r="A757" s="5"/>
      <c r="B757" s="5"/>
      <c r="C757" s="5"/>
      <c r="D757" s="5"/>
      <c r="E757" s="5"/>
      <c r="F757" s="5"/>
      <c r="G757" s="2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5.75" customHeight="1" x14ac:dyDescent="0.25">
      <c r="A758" s="5"/>
      <c r="B758" s="5"/>
      <c r="C758" s="5"/>
      <c r="D758" s="5"/>
      <c r="E758" s="5"/>
      <c r="F758" s="5"/>
      <c r="G758" s="2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5.75" customHeight="1" x14ac:dyDescent="0.25">
      <c r="A759" s="5"/>
      <c r="B759" s="5"/>
      <c r="C759" s="5"/>
      <c r="D759" s="5"/>
      <c r="E759" s="5"/>
      <c r="F759" s="5"/>
      <c r="G759" s="2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5.75" customHeight="1" x14ac:dyDescent="0.25">
      <c r="A760" s="5"/>
      <c r="B760" s="5"/>
      <c r="C760" s="5"/>
      <c r="D760" s="5"/>
      <c r="E760" s="5"/>
      <c r="F760" s="5"/>
      <c r="G760" s="2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5.75" customHeight="1" x14ac:dyDescent="0.25">
      <c r="A761" s="5"/>
      <c r="B761" s="5"/>
      <c r="C761" s="5"/>
      <c r="D761" s="5"/>
      <c r="E761" s="5"/>
      <c r="F761" s="5"/>
      <c r="G761" s="2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5.75" customHeight="1" x14ac:dyDescent="0.25">
      <c r="A762" s="5"/>
      <c r="B762" s="5"/>
      <c r="C762" s="5"/>
      <c r="D762" s="5"/>
      <c r="E762" s="5"/>
      <c r="F762" s="5"/>
      <c r="G762" s="2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5.75" customHeight="1" x14ac:dyDescent="0.25">
      <c r="A763" s="5"/>
      <c r="B763" s="5"/>
      <c r="C763" s="5"/>
      <c r="D763" s="5"/>
      <c r="E763" s="5"/>
      <c r="F763" s="5"/>
      <c r="G763" s="2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5.75" customHeight="1" x14ac:dyDescent="0.25">
      <c r="A764" s="5"/>
      <c r="B764" s="5"/>
      <c r="C764" s="5"/>
      <c r="D764" s="5"/>
      <c r="E764" s="5"/>
      <c r="F764" s="5"/>
      <c r="G764" s="2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5.75" customHeight="1" x14ac:dyDescent="0.25">
      <c r="A765" s="5"/>
      <c r="B765" s="5"/>
      <c r="C765" s="5"/>
      <c r="D765" s="5"/>
      <c r="E765" s="5"/>
      <c r="F765" s="5"/>
      <c r="G765" s="2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5.75" customHeight="1" x14ac:dyDescent="0.25">
      <c r="A766" s="5"/>
      <c r="B766" s="5"/>
      <c r="C766" s="5"/>
      <c r="D766" s="5"/>
      <c r="E766" s="5"/>
      <c r="F766" s="5"/>
      <c r="G766" s="2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5.75" customHeight="1" x14ac:dyDescent="0.25">
      <c r="A767" s="5"/>
      <c r="B767" s="5"/>
      <c r="C767" s="5"/>
      <c r="D767" s="5"/>
      <c r="E767" s="5"/>
      <c r="F767" s="5"/>
      <c r="G767" s="2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5.75" customHeight="1" x14ac:dyDescent="0.25">
      <c r="A768" s="5"/>
      <c r="B768" s="5"/>
      <c r="C768" s="5"/>
      <c r="D768" s="5"/>
      <c r="E768" s="5"/>
      <c r="F768" s="5"/>
      <c r="G768" s="2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5.75" customHeight="1" x14ac:dyDescent="0.25">
      <c r="A769" s="5"/>
      <c r="B769" s="5"/>
      <c r="C769" s="5"/>
      <c r="D769" s="5"/>
      <c r="E769" s="5"/>
      <c r="F769" s="5"/>
      <c r="G769" s="2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5.75" customHeight="1" x14ac:dyDescent="0.25">
      <c r="A770" s="5"/>
      <c r="B770" s="5"/>
      <c r="C770" s="5"/>
      <c r="D770" s="5"/>
      <c r="E770" s="5"/>
      <c r="F770" s="5"/>
      <c r="G770" s="2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5.75" customHeight="1" x14ac:dyDescent="0.25">
      <c r="A771" s="5"/>
      <c r="B771" s="5"/>
      <c r="C771" s="5"/>
      <c r="D771" s="5"/>
      <c r="E771" s="5"/>
      <c r="F771" s="5"/>
      <c r="G771" s="2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5.75" customHeight="1" x14ac:dyDescent="0.25">
      <c r="A772" s="5"/>
      <c r="B772" s="5"/>
      <c r="C772" s="5"/>
      <c r="D772" s="5"/>
      <c r="E772" s="5"/>
      <c r="F772" s="5"/>
      <c r="G772" s="2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5.75" customHeight="1" x14ac:dyDescent="0.25">
      <c r="A773" s="5"/>
      <c r="B773" s="5"/>
      <c r="C773" s="5"/>
      <c r="D773" s="5"/>
      <c r="E773" s="5"/>
      <c r="F773" s="5"/>
      <c r="G773" s="2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5.75" customHeight="1" x14ac:dyDescent="0.25">
      <c r="A774" s="5"/>
      <c r="B774" s="5"/>
      <c r="C774" s="5"/>
      <c r="D774" s="5"/>
      <c r="E774" s="5"/>
      <c r="F774" s="5"/>
      <c r="G774" s="2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5.75" customHeight="1" x14ac:dyDescent="0.25">
      <c r="A775" s="5"/>
      <c r="B775" s="5"/>
      <c r="C775" s="5"/>
      <c r="D775" s="5"/>
      <c r="E775" s="5"/>
      <c r="F775" s="5"/>
      <c r="G775" s="2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5.75" customHeight="1" x14ac:dyDescent="0.25">
      <c r="A776" s="5"/>
      <c r="B776" s="5"/>
      <c r="C776" s="5"/>
      <c r="D776" s="5"/>
      <c r="E776" s="5"/>
      <c r="F776" s="5"/>
      <c r="G776" s="2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5.75" customHeight="1" x14ac:dyDescent="0.25">
      <c r="A777" s="5"/>
      <c r="B777" s="5"/>
      <c r="C777" s="5"/>
      <c r="D777" s="5"/>
      <c r="E777" s="5"/>
      <c r="F777" s="5"/>
      <c r="G777" s="2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5.75" customHeight="1" x14ac:dyDescent="0.25">
      <c r="A778" s="5"/>
      <c r="B778" s="5"/>
      <c r="C778" s="5"/>
      <c r="D778" s="5"/>
      <c r="E778" s="5"/>
      <c r="F778" s="5"/>
      <c r="G778" s="2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5.75" customHeight="1" x14ac:dyDescent="0.25">
      <c r="A779" s="5"/>
      <c r="B779" s="5"/>
      <c r="C779" s="5"/>
      <c r="D779" s="5"/>
      <c r="E779" s="5"/>
      <c r="F779" s="5"/>
      <c r="G779" s="2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5.75" customHeight="1" x14ac:dyDescent="0.25">
      <c r="A780" s="5"/>
      <c r="B780" s="5"/>
      <c r="C780" s="5"/>
      <c r="D780" s="5"/>
      <c r="E780" s="5"/>
      <c r="F780" s="5"/>
      <c r="G780" s="2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5.75" customHeight="1" x14ac:dyDescent="0.25">
      <c r="A781" s="5"/>
      <c r="B781" s="5"/>
      <c r="C781" s="5"/>
      <c r="D781" s="5"/>
      <c r="E781" s="5"/>
      <c r="F781" s="5"/>
      <c r="G781" s="2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5.75" customHeight="1" x14ac:dyDescent="0.25">
      <c r="A782" s="5"/>
      <c r="B782" s="5"/>
      <c r="C782" s="5"/>
      <c r="D782" s="5"/>
      <c r="E782" s="5"/>
      <c r="F782" s="5"/>
      <c r="G782" s="2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5.75" customHeight="1" x14ac:dyDescent="0.25">
      <c r="A783" s="5"/>
      <c r="B783" s="5"/>
      <c r="C783" s="5"/>
      <c r="D783" s="5"/>
      <c r="E783" s="5"/>
      <c r="F783" s="5"/>
      <c r="G783" s="2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5.75" customHeight="1" x14ac:dyDescent="0.25">
      <c r="A784" s="5"/>
      <c r="B784" s="5"/>
      <c r="C784" s="5"/>
      <c r="D784" s="5"/>
      <c r="E784" s="5"/>
      <c r="F784" s="5"/>
      <c r="G784" s="2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5.75" customHeight="1" x14ac:dyDescent="0.25">
      <c r="A785" s="5"/>
      <c r="B785" s="5"/>
      <c r="C785" s="5"/>
      <c r="D785" s="5"/>
      <c r="E785" s="5"/>
      <c r="F785" s="5"/>
      <c r="G785" s="2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5.75" customHeight="1" x14ac:dyDescent="0.25">
      <c r="A786" s="5"/>
      <c r="B786" s="5"/>
      <c r="C786" s="5"/>
      <c r="D786" s="5"/>
      <c r="E786" s="5"/>
      <c r="F786" s="5"/>
      <c r="G786" s="2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5.75" customHeight="1" x14ac:dyDescent="0.25">
      <c r="A787" s="5"/>
      <c r="B787" s="5"/>
      <c r="C787" s="5"/>
      <c r="D787" s="5"/>
      <c r="E787" s="5"/>
      <c r="F787" s="5"/>
      <c r="G787" s="2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5.75" customHeight="1" x14ac:dyDescent="0.25">
      <c r="A788" s="5"/>
      <c r="B788" s="5"/>
      <c r="C788" s="5"/>
      <c r="D788" s="5"/>
      <c r="E788" s="5"/>
      <c r="F788" s="5"/>
      <c r="G788" s="2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5.75" customHeight="1" x14ac:dyDescent="0.25">
      <c r="A789" s="5"/>
      <c r="B789" s="5"/>
      <c r="C789" s="5"/>
      <c r="D789" s="5"/>
      <c r="E789" s="5"/>
      <c r="F789" s="5"/>
      <c r="G789" s="2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5.75" customHeight="1" x14ac:dyDescent="0.25">
      <c r="A790" s="5"/>
      <c r="B790" s="5"/>
      <c r="C790" s="5"/>
      <c r="D790" s="5"/>
      <c r="E790" s="5"/>
      <c r="F790" s="5"/>
      <c r="G790" s="2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5.75" customHeight="1" x14ac:dyDescent="0.25">
      <c r="A791" s="5"/>
      <c r="B791" s="5"/>
      <c r="C791" s="5"/>
      <c r="D791" s="5"/>
      <c r="E791" s="5"/>
      <c r="F791" s="5"/>
      <c r="G791" s="2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5.75" customHeight="1" x14ac:dyDescent="0.25">
      <c r="A792" s="5"/>
      <c r="B792" s="5"/>
      <c r="C792" s="5"/>
      <c r="D792" s="5"/>
      <c r="E792" s="5"/>
      <c r="F792" s="5"/>
      <c r="G792" s="2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5.75" customHeight="1" x14ac:dyDescent="0.25">
      <c r="A793" s="5"/>
      <c r="B793" s="5"/>
      <c r="C793" s="5"/>
      <c r="D793" s="5"/>
      <c r="E793" s="5"/>
      <c r="F793" s="5"/>
      <c r="G793" s="2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5.75" customHeight="1" x14ac:dyDescent="0.25">
      <c r="A794" s="5"/>
      <c r="B794" s="5"/>
      <c r="C794" s="5"/>
      <c r="D794" s="5"/>
      <c r="E794" s="5"/>
      <c r="F794" s="5"/>
      <c r="G794" s="2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5.75" customHeight="1" x14ac:dyDescent="0.25">
      <c r="A795" s="5"/>
      <c r="B795" s="5"/>
      <c r="C795" s="5"/>
      <c r="D795" s="5"/>
      <c r="E795" s="5"/>
      <c r="F795" s="5"/>
      <c r="G795" s="2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5.75" customHeight="1" x14ac:dyDescent="0.25">
      <c r="A796" s="5"/>
      <c r="B796" s="5"/>
      <c r="C796" s="5"/>
      <c r="D796" s="5"/>
      <c r="E796" s="5"/>
      <c r="F796" s="5"/>
      <c r="G796" s="2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5.75" customHeight="1" x14ac:dyDescent="0.25">
      <c r="A797" s="5"/>
      <c r="B797" s="5"/>
      <c r="C797" s="5"/>
      <c r="D797" s="5"/>
      <c r="E797" s="5"/>
      <c r="F797" s="5"/>
      <c r="G797" s="2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5.75" customHeight="1" x14ac:dyDescent="0.25">
      <c r="A798" s="5"/>
      <c r="B798" s="5"/>
      <c r="C798" s="5"/>
      <c r="D798" s="5"/>
      <c r="E798" s="5"/>
      <c r="F798" s="5"/>
      <c r="G798" s="2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5.75" customHeight="1" x14ac:dyDescent="0.25">
      <c r="A799" s="5"/>
      <c r="B799" s="5"/>
      <c r="C799" s="5"/>
      <c r="D799" s="5"/>
      <c r="E799" s="5"/>
      <c r="F799" s="5"/>
      <c r="G799" s="2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5.75" customHeight="1" x14ac:dyDescent="0.25">
      <c r="A800" s="5"/>
      <c r="B800" s="5"/>
      <c r="C800" s="5"/>
      <c r="D800" s="5"/>
      <c r="E800" s="5"/>
      <c r="F800" s="5"/>
      <c r="G800" s="2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5.75" customHeight="1" x14ac:dyDescent="0.25">
      <c r="A801" s="5"/>
      <c r="B801" s="5"/>
      <c r="C801" s="5"/>
      <c r="D801" s="5"/>
      <c r="E801" s="5"/>
      <c r="F801" s="5"/>
      <c r="G801" s="2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5.75" customHeight="1" x14ac:dyDescent="0.25">
      <c r="A802" s="5"/>
      <c r="B802" s="5"/>
      <c r="C802" s="5"/>
      <c r="D802" s="5"/>
      <c r="E802" s="5"/>
      <c r="F802" s="5"/>
      <c r="G802" s="2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5.75" customHeight="1" x14ac:dyDescent="0.25">
      <c r="A803" s="5"/>
      <c r="B803" s="5"/>
      <c r="C803" s="5"/>
      <c r="D803" s="5"/>
      <c r="E803" s="5"/>
      <c r="F803" s="5"/>
      <c r="G803" s="2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5.75" customHeight="1" x14ac:dyDescent="0.25">
      <c r="A804" s="5"/>
      <c r="B804" s="5"/>
      <c r="C804" s="5"/>
      <c r="D804" s="5"/>
      <c r="E804" s="5"/>
      <c r="F804" s="5"/>
      <c r="G804" s="2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5.75" customHeight="1" x14ac:dyDescent="0.25">
      <c r="A805" s="5"/>
      <c r="B805" s="5"/>
      <c r="C805" s="5"/>
      <c r="D805" s="5"/>
      <c r="E805" s="5"/>
      <c r="F805" s="5"/>
      <c r="G805" s="2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5.75" customHeight="1" x14ac:dyDescent="0.25">
      <c r="A806" s="5"/>
      <c r="B806" s="5"/>
      <c r="C806" s="5"/>
      <c r="D806" s="5"/>
      <c r="E806" s="5"/>
      <c r="F806" s="5"/>
      <c r="G806" s="2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5.75" customHeight="1" x14ac:dyDescent="0.25">
      <c r="A807" s="5"/>
      <c r="B807" s="5"/>
      <c r="C807" s="5"/>
      <c r="D807" s="5"/>
      <c r="E807" s="5"/>
      <c r="F807" s="5"/>
      <c r="G807" s="2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5.75" customHeight="1" x14ac:dyDescent="0.25">
      <c r="A808" s="5"/>
      <c r="B808" s="5"/>
      <c r="C808" s="5"/>
      <c r="D808" s="5"/>
      <c r="E808" s="5"/>
      <c r="F808" s="5"/>
      <c r="G808" s="2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5.75" customHeight="1" x14ac:dyDescent="0.25">
      <c r="A809" s="5"/>
      <c r="B809" s="5"/>
      <c r="C809" s="5"/>
      <c r="D809" s="5"/>
      <c r="E809" s="5"/>
      <c r="F809" s="5"/>
      <c r="G809" s="2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5.75" customHeight="1" x14ac:dyDescent="0.25">
      <c r="A810" s="5"/>
      <c r="B810" s="5"/>
      <c r="C810" s="5"/>
      <c r="D810" s="5"/>
      <c r="E810" s="5"/>
      <c r="F810" s="5"/>
      <c r="G810" s="2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5.75" customHeight="1" x14ac:dyDescent="0.25">
      <c r="A811" s="5"/>
      <c r="B811" s="5"/>
      <c r="C811" s="5"/>
      <c r="D811" s="5"/>
      <c r="E811" s="5"/>
      <c r="F811" s="5"/>
      <c r="G811" s="2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5.75" customHeight="1" x14ac:dyDescent="0.25">
      <c r="A812" s="5"/>
      <c r="B812" s="5"/>
      <c r="C812" s="5"/>
      <c r="D812" s="5"/>
      <c r="E812" s="5"/>
      <c r="F812" s="5"/>
      <c r="G812" s="2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5.75" customHeight="1" x14ac:dyDescent="0.25">
      <c r="A813" s="5"/>
      <c r="B813" s="5"/>
      <c r="C813" s="5"/>
      <c r="D813" s="5"/>
      <c r="E813" s="5"/>
      <c r="F813" s="5"/>
      <c r="G813" s="2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5.75" customHeight="1" x14ac:dyDescent="0.25">
      <c r="A814" s="5"/>
      <c r="B814" s="5"/>
      <c r="C814" s="5"/>
      <c r="D814" s="5"/>
      <c r="E814" s="5"/>
      <c r="F814" s="5"/>
      <c r="G814" s="2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5.75" customHeight="1" x14ac:dyDescent="0.25">
      <c r="A815" s="5"/>
      <c r="B815" s="5"/>
      <c r="C815" s="5"/>
      <c r="D815" s="5"/>
      <c r="E815" s="5"/>
      <c r="F815" s="5"/>
      <c r="G815" s="2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5.75" customHeight="1" x14ac:dyDescent="0.25">
      <c r="A816" s="5"/>
      <c r="B816" s="5"/>
      <c r="C816" s="5"/>
      <c r="D816" s="5"/>
      <c r="E816" s="5"/>
      <c r="F816" s="5"/>
      <c r="G816" s="2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5.75" customHeight="1" x14ac:dyDescent="0.25">
      <c r="A817" s="5"/>
      <c r="B817" s="5"/>
      <c r="C817" s="5"/>
      <c r="D817" s="5"/>
      <c r="E817" s="5"/>
      <c r="F817" s="5"/>
      <c r="G817" s="2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5.75" customHeight="1" x14ac:dyDescent="0.25">
      <c r="A818" s="5"/>
      <c r="B818" s="5"/>
      <c r="C818" s="5"/>
      <c r="D818" s="5"/>
      <c r="E818" s="5"/>
      <c r="F818" s="5"/>
      <c r="G818" s="2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5.75" customHeight="1" x14ac:dyDescent="0.25">
      <c r="A819" s="5"/>
      <c r="B819" s="5"/>
      <c r="C819" s="5"/>
      <c r="D819" s="5"/>
      <c r="E819" s="5"/>
      <c r="F819" s="5"/>
      <c r="G819" s="2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5.75" customHeight="1" x14ac:dyDescent="0.25">
      <c r="A820" s="5"/>
      <c r="B820" s="5"/>
      <c r="C820" s="5"/>
      <c r="D820" s="5"/>
      <c r="E820" s="5"/>
      <c r="F820" s="5"/>
      <c r="G820" s="2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5.75" customHeight="1" x14ac:dyDescent="0.25">
      <c r="A821" s="5"/>
      <c r="B821" s="5"/>
      <c r="C821" s="5"/>
      <c r="D821" s="5"/>
      <c r="E821" s="5"/>
      <c r="F821" s="5"/>
      <c r="G821" s="2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5.75" customHeight="1" x14ac:dyDescent="0.25">
      <c r="A822" s="5"/>
      <c r="B822" s="5"/>
      <c r="C822" s="5"/>
      <c r="D822" s="5"/>
      <c r="E822" s="5"/>
      <c r="F822" s="5"/>
      <c r="G822" s="2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5.75" customHeight="1" x14ac:dyDescent="0.25">
      <c r="A823" s="5"/>
      <c r="B823" s="5"/>
      <c r="C823" s="5"/>
      <c r="D823" s="5"/>
      <c r="E823" s="5"/>
      <c r="F823" s="5"/>
      <c r="G823" s="2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5.75" customHeight="1" x14ac:dyDescent="0.25">
      <c r="A824" s="5"/>
      <c r="B824" s="5"/>
      <c r="C824" s="5"/>
      <c r="D824" s="5"/>
      <c r="E824" s="5"/>
      <c r="F824" s="5"/>
      <c r="G824" s="2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5.75" customHeight="1" x14ac:dyDescent="0.25">
      <c r="A825" s="5"/>
      <c r="B825" s="5"/>
      <c r="C825" s="5"/>
      <c r="D825" s="5"/>
      <c r="E825" s="5"/>
      <c r="F825" s="5"/>
      <c r="G825" s="2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5.75" customHeight="1" x14ac:dyDescent="0.25">
      <c r="A826" s="5"/>
      <c r="B826" s="5"/>
      <c r="C826" s="5"/>
      <c r="D826" s="5"/>
      <c r="E826" s="5"/>
      <c r="F826" s="5"/>
      <c r="G826" s="2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5.75" customHeight="1" x14ac:dyDescent="0.25">
      <c r="A827" s="5"/>
      <c r="B827" s="5"/>
      <c r="C827" s="5"/>
      <c r="D827" s="5"/>
      <c r="E827" s="5"/>
      <c r="F827" s="5"/>
      <c r="G827" s="2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5.75" customHeight="1" x14ac:dyDescent="0.25">
      <c r="A828" s="5"/>
      <c r="B828" s="5"/>
      <c r="C828" s="5"/>
      <c r="D828" s="5"/>
      <c r="E828" s="5"/>
      <c r="F828" s="5"/>
      <c r="G828" s="2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5.75" customHeight="1" x14ac:dyDescent="0.25">
      <c r="A829" s="5"/>
      <c r="B829" s="5"/>
      <c r="C829" s="5"/>
      <c r="D829" s="5"/>
      <c r="E829" s="5"/>
      <c r="F829" s="5"/>
      <c r="G829" s="2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5.75" customHeight="1" x14ac:dyDescent="0.25">
      <c r="A830" s="5"/>
      <c r="B830" s="5"/>
      <c r="C830" s="5"/>
      <c r="D830" s="5"/>
      <c r="E830" s="5"/>
      <c r="F830" s="5"/>
      <c r="G830" s="2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5.75" customHeight="1" x14ac:dyDescent="0.25">
      <c r="A831" s="5"/>
      <c r="B831" s="5"/>
      <c r="C831" s="5"/>
      <c r="D831" s="5"/>
      <c r="E831" s="5"/>
      <c r="F831" s="5"/>
      <c r="G831" s="2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5.75" customHeight="1" x14ac:dyDescent="0.25">
      <c r="A832" s="5"/>
      <c r="B832" s="5"/>
      <c r="C832" s="5"/>
      <c r="D832" s="5"/>
      <c r="E832" s="5"/>
      <c r="F832" s="5"/>
      <c r="G832" s="2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5.75" customHeight="1" x14ac:dyDescent="0.25">
      <c r="A833" s="5"/>
      <c r="B833" s="5"/>
      <c r="C833" s="5"/>
      <c r="D833" s="5"/>
      <c r="E833" s="5"/>
      <c r="F833" s="5"/>
      <c r="G833" s="2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5.75" customHeight="1" x14ac:dyDescent="0.25">
      <c r="A834" s="5"/>
      <c r="B834" s="5"/>
      <c r="C834" s="5"/>
      <c r="D834" s="5"/>
      <c r="E834" s="5"/>
      <c r="F834" s="5"/>
      <c r="G834" s="2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5.75" customHeight="1" x14ac:dyDescent="0.25">
      <c r="A835" s="5"/>
      <c r="B835" s="5"/>
      <c r="C835" s="5"/>
      <c r="D835" s="5"/>
      <c r="E835" s="5"/>
      <c r="F835" s="5"/>
      <c r="G835" s="2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5.75" customHeight="1" x14ac:dyDescent="0.25">
      <c r="A836" s="5"/>
      <c r="B836" s="5"/>
      <c r="C836" s="5"/>
      <c r="D836" s="5"/>
      <c r="E836" s="5"/>
      <c r="F836" s="5"/>
      <c r="G836" s="2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5.75" customHeight="1" x14ac:dyDescent="0.25">
      <c r="A837" s="5"/>
      <c r="B837" s="5"/>
      <c r="C837" s="5"/>
      <c r="D837" s="5"/>
      <c r="E837" s="5"/>
      <c r="F837" s="5"/>
      <c r="G837" s="2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5.75" customHeight="1" x14ac:dyDescent="0.25">
      <c r="A838" s="5"/>
      <c r="B838" s="5"/>
      <c r="C838" s="5"/>
      <c r="D838" s="5"/>
      <c r="E838" s="5"/>
      <c r="F838" s="5"/>
      <c r="G838" s="2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5.75" customHeight="1" x14ac:dyDescent="0.25">
      <c r="A839" s="5"/>
      <c r="B839" s="5"/>
      <c r="C839" s="5"/>
      <c r="D839" s="5"/>
      <c r="E839" s="5"/>
      <c r="F839" s="5"/>
      <c r="G839" s="2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5.75" customHeight="1" x14ac:dyDescent="0.25">
      <c r="A840" s="5"/>
      <c r="B840" s="5"/>
      <c r="C840" s="5"/>
      <c r="D840" s="5"/>
      <c r="E840" s="5"/>
      <c r="F840" s="5"/>
      <c r="G840" s="2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5.75" customHeight="1" x14ac:dyDescent="0.25">
      <c r="A841" s="5"/>
      <c r="B841" s="5"/>
      <c r="C841" s="5"/>
      <c r="D841" s="5"/>
      <c r="E841" s="5"/>
      <c r="F841" s="5"/>
      <c r="G841" s="2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5.75" customHeight="1" x14ac:dyDescent="0.25">
      <c r="A842" s="5"/>
      <c r="B842" s="5"/>
      <c r="C842" s="5"/>
      <c r="D842" s="5"/>
      <c r="E842" s="5"/>
      <c r="F842" s="5"/>
      <c r="G842" s="2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5.75" customHeight="1" x14ac:dyDescent="0.25">
      <c r="A843" s="5"/>
      <c r="B843" s="5"/>
      <c r="C843" s="5"/>
      <c r="D843" s="5"/>
      <c r="E843" s="5"/>
      <c r="F843" s="5"/>
      <c r="G843" s="2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5.75" customHeight="1" x14ac:dyDescent="0.25">
      <c r="A844" s="5"/>
      <c r="B844" s="5"/>
      <c r="C844" s="5"/>
      <c r="D844" s="5"/>
      <c r="E844" s="5"/>
      <c r="F844" s="5"/>
      <c r="G844" s="2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5.75" customHeight="1" x14ac:dyDescent="0.25">
      <c r="A845" s="5"/>
      <c r="B845" s="5"/>
      <c r="C845" s="5"/>
      <c r="D845" s="5"/>
      <c r="E845" s="5"/>
      <c r="F845" s="5"/>
      <c r="G845" s="2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5.75" customHeight="1" x14ac:dyDescent="0.25">
      <c r="A846" s="5"/>
      <c r="B846" s="5"/>
      <c r="C846" s="5"/>
      <c r="D846" s="5"/>
      <c r="E846" s="5"/>
      <c r="F846" s="5"/>
      <c r="G846" s="2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5.75" customHeight="1" x14ac:dyDescent="0.25">
      <c r="A847" s="5"/>
      <c r="B847" s="5"/>
      <c r="C847" s="5"/>
      <c r="D847" s="5"/>
      <c r="E847" s="5"/>
      <c r="F847" s="5"/>
      <c r="G847" s="2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5.75" customHeight="1" x14ac:dyDescent="0.25">
      <c r="A848" s="5"/>
      <c r="B848" s="5"/>
      <c r="C848" s="5"/>
      <c r="D848" s="5"/>
      <c r="E848" s="5"/>
      <c r="F848" s="5"/>
      <c r="G848" s="2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5.75" customHeight="1" x14ac:dyDescent="0.25">
      <c r="A849" s="5"/>
      <c r="B849" s="5"/>
      <c r="C849" s="5"/>
      <c r="D849" s="5"/>
      <c r="E849" s="5"/>
      <c r="F849" s="5"/>
      <c r="G849" s="2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5.75" customHeight="1" x14ac:dyDescent="0.25">
      <c r="A850" s="5"/>
      <c r="B850" s="5"/>
      <c r="C850" s="5"/>
      <c r="D850" s="5"/>
      <c r="E850" s="5"/>
      <c r="F850" s="5"/>
      <c r="G850" s="2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5.75" customHeight="1" x14ac:dyDescent="0.25">
      <c r="A851" s="5"/>
      <c r="B851" s="5"/>
      <c r="C851" s="5"/>
      <c r="D851" s="5"/>
      <c r="E851" s="5"/>
      <c r="F851" s="5"/>
      <c r="G851" s="2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5.75" customHeight="1" x14ac:dyDescent="0.25">
      <c r="A852" s="5"/>
      <c r="B852" s="5"/>
      <c r="C852" s="5"/>
      <c r="D852" s="5"/>
      <c r="E852" s="5"/>
      <c r="F852" s="5"/>
      <c r="G852" s="2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5.75" customHeight="1" x14ac:dyDescent="0.25">
      <c r="A853" s="5"/>
      <c r="B853" s="5"/>
      <c r="C853" s="5"/>
      <c r="D853" s="5"/>
      <c r="E853" s="5"/>
      <c r="F853" s="5"/>
      <c r="G853" s="2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5.75" customHeight="1" x14ac:dyDescent="0.25">
      <c r="A854" s="5"/>
      <c r="B854" s="5"/>
      <c r="C854" s="5"/>
      <c r="D854" s="5"/>
      <c r="E854" s="5"/>
      <c r="F854" s="5"/>
      <c r="G854" s="2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5.75" customHeight="1" x14ac:dyDescent="0.25">
      <c r="A855" s="5"/>
      <c r="B855" s="5"/>
      <c r="C855" s="5"/>
      <c r="D855" s="5"/>
      <c r="E855" s="5"/>
      <c r="F855" s="5"/>
      <c r="G855" s="2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5.75" customHeight="1" x14ac:dyDescent="0.25">
      <c r="A856" s="5"/>
      <c r="B856" s="5"/>
      <c r="C856" s="5"/>
      <c r="D856" s="5"/>
      <c r="E856" s="5"/>
      <c r="F856" s="5"/>
      <c r="G856" s="2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5.75" customHeight="1" x14ac:dyDescent="0.25">
      <c r="A857" s="5"/>
      <c r="B857" s="5"/>
      <c r="C857" s="5"/>
      <c r="D857" s="5"/>
      <c r="E857" s="5"/>
      <c r="F857" s="5"/>
      <c r="G857" s="2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5.75" customHeight="1" x14ac:dyDescent="0.25">
      <c r="A858" s="5"/>
      <c r="B858" s="5"/>
      <c r="C858" s="5"/>
      <c r="D858" s="5"/>
      <c r="E858" s="5"/>
      <c r="F858" s="5"/>
      <c r="G858" s="2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5.75" customHeight="1" x14ac:dyDescent="0.25">
      <c r="A859" s="5"/>
      <c r="B859" s="5"/>
      <c r="C859" s="5"/>
      <c r="D859" s="5"/>
      <c r="E859" s="5"/>
      <c r="F859" s="5"/>
      <c r="G859" s="2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5.75" customHeight="1" x14ac:dyDescent="0.25">
      <c r="A860" s="5"/>
      <c r="B860" s="5"/>
      <c r="C860" s="5"/>
      <c r="D860" s="5"/>
      <c r="E860" s="5"/>
      <c r="F860" s="5"/>
      <c r="G860" s="2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5.75" customHeight="1" x14ac:dyDescent="0.25">
      <c r="A861" s="5"/>
      <c r="B861" s="5"/>
      <c r="C861" s="5"/>
      <c r="D861" s="5"/>
      <c r="E861" s="5"/>
      <c r="F861" s="5"/>
      <c r="G861" s="2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5.75" customHeight="1" x14ac:dyDescent="0.25">
      <c r="A862" s="5"/>
      <c r="B862" s="5"/>
      <c r="C862" s="5"/>
      <c r="D862" s="5"/>
      <c r="E862" s="5"/>
      <c r="F862" s="5"/>
      <c r="G862" s="2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5.75" customHeight="1" x14ac:dyDescent="0.25">
      <c r="A863" s="5"/>
      <c r="B863" s="5"/>
      <c r="C863" s="5"/>
      <c r="D863" s="5"/>
      <c r="E863" s="5"/>
      <c r="F863" s="5"/>
      <c r="G863" s="2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5.75" customHeight="1" x14ac:dyDescent="0.25">
      <c r="A864" s="5"/>
      <c r="B864" s="5"/>
      <c r="C864" s="5"/>
      <c r="D864" s="5"/>
      <c r="E864" s="5"/>
      <c r="F864" s="5"/>
      <c r="G864" s="2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5.75" customHeight="1" x14ac:dyDescent="0.25">
      <c r="A865" s="5"/>
      <c r="B865" s="5"/>
      <c r="C865" s="5"/>
      <c r="D865" s="5"/>
      <c r="E865" s="5"/>
      <c r="F865" s="5"/>
      <c r="G865" s="2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5.75" customHeight="1" x14ac:dyDescent="0.25">
      <c r="A866" s="5"/>
      <c r="B866" s="5"/>
      <c r="C866" s="5"/>
      <c r="D866" s="5"/>
      <c r="E866" s="5"/>
      <c r="F866" s="5"/>
      <c r="G866" s="2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5.75" customHeight="1" x14ac:dyDescent="0.25">
      <c r="A867" s="5"/>
      <c r="B867" s="5"/>
      <c r="C867" s="5"/>
      <c r="D867" s="5"/>
      <c r="E867" s="5"/>
      <c r="F867" s="5"/>
      <c r="G867" s="2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5.75" customHeight="1" x14ac:dyDescent="0.25">
      <c r="A868" s="5"/>
      <c r="B868" s="5"/>
      <c r="C868" s="5"/>
      <c r="D868" s="5"/>
      <c r="E868" s="5"/>
      <c r="F868" s="5"/>
      <c r="G868" s="2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5.75" customHeight="1" x14ac:dyDescent="0.25">
      <c r="A869" s="5"/>
      <c r="B869" s="5"/>
      <c r="C869" s="5"/>
      <c r="D869" s="5"/>
      <c r="E869" s="5"/>
      <c r="F869" s="5"/>
      <c r="G869" s="2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5.75" customHeight="1" x14ac:dyDescent="0.25">
      <c r="A870" s="5"/>
      <c r="B870" s="5"/>
      <c r="C870" s="5"/>
      <c r="D870" s="5"/>
      <c r="E870" s="5"/>
      <c r="F870" s="5"/>
      <c r="G870" s="2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5.75" customHeight="1" x14ac:dyDescent="0.25">
      <c r="A871" s="5"/>
      <c r="B871" s="5"/>
      <c r="C871" s="5"/>
      <c r="D871" s="5"/>
      <c r="E871" s="5"/>
      <c r="F871" s="5"/>
      <c r="G871" s="2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5.75" customHeight="1" x14ac:dyDescent="0.25">
      <c r="A872" s="5"/>
      <c r="B872" s="5"/>
      <c r="C872" s="5"/>
      <c r="D872" s="5"/>
      <c r="E872" s="5"/>
      <c r="F872" s="5"/>
      <c r="G872" s="2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5.75" customHeight="1" x14ac:dyDescent="0.25">
      <c r="A873" s="5"/>
      <c r="B873" s="5"/>
      <c r="C873" s="5"/>
      <c r="D873" s="5"/>
      <c r="E873" s="5"/>
      <c r="F873" s="5"/>
      <c r="G873" s="2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5.75" customHeight="1" x14ac:dyDescent="0.25">
      <c r="A874" s="5"/>
      <c r="B874" s="5"/>
      <c r="C874" s="5"/>
      <c r="D874" s="5"/>
      <c r="E874" s="5"/>
      <c r="F874" s="5"/>
      <c r="G874" s="2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5.75" customHeight="1" x14ac:dyDescent="0.25">
      <c r="A875" s="5"/>
      <c r="B875" s="5"/>
      <c r="C875" s="5"/>
      <c r="D875" s="5"/>
      <c r="E875" s="5"/>
      <c r="F875" s="5"/>
      <c r="G875" s="2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5.75" customHeight="1" x14ac:dyDescent="0.25">
      <c r="A876" s="5"/>
      <c r="B876" s="5"/>
      <c r="C876" s="5"/>
      <c r="D876" s="5"/>
      <c r="E876" s="5"/>
      <c r="F876" s="5"/>
      <c r="G876" s="2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5.75" customHeight="1" x14ac:dyDescent="0.25">
      <c r="A877" s="5"/>
      <c r="B877" s="5"/>
      <c r="C877" s="5"/>
      <c r="D877" s="5"/>
      <c r="E877" s="5"/>
      <c r="F877" s="5"/>
      <c r="G877" s="2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5.75" customHeight="1" x14ac:dyDescent="0.25">
      <c r="A878" s="5"/>
      <c r="B878" s="5"/>
      <c r="C878" s="5"/>
      <c r="D878" s="5"/>
      <c r="E878" s="5"/>
      <c r="F878" s="5"/>
      <c r="G878" s="2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5.75" customHeight="1" x14ac:dyDescent="0.25">
      <c r="A879" s="5"/>
      <c r="B879" s="5"/>
      <c r="C879" s="5"/>
      <c r="D879" s="5"/>
      <c r="E879" s="5"/>
      <c r="F879" s="5"/>
      <c r="G879" s="2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5.75" customHeight="1" x14ac:dyDescent="0.25">
      <c r="A880" s="5"/>
      <c r="B880" s="5"/>
      <c r="C880" s="5"/>
      <c r="D880" s="5"/>
      <c r="E880" s="5"/>
      <c r="F880" s="5"/>
      <c r="G880" s="2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5.75" customHeight="1" x14ac:dyDescent="0.25">
      <c r="A881" s="5"/>
      <c r="B881" s="5"/>
      <c r="C881" s="5"/>
      <c r="D881" s="5"/>
      <c r="E881" s="5"/>
      <c r="F881" s="5"/>
      <c r="G881" s="2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5.75" customHeight="1" x14ac:dyDescent="0.25">
      <c r="A882" s="5"/>
      <c r="B882" s="5"/>
      <c r="C882" s="5"/>
      <c r="D882" s="5"/>
      <c r="E882" s="5"/>
      <c r="F882" s="5"/>
      <c r="G882" s="2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5.75" customHeight="1" x14ac:dyDescent="0.25">
      <c r="A883" s="5"/>
      <c r="B883" s="5"/>
      <c r="C883" s="5"/>
      <c r="D883" s="5"/>
      <c r="E883" s="5"/>
      <c r="F883" s="5"/>
      <c r="G883" s="2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5.75" customHeight="1" x14ac:dyDescent="0.25">
      <c r="A884" s="5"/>
      <c r="B884" s="5"/>
      <c r="C884" s="5"/>
      <c r="D884" s="5"/>
      <c r="E884" s="5"/>
      <c r="F884" s="5"/>
      <c r="G884" s="2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5.75" customHeight="1" x14ac:dyDescent="0.25">
      <c r="A885" s="5"/>
      <c r="B885" s="5"/>
      <c r="C885" s="5"/>
      <c r="D885" s="5"/>
      <c r="E885" s="5"/>
      <c r="F885" s="5"/>
      <c r="G885" s="2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5.75" customHeight="1" x14ac:dyDescent="0.25">
      <c r="A886" s="5"/>
      <c r="B886" s="5"/>
      <c r="C886" s="5"/>
      <c r="D886" s="5"/>
      <c r="E886" s="5"/>
      <c r="F886" s="5"/>
      <c r="G886" s="2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5.75" customHeight="1" x14ac:dyDescent="0.25">
      <c r="A887" s="5"/>
      <c r="B887" s="5"/>
      <c r="C887" s="5"/>
      <c r="D887" s="5"/>
      <c r="E887" s="5"/>
      <c r="F887" s="5"/>
      <c r="G887" s="2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5.75" customHeight="1" x14ac:dyDescent="0.25">
      <c r="A888" s="5"/>
      <c r="B888" s="5"/>
      <c r="C888" s="5"/>
      <c r="D888" s="5"/>
      <c r="E888" s="5"/>
      <c r="F888" s="5"/>
      <c r="G888" s="2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5.75" customHeight="1" x14ac:dyDescent="0.25">
      <c r="A889" s="5"/>
      <c r="B889" s="5"/>
      <c r="C889" s="5"/>
      <c r="D889" s="5"/>
      <c r="E889" s="5"/>
      <c r="F889" s="5"/>
      <c r="G889" s="2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5.75" customHeight="1" x14ac:dyDescent="0.25">
      <c r="A890" s="5"/>
      <c r="B890" s="5"/>
      <c r="C890" s="5"/>
      <c r="D890" s="5"/>
      <c r="E890" s="5"/>
      <c r="F890" s="5"/>
      <c r="G890" s="2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5.75" customHeight="1" x14ac:dyDescent="0.25">
      <c r="A891" s="5"/>
      <c r="B891" s="5"/>
      <c r="C891" s="5"/>
      <c r="D891" s="5"/>
      <c r="E891" s="5"/>
      <c r="F891" s="5"/>
      <c r="G891" s="2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5.75" customHeight="1" x14ac:dyDescent="0.25">
      <c r="A892" s="5"/>
      <c r="B892" s="5"/>
      <c r="C892" s="5"/>
      <c r="D892" s="5"/>
      <c r="E892" s="5"/>
      <c r="F892" s="5"/>
      <c r="G892" s="2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5.75" customHeight="1" x14ac:dyDescent="0.25">
      <c r="A893" s="5"/>
      <c r="B893" s="5"/>
      <c r="C893" s="5"/>
      <c r="D893" s="5"/>
      <c r="E893" s="5"/>
      <c r="F893" s="5"/>
      <c r="G893" s="2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5.75" customHeight="1" x14ac:dyDescent="0.25">
      <c r="A894" s="5"/>
      <c r="B894" s="5"/>
      <c r="C894" s="5"/>
      <c r="D894" s="5"/>
      <c r="E894" s="5"/>
      <c r="F894" s="5"/>
      <c r="G894" s="2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5.75" customHeight="1" x14ac:dyDescent="0.25">
      <c r="A895" s="5"/>
      <c r="B895" s="5"/>
      <c r="C895" s="5"/>
      <c r="D895" s="5"/>
      <c r="E895" s="5"/>
      <c r="F895" s="5"/>
      <c r="G895" s="2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5.75" customHeight="1" x14ac:dyDescent="0.25">
      <c r="A896" s="5"/>
      <c r="B896" s="5"/>
      <c r="C896" s="5"/>
      <c r="D896" s="5"/>
      <c r="E896" s="5"/>
      <c r="F896" s="5"/>
      <c r="G896" s="2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5.75" customHeight="1" x14ac:dyDescent="0.25">
      <c r="A897" s="5"/>
      <c r="B897" s="5"/>
      <c r="C897" s="5"/>
      <c r="D897" s="5"/>
      <c r="E897" s="5"/>
      <c r="F897" s="5"/>
      <c r="G897" s="2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5.75" customHeight="1" x14ac:dyDescent="0.25">
      <c r="A898" s="5"/>
      <c r="B898" s="5"/>
      <c r="C898" s="5"/>
      <c r="D898" s="5"/>
      <c r="E898" s="5"/>
      <c r="F898" s="5"/>
      <c r="G898" s="2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5.75" customHeight="1" x14ac:dyDescent="0.25">
      <c r="A899" s="5"/>
      <c r="B899" s="5"/>
      <c r="C899" s="5"/>
      <c r="D899" s="5"/>
      <c r="E899" s="5"/>
      <c r="F899" s="5"/>
      <c r="G899" s="2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5.75" customHeight="1" x14ac:dyDescent="0.25">
      <c r="A900" s="5"/>
      <c r="B900" s="5"/>
      <c r="C900" s="5"/>
      <c r="D900" s="5"/>
      <c r="E900" s="5"/>
      <c r="F900" s="5"/>
      <c r="G900" s="2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5.75" customHeight="1" x14ac:dyDescent="0.25">
      <c r="A901" s="5"/>
      <c r="B901" s="5"/>
      <c r="C901" s="5"/>
      <c r="D901" s="5"/>
      <c r="E901" s="5"/>
      <c r="F901" s="5"/>
      <c r="G901" s="2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5.75" customHeight="1" x14ac:dyDescent="0.25">
      <c r="A902" s="5"/>
      <c r="B902" s="5"/>
      <c r="C902" s="5"/>
      <c r="D902" s="5"/>
      <c r="E902" s="5"/>
      <c r="F902" s="5"/>
      <c r="G902" s="2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5.75" customHeight="1" x14ac:dyDescent="0.25">
      <c r="A903" s="5"/>
      <c r="B903" s="5"/>
      <c r="C903" s="5"/>
      <c r="D903" s="5"/>
      <c r="E903" s="5"/>
      <c r="F903" s="5"/>
      <c r="G903" s="2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5.75" customHeight="1" x14ac:dyDescent="0.25">
      <c r="A904" s="5"/>
      <c r="B904" s="5"/>
      <c r="C904" s="5"/>
      <c r="D904" s="5"/>
      <c r="E904" s="5"/>
      <c r="F904" s="5"/>
      <c r="G904" s="2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5.75" customHeight="1" x14ac:dyDescent="0.25">
      <c r="A905" s="5"/>
      <c r="B905" s="5"/>
      <c r="C905" s="5"/>
      <c r="D905" s="5"/>
      <c r="E905" s="5"/>
      <c r="F905" s="5"/>
      <c r="G905" s="2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5.75" customHeight="1" x14ac:dyDescent="0.25">
      <c r="A906" s="5"/>
      <c r="B906" s="5"/>
      <c r="C906" s="5"/>
      <c r="D906" s="5"/>
      <c r="E906" s="5"/>
      <c r="F906" s="5"/>
      <c r="G906" s="2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5.75" customHeight="1" x14ac:dyDescent="0.25">
      <c r="A907" s="5"/>
      <c r="B907" s="5"/>
      <c r="C907" s="5"/>
      <c r="D907" s="5"/>
      <c r="E907" s="5"/>
      <c r="F907" s="5"/>
      <c r="G907" s="2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5.75" customHeight="1" x14ac:dyDescent="0.25">
      <c r="A908" s="5"/>
      <c r="B908" s="5"/>
      <c r="C908" s="5"/>
      <c r="D908" s="5"/>
      <c r="E908" s="5"/>
      <c r="F908" s="5"/>
      <c r="G908" s="2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5.75" customHeight="1" x14ac:dyDescent="0.25">
      <c r="A909" s="5"/>
      <c r="B909" s="5"/>
      <c r="C909" s="5"/>
      <c r="D909" s="5"/>
      <c r="E909" s="5"/>
      <c r="F909" s="5"/>
      <c r="G909" s="2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5.75" customHeight="1" x14ac:dyDescent="0.25">
      <c r="A910" s="5"/>
      <c r="B910" s="5"/>
      <c r="C910" s="5"/>
      <c r="D910" s="5"/>
      <c r="E910" s="5"/>
      <c r="F910" s="5"/>
      <c r="G910" s="2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5.75" customHeight="1" x14ac:dyDescent="0.25">
      <c r="A911" s="5"/>
      <c r="B911" s="5"/>
      <c r="C911" s="5"/>
      <c r="D911" s="5"/>
      <c r="E911" s="5"/>
      <c r="F911" s="5"/>
      <c r="G911" s="2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5.75" customHeight="1" x14ac:dyDescent="0.25">
      <c r="A912" s="5"/>
      <c r="B912" s="5"/>
      <c r="C912" s="5"/>
      <c r="D912" s="5"/>
      <c r="E912" s="5"/>
      <c r="F912" s="5"/>
      <c r="G912" s="2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5.75" customHeight="1" x14ac:dyDescent="0.25">
      <c r="A913" s="5"/>
      <c r="B913" s="5"/>
      <c r="C913" s="5"/>
      <c r="D913" s="5"/>
      <c r="E913" s="5"/>
      <c r="F913" s="5"/>
      <c r="G913" s="2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5.75" customHeight="1" x14ac:dyDescent="0.25">
      <c r="A914" s="5"/>
      <c r="B914" s="5"/>
      <c r="C914" s="5"/>
      <c r="D914" s="5"/>
      <c r="E914" s="5"/>
      <c r="F914" s="5"/>
      <c r="G914" s="2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5.75" customHeight="1" x14ac:dyDescent="0.25">
      <c r="A915" s="5"/>
      <c r="B915" s="5"/>
      <c r="C915" s="5"/>
      <c r="D915" s="5"/>
      <c r="E915" s="5"/>
      <c r="F915" s="5"/>
      <c r="G915" s="2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5.75" customHeight="1" x14ac:dyDescent="0.25">
      <c r="A916" s="5"/>
      <c r="B916" s="5"/>
      <c r="C916" s="5"/>
      <c r="D916" s="5"/>
      <c r="E916" s="5"/>
      <c r="F916" s="5"/>
      <c r="G916" s="2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5.75" customHeight="1" x14ac:dyDescent="0.25">
      <c r="A917" s="5"/>
      <c r="B917" s="5"/>
      <c r="C917" s="5"/>
      <c r="D917" s="5"/>
      <c r="E917" s="5"/>
      <c r="F917" s="5"/>
      <c r="G917" s="2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5.75" customHeight="1" x14ac:dyDescent="0.25">
      <c r="A918" s="5"/>
      <c r="B918" s="5"/>
      <c r="C918" s="5"/>
      <c r="D918" s="5"/>
      <c r="E918" s="5"/>
      <c r="F918" s="5"/>
      <c r="G918" s="2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5.75" customHeight="1" x14ac:dyDescent="0.25">
      <c r="A919" s="5"/>
      <c r="B919" s="5"/>
      <c r="C919" s="5"/>
      <c r="D919" s="5"/>
      <c r="E919" s="5"/>
      <c r="F919" s="5"/>
      <c r="G919" s="2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5.75" customHeight="1" x14ac:dyDescent="0.25">
      <c r="A920" s="5"/>
      <c r="B920" s="5"/>
      <c r="C920" s="5"/>
      <c r="D920" s="5"/>
      <c r="E920" s="5"/>
      <c r="F920" s="5"/>
      <c r="G920" s="2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5.75" customHeight="1" x14ac:dyDescent="0.25">
      <c r="A921" s="5"/>
      <c r="B921" s="5"/>
      <c r="C921" s="5"/>
      <c r="D921" s="5"/>
      <c r="E921" s="5"/>
      <c r="F921" s="5"/>
      <c r="G921" s="2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5.75" customHeight="1" x14ac:dyDescent="0.25">
      <c r="A922" s="5"/>
      <c r="B922" s="5"/>
      <c r="C922" s="5"/>
      <c r="D922" s="5"/>
      <c r="E922" s="5"/>
      <c r="F922" s="5"/>
      <c r="G922" s="2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5.75" customHeight="1" x14ac:dyDescent="0.25">
      <c r="A923" s="5"/>
      <c r="B923" s="5"/>
      <c r="C923" s="5"/>
      <c r="D923" s="5"/>
      <c r="E923" s="5"/>
      <c r="F923" s="5"/>
      <c r="G923" s="2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5.75" customHeight="1" x14ac:dyDescent="0.25">
      <c r="A924" s="5"/>
      <c r="B924" s="5"/>
      <c r="C924" s="5"/>
      <c r="D924" s="5"/>
      <c r="E924" s="5"/>
      <c r="F924" s="5"/>
      <c r="G924" s="2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5.75" customHeight="1" x14ac:dyDescent="0.25">
      <c r="A925" s="5"/>
      <c r="B925" s="5"/>
      <c r="C925" s="5"/>
      <c r="D925" s="5"/>
      <c r="E925" s="5"/>
      <c r="F925" s="5"/>
      <c r="G925" s="2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5.75" customHeight="1" x14ac:dyDescent="0.25">
      <c r="A926" s="5"/>
      <c r="B926" s="5"/>
      <c r="C926" s="5"/>
      <c r="D926" s="5"/>
      <c r="E926" s="5"/>
      <c r="F926" s="5"/>
      <c r="G926" s="2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5.75" customHeight="1" x14ac:dyDescent="0.25">
      <c r="A927" s="5"/>
      <c r="B927" s="5"/>
      <c r="C927" s="5"/>
      <c r="D927" s="5"/>
      <c r="E927" s="5"/>
      <c r="F927" s="5"/>
      <c r="G927" s="2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5.75" customHeight="1" x14ac:dyDescent="0.25">
      <c r="A928" s="5"/>
      <c r="B928" s="5"/>
      <c r="C928" s="5"/>
      <c r="D928" s="5"/>
      <c r="E928" s="5"/>
      <c r="F928" s="5"/>
      <c r="G928" s="2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5.75" customHeight="1" x14ac:dyDescent="0.25">
      <c r="A929" s="5"/>
      <c r="B929" s="5"/>
      <c r="C929" s="5"/>
      <c r="D929" s="5"/>
      <c r="E929" s="5"/>
      <c r="F929" s="5"/>
      <c r="G929" s="2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5.75" customHeight="1" x14ac:dyDescent="0.25">
      <c r="A930" s="5"/>
      <c r="B930" s="5"/>
      <c r="C930" s="5"/>
      <c r="D930" s="5"/>
      <c r="E930" s="5"/>
      <c r="F930" s="5"/>
      <c r="G930" s="2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5.75" customHeight="1" x14ac:dyDescent="0.25">
      <c r="A931" s="5"/>
      <c r="B931" s="5"/>
      <c r="C931" s="5"/>
      <c r="D931" s="5"/>
      <c r="E931" s="5"/>
      <c r="F931" s="5"/>
      <c r="G931" s="2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5.75" customHeight="1" x14ac:dyDescent="0.25">
      <c r="A932" s="5"/>
      <c r="B932" s="5"/>
      <c r="C932" s="5"/>
      <c r="D932" s="5"/>
      <c r="E932" s="5"/>
      <c r="F932" s="5"/>
      <c r="G932" s="2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5.75" customHeight="1" x14ac:dyDescent="0.25">
      <c r="A933" s="5"/>
      <c r="B933" s="5"/>
      <c r="C933" s="5"/>
      <c r="D933" s="5"/>
      <c r="E933" s="5"/>
      <c r="F933" s="5"/>
      <c r="G933" s="2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5.75" customHeight="1" x14ac:dyDescent="0.25">
      <c r="A934" s="5"/>
      <c r="B934" s="5"/>
      <c r="C934" s="5"/>
      <c r="D934" s="5"/>
      <c r="E934" s="5"/>
      <c r="F934" s="5"/>
      <c r="G934" s="2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5.75" customHeight="1" x14ac:dyDescent="0.25">
      <c r="A935" s="5"/>
      <c r="B935" s="5"/>
      <c r="C935" s="5"/>
      <c r="D935" s="5"/>
      <c r="E935" s="5"/>
      <c r="F935" s="5"/>
      <c r="G935" s="2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5.75" customHeight="1" x14ac:dyDescent="0.25">
      <c r="A936" s="5"/>
      <c r="B936" s="5"/>
      <c r="C936" s="5"/>
      <c r="D936" s="5"/>
      <c r="E936" s="5"/>
      <c r="F936" s="5"/>
      <c r="G936" s="2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5.75" customHeight="1" x14ac:dyDescent="0.25">
      <c r="A937" s="5"/>
      <c r="B937" s="5"/>
      <c r="C937" s="5"/>
      <c r="D937" s="5"/>
      <c r="E937" s="5"/>
      <c r="F937" s="5"/>
      <c r="G937" s="2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5.75" customHeight="1" x14ac:dyDescent="0.25">
      <c r="A938" s="5"/>
      <c r="B938" s="5"/>
      <c r="C938" s="5"/>
      <c r="D938" s="5"/>
      <c r="E938" s="5"/>
      <c r="F938" s="5"/>
      <c r="G938" s="2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5.75" customHeight="1" x14ac:dyDescent="0.25">
      <c r="A939" s="5"/>
      <c r="B939" s="5"/>
      <c r="C939" s="5"/>
      <c r="D939" s="5"/>
      <c r="E939" s="5"/>
      <c r="F939" s="5"/>
      <c r="G939" s="2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5.75" customHeight="1" x14ac:dyDescent="0.25">
      <c r="A940" s="5"/>
      <c r="B940" s="5"/>
      <c r="C940" s="5"/>
      <c r="D940" s="5"/>
      <c r="E940" s="5"/>
      <c r="F940" s="5"/>
      <c r="G940" s="2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5.75" customHeight="1" x14ac:dyDescent="0.25">
      <c r="A941" s="5"/>
      <c r="B941" s="5"/>
      <c r="C941" s="5"/>
      <c r="D941" s="5"/>
      <c r="E941" s="5"/>
      <c r="F941" s="5"/>
      <c r="G941" s="2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5.75" customHeight="1" x14ac:dyDescent="0.25">
      <c r="A942" s="5"/>
      <c r="B942" s="5"/>
      <c r="C942" s="5"/>
      <c r="D942" s="5"/>
      <c r="E942" s="5"/>
      <c r="F942" s="5"/>
      <c r="G942" s="2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5.75" customHeight="1" x14ac:dyDescent="0.25">
      <c r="A943" s="5"/>
      <c r="B943" s="5"/>
      <c r="C943" s="5"/>
      <c r="D943" s="5"/>
      <c r="E943" s="5"/>
      <c r="F943" s="5"/>
      <c r="G943" s="2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5.75" customHeight="1" x14ac:dyDescent="0.25">
      <c r="A944" s="5"/>
      <c r="B944" s="5"/>
      <c r="C944" s="5"/>
      <c r="D944" s="5"/>
      <c r="E944" s="5"/>
      <c r="F944" s="5"/>
      <c r="G944" s="2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5.75" customHeight="1" x14ac:dyDescent="0.25">
      <c r="A945" s="5"/>
      <c r="B945" s="5"/>
      <c r="C945" s="5"/>
      <c r="D945" s="5"/>
      <c r="E945" s="5"/>
      <c r="F945" s="5"/>
      <c r="G945" s="2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5.75" customHeight="1" x14ac:dyDescent="0.25">
      <c r="A946" s="5"/>
      <c r="B946" s="5"/>
      <c r="C946" s="5"/>
      <c r="D946" s="5"/>
      <c r="E946" s="5"/>
      <c r="F946" s="5"/>
      <c r="G946" s="2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5.75" customHeight="1" x14ac:dyDescent="0.25">
      <c r="A947" s="5"/>
      <c r="B947" s="5"/>
      <c r="C947" s="5"/>
      <c r="D947" s="5"/>
      <c r="E947" s="5"/>
      <c r="F947" s="5"/>
      <c r="G947" s="2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5.75" customHeight="1" x14ac:dyDescent="0.25">
      <c r="A948" s="5"/>
      <c r="B948" s="5"/>
      <c r="C948" s="5"/>
      <c r="D948" s="5"/>
      <c r="E948" s="5"/>
      <c r="F948" s="5"/>
      <c r="G948" s="2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5.75" customHeight="1" x14ac:dyDescent="0.25">
      <c r="A949" s="5"/>
      <c r="B949" s="5"/>
      <c r="C949" s="5"/>
      <c r="D949" s="5"/>
      <c r="E949" s="5"/>
      <c r="F949" s="5"/>
      <c r="G949" s="2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5.75" customHeight="1" x14ac:dyDescent="0.25">
      <c r="A950" s="5"/>
      <c r="B950" s="5"/>
      <c r="C950" s="5"/>
      <c r="D950" s="5"/>
      <c r="E950" s="5"/>
      <c r="F950" s="5"/>
      <c r="G950" s="2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5.75" customHeight="1" x14ac:dyDescent="0.25">
      <c r="A951" s="5"/>
      <c r="B951" s="5"/>
      <c r="C951" s="5"/>
      <c r="D951" s="5"/>
      <c r="E951" s="5"/>
      <c r="F951" s="5"/>
      <c r="G951" s="2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5.75" customHeight="1" x14ac:dyDescent="0.25">
      <c r="A952" s="5"/>
      <c r="B952" s="5"/>
      <c r="C952" s="5"/>
      <c r="D952" s="5"/>
      <c r="E952" s="5"/>
      <c r="F952" s="5"/>
      <c r="G952" s="2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5.75" customHeight="1" x14ac:dyDescent="0.25">
      <c r="A953" s="5"/>
      <c r="B953" s="5"/>
      <c r="C953" s="5"/>
      <c r="D953" s="5"/>
      <c r="E953" s="5"/>
      <c r="F953" s="5"/>
      <c r="G953" s="2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5.75" customHeight="1" x14ac:dyDescent="0.25">
      <c r="A954" s="5"/>
      <c r="B954" s="5"/>
      <c r="C954" s="5"/>
      <c r="D954" s="5"/>
      <c r="E954" s="5"/>
      <c r="F954" s="5"/>
      <c r="G954" s="2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5.75" customHeight="1" x14ac:dyDescent="0.25">
      <c r="A955" s="5"/>
      <c r="B955" s="5"/>
      <c r="C955" s="5"/>
      <c r="D955" s="5"/>
      <c r="E955" s="5"/>
      <c r="F955" s="5"/>
      <c r="G955" s="2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5.75" customHeight="1" x14ac:dyDescent="0.25">
      <c r="A956" s="5"/>
      <c r="B956" s="5"/>
      <c r="C956" s="5"/>
      <c r="D956" s="5"/>
      <c r="E956" s="5"/>
      <c r="F956" s="5"/>
      <c r="G956" s="2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5.75" customHeight="1" x14ac:dyDescent="0.25">
      <c r="A957" s="5"/>
      <c r="B957" s="5"/>
      <c r="C957" s="5"/>
      <c r="D957" s="5"/>
      <c r="E957" s="5"/>
      <c r="F957" s="5"/>
      <c r="G957" s="2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5.75" customHeight="1" x14ac:dyDescent="0.25">
      <c r="A958" s="5"/>
      <c r="B958" s="5"/>
      <c r="C958" s="5"/>
      <c r="D958" s="5"/>
      <c r="E958" s="5"/>
      <c r="F958" s="5"/>
      <c r="G958" s="2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5.75" customHeight="1" x14ac:dyDescent="0.25">
      <c r="A959" s="5"/>
      <c r="B959" s="5"/>
      <c r="C959" s="5"/>
      <c r="D959" s="5"/>
      <c r="E959" s="5"/>
      <c r="F959" s="5"/>
      <c r="G959" s="2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5.75" customHeight="1" x14ac:dyDescent="0.25">
      <c r="A960" s="5"/>
      <c r="B960" s="5"/>
      <c r="C960" s="5"/>
      <c r="D960" s="5"/>
      <c r="E960" s="5"/>
      <c r="F960" s="5"/>
      <c r="G960" s="2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5.75" customHeight="1" x14ac:dyDescent="0.25">
      <c r="A961" s="5"/>
      <c r="B961" s="5"/>
      <c r="C961" s="5"/>
      <c r="D961" s="5"/>
      <c r="E961" s="5"/>
      <c r="F961" s="5"/>
      <c r="G961" s="2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5.75" customHeight="1" x14ac:dyDescent="0.25">
      <c r="A962" s="5"/>
      <c r="B962" s="5"/>
      <c r="C962" s="5"/>
      <c r="D962" s="5"/>
      <c r="E962" s="5"/>
      <c r="F962" s="5"/>
      <c r="G962" s="2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5.75" customHeight="1" x14ac:dyDescent="0.25">
      <c r="A963" s="5"/>
      <c r="B963" s="5"/>
      <c r="C963" s="5"/>
      <c r="D963" s="5"/>
      <c r="E963" s="5"/>
      <c r="F963" s="5"/>
      <c r="G963" s="2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5.75" customHeight="1" x14ac:dyDescent="0.25">
      <c r="A964" s="5"/>
      <c r="B964" s="5"/>
      <c r="C964" s="5"/>
      <c r="D964" s="5"/>
      <c r="E964" s="5"/>
      <c r="F964" s="5"/>
      <c r="G964" s="2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5.75" customHeight="1" x14ac:dyDescent="0.25">
      <c r="A965" s="5"/>
      <c r="B965" s="5"/>
      <c r="C965" s="5"/>
      <c r="D965" s="5"/>
      <c r="E965" s="5"/>
      <c r="F965" s="5"/>
      <c r="G965" s="2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5.75" customHeight="1" x14ac:dyDescent="0.25">
      <c r="A966" s="5"/>
      <c r="B966" s="5"/>
      <c r="C966" s="5"/>
      <c r="D966" s="5"/>
      <c r="E966" s="5"/>
      <c r="F966" s="5"/>
      <c r="G966" s="2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5.75" customHeight="1" x14ac:dyDescent="0.25">
      <c r="A967" s="5"/>
      <c r="B967" s="5"/>
      <c r="C967" s="5"/>
      <c r="D967" s="5"/>
      <c r="E967" s="5"/>
      <c r="F967" s="5"/>
      <c r="G967" s="2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5.75" customHeight="1" x14ac:dyDescent="0.25">
      <c r="A968" s="5"/>
      <c r="B968" s="5"/>
      <c r="C968" s="5"/>
      <c r="D968" s="5"/>
      <c r="E968" s="5"/>
      <c r="F968" s="5"/>
      <c r="G968" s="2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5.75" customHeight="1" x14ac:dyDescent="0.25">
      <c r="A969" s="5"/>
      <c r="B969" s="5"/>
      <c r="C969" s="5"/>
      <c r="D969" s="5"/>
      <c r="E969" s="5"/>
      <c r="F969" s="5"/>
      <c r="G969" s="2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5.75" customHeight="1" x14ac:dyDescent="0.25">
      <c r="A970" s="5"/>
      <c r="B970" s="5"/>
      <c r="C970" s="5"/>
      <c r="D970" s="5"/>
      <c r="E970" s="5"/>
      <c r="F970" s="5"/>
      <c r="G970" s="2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5.75" customHeight="1" x14ac:dyDescent="0.25">
      <c r="A971" s="5"/>
      <c r="B971" s="5"/>
      <c r="C971" s="5"/>
      <c r="D971" s="5"/>
      <c r="E971" s="5"/>
      <c r="F971" s="5"/>
      <c r="G971" s="2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5.75" customHeight="1" x14ac:dyDescent="0.25">
      <c r="A972" s="5"/>
      <c r="B972" s="5"/>
      <c r="C972" s="5"/>
      <c r="D972" s="5"/>
      <c r="E972" s="5"/>
      <c r="F972" s="5"/>
      <c r="G972" s="2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5.75" customHeight="1" x14ac:dyDescent="0.25">
      <c r="A973" s="5"/>
      <c r="B973" s="5"/>
      <c r="C973" s="5"/>
      <c r="D973" s="5"/>
      <c r="E973" s="5"/>
      <c r="F973" s="5"/>
      <c r="G973" s="2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5.75" customHeight="1" x14ac:dyDescent="0.25">
      <c r="A974" s="5"/>
      <c r="B974" s="5"/>
      <c r="C974" s="5"/>
      <c r="D974" s="5"/>
      <c r="E974" s="5"/>
      <c r="F974" s="5"/>
      <c r="G974" s="2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5.75" customHeight="1" x14ac:dyDescent="0.25">
      <c r="A975" s="5"/>
      <c r="B975" s="5"/>
      <c r="C975" s="5"/>
      <c r="D975" s="5"/>
      <c r="E975" s="5"/>
      <c r="F975" s="5"/>
      <c r="G975" s="2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5.75" customHeight="1" x14ac:dyDescent="0.25">
      <c r="A976" s="5"/>
      <c r="B976" s="5"/>
      <c r="C976" s="5"/>
      <c r="D976" s="5"/>
      <c r="E976" s="5"/>
      <c r="F976" s="5"/>
      <c r="G976" s="2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5.75" customHeight="1" x14ac:dyDescent="0.25">
      <c r="A977" s="5"/>
      <c r="B977" s="5"/>
      <c r="C977" s="5"/>
      <c r="D977" s="5"/>
      <c r="E977" s="5"/>
      <c r="F977" s="5"/>
      <c r="G977" s="2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5.75" customHeight="1" x14ac:dyDescent="0.25">
      <c r="A978" s="5"/>
      <c r="B978" s="5"/>
      <c r="C978" s="5"/>
      <c r="D978" s="5"/>
      <c r="E978" s="5"/>
      <c r="F978" s="5"/>
      <c r="G978" s="2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5.75" customHeight="1" x14ac:dyDescent="0.25">
      <c r="A979" s="5"/>
      <c r="B979" s="5"/>
      <c r="C979" s="5"/>
      <c r="D979" s="5"/>
      <c r="E979" s="5"/>
      <c r="F979" s="5"/>
      <c r="G979" s="2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5.75" customHeight="1" x14ac:dyDescent="0.25">
      <c r="A980" s="5"/>
      <c r="B980" s="5"/>
      <c r="C980" s="5"/>
      <c r="D980" s="5"/>
      <c r="E980" s="5"/>
      <c r="F980" s="5"/>
      <c r="G980" s="2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5.75" customHeight="1" x14ac:dyDescent="0.25">
      <c r="A981" s="5"/>
      <c r="B981" s="5"/>
      <c r="C981" s="5"/>
      <c r="D981" s="5"/>
      <c r="E981" s="5"/>
      <c r="F981" s="5"/>
      <c r="G981" s="2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5.75" customHeight="1" x14ac:dyDescent="0.25">
      <c r="A982" s="5"/>
      <c r="B982" s="5"/>
      <c r="C982" s="5"/>
      <c r="D982" s="5"/>
      <c r="E982" s="5"/>
      <c r="F982" s="5"/>
      <c r="G982" s="2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5.75" customHeight="1" x14ac:dyDescent="0.25">
      <c r="A983" s="5"/>
      <c r="B983" s="5"/>
      <c r="C983" s="5"/>
      <c r="D983" s="5"/>
      <c r="E983" s="5"/>
      <c r="F983" s="5"/>
      <c r="G983" s="2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5.75" customHeight="1" x14ac:dyDescent="0.25">
      <c r="A984" s="5"/>
      <c r="B984" s="5"/>
      <c r="C984" s="5"/>
      <c r="D984" s="5"/>
      <c r="E984" s="5"/>
      <c r="F984" s="5"/>
      <c r="G984" s="2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5.75" customHeight="1" x14ac:dyDescent="0.25">
      <c r="A985" s="5"/>
      <c r="B985" s="5"/>
      <c r="C985" s="5"/>
      <c r="D985" s="5"/>
      <c r="E985" s="5"/>
      <c r="F985" s="5"/>
      <c r="G985" s="2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5.75" customHeight="1" x14ac:dyDescent="0.25">
      <c r="A986" s="5"/>
      <c r="B986" s="5"/>
      <c r="C986" s="5"/>
      <c r="D986" s="5"/>
      <c r="E986" s="5"/>
      <c r="F986" s="5"/>
      <c r="G986" s="2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5.75" customHeight="1" x14ac:dyDescent="0.25">
      <c r="A987" s="5"/>
      <c r="B987" s="5"/>
      <c r="C987" s="5"/>
      <c r="D987" s="5"/>
      <c r="E987" s="5"/>
      <c r="F987" s="5"/>
      <c r="G987" s="2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5.75" customHeight="1" x14ac:dyDescent="0.25">
      <c r="A988" s="5"/>
      <c r="B988" s="5"/>
      <c r="C988" s="5"/>
      <c r="D988" s="5"/>
      <c r="E988" s="5"/>
      <c r="F988" s="5"/>
      <c r="G988" s="2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5.75" customHeight="1" x14ac:dyDescent="0.25">
      <c r="A989" s="5"/>
      <c r="B989" s="5"/>
      <c r="C989" s="5"/>
      <c r="D989" s="5"/>
      <c r="E989" s="5"/>
      <c r="F989" s="5"/>
      <c r="G989" s="2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5.75" customHeight="1" x14ac:dyDescent="0.25">
      <c r="A990" s="5"/>
      <c r="B990" s="5"/>
      <c r="C990" s="5"/>
      <c r="D990" s="5"/>
      <c r="E990" s="5"/>
      <c r="F990" s="5"/>
      <c r="G990" s="2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5.75" customHeight="1" x14ac:dyDescent="0.25">
      <c r="A991" s="5"/>
      <c r="B991" s="5"/>
      <c r="C991" s="5"/>
      <c r="D991" s="5"/>
      <c r="E991" s="5"/>
      <c r="F991" s="5"/>
      <c r="G991" s="2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5.75" customHeight="1" x14ac:dyDescent="0.25">
      <c r="A992" s="5"/>
      <c r="B992" s="5"/>
      <c r="C992" s="5"/>
      <c r="D992" s="5"/>
      <c r="E992" s="5"/>
      <c r="F992" s="5"/>
      <c r="G992" s="2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5.75" customHeight="1" x14ac:dyDescent="0.25">
      <c r="A993" s="5"/>
      <c r="B993" s="5"/>
      <c r="C993" s="5"/>
      <c r="D993" s="5"/>
      <c r="E993" s="5"/>
      <c r="F993" s="5"/>
      <c r="G993" s="2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5.75" customHeight="1" x14ac:dyDescent="0.25">
      <c r="A994" s="5"/>
      <c r="B994" s="5"/>
      <c r="C994" s="5"/>
      <c r="D994" s="5"/>
      <c r="E994" s="5"/>
      <c r="F994" s="5"/>
      <c r="G994" s="2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5.75" customHeight="1" x14ac:dyDescent="0.25">
      <c r="A995" s="5"/>
      <c r="B995" s="5"/>
      <c r="C995" s="5"/>
      <c r="D995" s="5"/>
      <c r="E995" s="5"/>
      <c r="F995" s="5"/>
      <c r="G995" s="2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5.75" customHeight="1" x14ac:dyDescent="0.25">
      <c r="A996" s="5"/>
      <c r="B996" s="5"/>
      <c r="C996" s="5"/>
      <c r="D996" s="5"/>
      <c r="E996" s="5"/>
      <c r="F996" s="5"/>
      <c r="G996" s="2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5.75" customHeight="1" x14ac:dyDescent="0.25">
      <c r="A997" s="5"/>
      <c r="B997" s="5"/>
      <c r="C997" s="5"/>
      <c r="D997" s="5"/>
      <c r="E997" s="5"/>
      <c r="F997" s="5"/>
      <c r="G997" s="2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5.75" customHeight="1" x14ac:dyDescent="0.25">
      <c r="A998" s="5"/>
      <c r="B998" s="5"/>
      <c r="C998" s="5"/>
      <c r="D998" s="5"/>
      <c r="E998" s="5"/>
      <c r="F998" s="5"/>
      <c r="G998" s="2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5.75" customHeight="1" x14ac:dyDescent="0.25">
      <c r="A999" s="5"/>
      <c r="B999" s="5"/>
      <c r="C999" s="5"/>
      <c r="D999" s="5"/>
      <c r="E999" s="5"/>
      <c r="F999" s="5"/>
      <c r="G999" s="2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5.75" customHeight="1" x14ac:dyDescent="0.25">
      <c r="A1000" s="5"/>
      <c r="B1000" s="5"/>
      <c r="C1000" s="5"/>
      <c r="D1000" s="5"/>
      <c r="E1000" s="5"/>
      <c r="F1000" s="5"/>
      <c r="G1000" s="2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spans="1:24" ht="15.75" customHeight="1" x14ac:dyDescent="0.25">
      <c r="A1001" s="5"/>
      <c r="B1001" s="5"/>
      <c r="C1001" s="5"/>
      <c r="D1001" s="5"/>
      <c r="E1001" s="5"/>
      <c r="F1001" s="5"/>
      <c r="G1001" s="28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spans="1:24" ht="15.75" customHeight="1" x14ac:dyDescent="0.25">
      <c r="A1002" s="5"/>
      <c r="B1002" s="5"/>
      <c r="C1002" s="5"/>
      <c r="D1002" s="5"/>
      <c r="E1002" s="5"/>
      <c r="F1002" s="5"/>
      <c r="G1002" s="28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spans="1:24" ht="15.75" customHeight="1" x14ac:dyDescent="0.25">
      <c r="A1003" s="5"/>
      <c r="B1003" s="5"/>
      <c r="C1003" s="5"/>
      <c r="D1003" s="5"/>
      <c r="E1003" s="5"/>
      <c r="F1003" s="5"/>
      <c r="G1003" s="28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206E"/>
  </sheetPr>
  <dimension ref="A1:O1003"/>
  <sheetViews>
    <sheetView zoomScale="67" zoomScaleNormal="67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S40" sqref="S40"/>
    </sheetView>
  </sheetViews>
  <sheetFormatPr defaultColWidth="12.5703125" defaultRowHeight="15" customHeight="1" x14ac:dyDescent="0.25"/>
  <cols>
    <col min="1" max="1" width="2.140625" customWidth="1"/>
    <col min="2" max="2" width="36.140625" customWidth="1"/>
    <col min="3" max="11" width="12.5703125" customWidth="1"/>
    <col min="12" max="12" width="13.5703125" customWidth="1"/>
    <col min="13" max="15" width="12.5703125" customWidth="1"/>
    <col min="16" max="16" width="10.5703125" customWidth="1"/>
  </cols>
  <sheetData>
    <row r="1" spans="1:15" ht="15.75" customHeight="1" x14ac:dyDescent="0.25">
      <c r="A1" s="6" t="str">
        <f>TableofContent!A1</f>
        <v>POWER FINANCIAL WELLNESS  INC</v>
      </c>
      <c r="B1" s="5"/>
      <c r="C1" s="5" t="s">
        <v>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8" t="str">
        <f>TableofContent!F1</f>
        <v>USD</v>
      </c>
    </row>
    <row r="2" spans="1:15" ht="15.75" customHeight="1" x14ac:dyDescent="0.25">
      <c r="A2" s="6" t="str">
        <f>TableofContent!A2</f>
        <v>CONSOLIDATED MANAGEMENT ACCOUNTS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.75" customHeight="1" x14ac:dyDescent="0.25">
      <c r="A3" s="6" t="str">
        <f>TableofContent!A3</f>
        <v>TABLE OF CONTENT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75" customHeight="1" x14ac:dyDescent="0.25">
      <c r="A4" s="6" t="str">
        <f>TableofContent!A4</f>
        <v>FOR PERIOD ENDED JULY 31,  2025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 x14ac:dyDescent="0.25">
      <c r="A5" s="6" t="str">
        <f>TableofContent!A5</f>
        <v>PREPARED BY: MOSES KIGO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 x14ac:dyDescent="0.25">
      <c r="A8" s="5"/>
      <c r="B8" s="5"/>
      <c r="C8" s="32">
        <v>45657</v>
      </c>
      <c r="D8" s="32">
        <v>45658</v>
      </c>
      <c r="E8" s="32">
        <f t="shared" ref="E8:O8" si="0">EOMONTH(D8,1)</f>
        <v>45716</v>
      </c>
      <c r="F8" s="32">
        <f t="shared" si="0"/>
        <v>45747</v>
      </c>
      <c r="G8" s="32">
        <f t="shared" si="0"/>
        <v>45777</v>
      </c>
      <c r="H8" s="32">
        <f t="shared" si="0"/>
        <v>45808</v>
      </c>
      <c r="I8" s="32">
        <f t="shared" si="0"/>
        <v>45838</v>
      </c>
      <c r="J8" s="32">
        <f t="shared" si="0"/>
        <v>45869</v>
      </c>
      <c r="K8" s="32">
        <f t="shared" si="0"/>
        <v>45900</v>
      </c>
      <c r="L8" s="32">
        <f t="shared" si="0"/>
        <v>45930</v>
      </c>
      <c r="M8" s="32">
        <f t="shared" si="0"/>
        <v>45961</v>
      </c>
      <c r="N8" s="32">
        <f t="shared" si="0"/>
        <v>45991</v>
      </c>
      <c r="O8" s="32">
        <f t="shared" si="0"/>
        <v>46022</v>
      </c>
    </row>
    <row r="9" spans="1:15" ht="15.75" customHeight="1" x14ac:dyDescent="0.25">
      <c r="A9" s="5" t="s">
        <v>28</v>
      </c>
      <c r="B9" s="33" t="s">
        <v>115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5.75" customHeight="1" x14ac:dyDescent="0.25">
      <c r="A10" s="20" t="s">
        <v>29</v>
      </c>
      <c r="B10" s="34" t="s">
        <v>30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5.75" customHeight="1" x14ac:dyDescent="0.25">
      <c r="A11" s="20" t="s">
        <v>31</v>
      </c>
      <c r="B11" s="10" t="s">
        <v>32</v>
      </c>
      <c r="C11" s="11">
        <v>627920</v>
      </c>
      <c r="D11" s="11">
        <f>'BS (MoM)'!T4</f>
        <v>794294.22</v>
      </c>
      <c r="E11" s="11">
        <f>'BS (MoM)'!U4</f>
        <v>760065.78</v>
      </c>
      <c r="F11" s="11">
        <f>'BS (MoM)'!V4</f>
        <v>689215.17</v>
      </c>
      <c r="G11" s="11">
        <f>'BS (MoM)'!W4</f>
        <v>828564.78</v>
      </c>
      <c r="H11" s="11">
        <f>'BS (MoM)'!X4</f>
        <v>888683.76</v>
      </c>
      <c r="I11" s="11">
        <f>'BS (MoM)'!Y4</f>
        <v>653154.78</v>
      </c>
      <c r="J11" s="11">
        <f>'BS (MoM)'!Z4</f>
        <v>511499.83</v>
      </c>
      <c r="K11" s="11">
        <f>'BS (MoM)'!AA4</f>
        <v>445399.48</v>
      </c>
      <c r="L11" s="11">
        <f>'BS (MoM)'!AB4</f>
        <v>537995.66</v>
      </c>
      <c r="M11" s="11">
        <f>'BS (MoM)'!AC4</f>
        <v>0</v>
      </c>
      <c r="N11" s="11">
        <f>'BS (MoM)'!AD4</f>
        <v>0</v>
      </c>
      <c r="O11" s="11">
        <f>'BS (MoM)'!AE4</f>
        <v>0</v>
      </c>
    </row>
    <row r="12" spans="1:15" ht="15.75" customHeight="1" x14ac:dyDescent="0.25">
      <c r="A12" s="20" t="s">
        <v>33</v>
      </c>
      <c r="B12" s="10" t="s">
        <v>34</v>
      </c>
      <c r="C12" s="11">
        <v>805429</v>
      </c>
      <c r="D12" s="11">
        <f>'BS (MoM)'!T5</f>
        <v>1012498.89</v>
      </c>
      <c r="E12" s="11">
        <f>'BS (MoM)'!U5</f>
        <v>1178406.3700000001</v>
      </c>
      <c r="F12" s="11">
        <f>'BS (MoM)'!V5</f>
        <v>1172488.3400000001</v>
      </c>
      <c r="G12" s="11">
        <f>'BS (MoM)'!W5</f>
        <v>1229612.8</v>
      </c>
      <c r="H12" s="11">
        <f>'BS (MoM)'!X5</f>
        <v>1285940.69</v>
      </c>
      <c r="I12" s="11">
        <f>'BS (MoM)'!Y5</f>
        <v>1368511.55</v>
      </c>
      <c r="J12" s="11">
        <f>'BS (MoM)'!Z5</f>
        <v>1435517.75</v>
      </c>
      <c r="K12" s="11">
        <f>'BS (MoM)'!AA5</f>
        <v>1548630.62</v>
      </c>
      <c r="L12" s="11">
        <f>'BS (MoM)'!AB5</f>
        <v>1645999.08</v>
      </c>
      <c r="M12" s="11">
        <f>'BS (MoM)'!AC5</f>
        <v>0</v>
      </c>
      <c r="N12" s="11">
        <f>'BS (MoM)'!AD5</f>
        <v>0</v>
      </c>
      <c r="O12" s="11">
        <f>'BS (MoM)'!AE5</f>
        <v>0</v>
      </c>
    </row>
    <row r="13" spans="1:15" ht="15.75" customHeight="1" x14ac:dyDescent="0.25">
      <c r="A13" s="20" t="s">
        <v>35</v>
      </c>
      <c r="B13" s="10" t="s">
        <v>36</v>
      </c>
      <c r="C13" s="11">
        <v>885375</v>
      </c>
      <c r="D13" s="11">
        <f>'BS (MoM)'!T6</f>
        <v>982416.07</v>
      </c>
      <c r="E13" s="11">
        <f>'BS (MoM)'!U6</f>
        <v>1106887.96</v>
      </c>
      <c r="F13" s="11">
        <f>'BS (MoM)'!V6</f>
        <v>1146508.8999999999</v>
      </c>
      <c r="G13" s="11">
        <f>'BS (MoM)'!W6</f>
        <v>1222569.72</v>
      </c>
      <c r="H13" s="11">
        <f>'BS (MoM)'!X6</f>
        <v>1301171.1000000001</v>
      </c>
      <c r="I13" s="11">
        <f>'BS (MoM)'!Y6</f>
        <v>1324774.06</v>
      </c>
      <c r="J13" s="11">
        <f>'BS (MoM)'!Z6</f>
        <v>1515179.86</v>
      </c>
      <c r="K13" s="11">
        <f>'BS (MoM)'!AA6</f>
        <v>1566113.02</v>
      </c>
      <c r="L13" s="11">
        <f>'BS (MoM)'!AB6</f>
        <v>1623863.2</v>
      </c>
      <c r="M13" s="11">
        <f>'BS (MoM)'!AC6</f>
        <v>0</v>
      </c>
      <c r="N13" s="11">
        <f>'BS (MoM)'!AD6</f>
        <v>0</v>
      </c>
      <c r="O13" s="11">
        <f>'BS (MoM)'!AE6</f>
        <v>0</v>
      </c>
    </row>
    <row r="14" spans="1:15" ht="15.75" customHeight="1" x14ac:dyDescent="0.25">
      <c r="A14" s="35" t="s">
        <v>37</v>
      </c>
      <c r="B14" s="13" t="s">
        <v>38</v>
      </c>
      <c r="C14" s="14">
        <v>245167</v>
      </c>
      <c r="D14" s="14">
        <f>'BS (MoM)'!T7</f>
        <v>250633.59</v>
      </c>
      <c r="E14" s="14">
        <f>'BS (MoM)'!U7</f>
        <v>241222.22</v>
      </c>
      <c r="F14" s="14">
        <f>'BS (MoM)'!V7</f>
        <v>226124.11</v>
      </c>
      <c r="G14" s="14">
        <f>'BS (MoM)'!W7</f>
        <v>222716.97</v>
      </c>
      <c r="H14" s="14">
        <f>'BS (MoM)'!X7</f>
        <v>200695.6</v>
      </c>
      <c r="I14" s="14">
        <f>'BS (MoM)'!Y7</f>
        <v>179384.61</v>
      </c>
      <c r="J14" s="14">
        <f>'BS (MoM)'!Z7</f>
        <v>176608.82</v>
      </c>
      <c r="K14" s="14">
        <f>'BS (MoM)'!AA7</f>
        <v>175775.56</v>
      </c>
      <c r="L14" s="14">
        <f>'BS (MoM)'!AB7</f>
        <v>181855.23</v>
      </c>
      <c r="M14" s="14">
        <f>'BS (MoM)'!AC7</f>
        <v>0</v>
      </c>
      <c r="N14" s="14">
        <f>'BS (MoM)'!AD7</f>
        <v>0</v>
      </c>
      <c r="O14" s="14">
        <f>'BS (MoM)'!AE7</f>
        <v>0</v>
      </c>
    </row>
    <row r="15" spans="1:15" ht="15.75" customHeight="1" x14ac:dyDescent="0.25">
      <c r="A15" s="36" t="s">
        <v>39</v>
      </c>
      <c r="B15" s="8" t="s">
        <v>40</v>
      </c>
      <c r="C15" s="15">
        <v>2563891</v>
      </c>
      <c r="D15" s="15">
        <f t="shared" ref="D15" si="1">SUM(D11:D14)</f>
        <v>3039842.7699999996</v>
      </c>
      <c r="E15" s="15">
        <f t="shared" ref="E15:N15" si="2">SUM(E11:E14)</f>
        <v>3286582.3300000005</v>
      </c>
      <c r="F15" s="15">
        <f t="shared" si="2"/>
        <v>3234336.52</v>
      </c>
      <c r="G15" s="15">
        <f t="shared" si="2"/>
        <v>3503464.27</v>
      </c>
      <c r="H15" s="15">
        <f t="shared" si="2"/>
        <v>3676491.1500000004</v>
      </c>
      <c r="I15" s="15">
        <f t="shared" si="2"/>
        <v>3525825</v>
      </c>
      <c r="J15" s="15">
        <f t="shared" si="2"/>
        <v>3638806.2600000002</v>
      </c>
      <c r="K15" s="15">
        <f t="shared" si="2"/>
        <v>3735918.68</v>
      </c>
      <c r="L15" s="15">
        <f t="shared" si="2"/>
        <v>3989713.1700000004</v>
      </c>
      <c r="M15" s="15">
        <f t="shared" si="2"/>
        <v>0</v>
      </c>
      <c r="N15" s="15">
        <f t="shared" si="2"/>
        <v>0</v>
      </c>
      <c r="O15" s="15">
        <f t="shared" ref="O15" si="3">SUM(O11:O14)</f>
        <v>0</v>
      </c>
    </row>
    <row r="16" spans="1:15" ht="15.75" customHeight="1" x14ac:dyDescent="0.25">
      <c r="A16" s="20" t="s">
        <v>28</v>
      </c>
      <c r="B16" s="10" t="s">
        <v>28</v>
      </c>
      <c r="C16" s="11"/>
      <c r="D16" s="11">
        <f>D15-'BS (MoM)'!T8</f>
        <v>0</v>
      </c>
      <c r="E16" s="11">
        <f>E15-'BS (MoM)'!U8</f>
        <v>0</v>
      </c>
      <c r="F16" s="124">
        <f>F15-'BS (MoM)'!V8</f>
        <v>0</v>
      </c>
      <c r="G16" s="124">
        <f>G15-'BS (MoM)'!W8</f>
        <v>0</v>
      </c>
      <c r="H16" s="124">
        <f>H15-'BS (MoM)'!X8</f>
        <v>0</v>
      </c>
      <c r="I16" s="124">
        <f>I15-'BS (MoM)'!Y8</f>
        <v>0</v>
      </c>
      <c r="J16" s="11">
        <f>J15-'BS (MoM)'!Z8</f>
        <v>0</v>
      </c>
      <c r="K16" s="11"/>
      <c r="L16" s="11"/>
      <c r="M16" s="11"/>
      <c r="N16" s="11"/>
      <c r="O16" s="11"/>
    </row>
    <row r="17" spans="1:15" ht="15.75" customHeight="1" x14ac:dyDescent="0.25">
      <c r="A17" s="20" t="s">
        <v>41</v>
      </c>
      <c r="B17" s="34" t="s">
        <v>42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5.75" customHeight="1" x14ac:dyDescent="0.25">
      <c r="A18" s="20" t="s">
        <v>43</v>
      </c>
      <c r="B18" s="10" t="s">
        <v>272</v>
      </c>
      <c r="C18" s="11">
        <v>34348</v>
      </c>
      <c r="D18" s="11">
        <f>'BS (MoM)'!T11</f>
        <v>36694.76</v>
      </c>
      <c r="E18" s="11">
        <f>'BS (MoM)'!U11</f>
        <v>41233.54</v>
      </c>
      <c r="F18" s="11">
        <f>'BS (MoM)'!V11</f>
        <v>45208.34</v>
      </c>
      <c r="G18" s="11">
        <f>'BS (MoM)'!W11</f>
        <v>45728.89</v>
      </c>
      <c r="H18" s="11">
        <f>'BS (MoM)'!X11</f>
        <v>45728.89</v>
      </c>
      <c r="I18" s="11">
        <f>'BS (MoM)'!Y11</f>
        <v>46249.440000000002</v>
      </c>
      <c r="J18" s="11">
        <f>'BS (MoM)'!Z11</f>
        <v>48005.79</v>
      </c>
      <c r="K18" s="11">
        <f>'BS (MoM)'!AA11</f>
        <v>48005.79</v>
      </c>
      <c r="L18" s="11">
        <f>'BS (MoM)'!AB11</f>
        <v>50070.5</v>
      </c>
      <c r="M18" s="11">
        <f>'BS (MoM)'!AC11</f>
        <v>0</v>
      </c>
      <c r="N18" s="11">
        <f>'BS (MoM)'!AD11</f>
        <v>0</v>
      </c>
      <c r="O18" s="11">
        <f>'BS (MoM)'!AE11</f>
        <v>0</v>
      </c>
    </row>
    <row r="19" spans="1:15" ht="15.75" customHeight="1" x14ac:dyDescent="0.25">
      <c r="A19" s="20"/>
      <c r="B19" s="10" t="s">
        <v>278</v>
      </c>
      <c r="C19" s="11">
        <v>-19654</v>
      </c>
      <c r="D19" s="11">
        <f>'BS (MoM)'!T12</f>
        <v>-20655.060000000001</v>
      </c>
      <c r="E19" s="11">
        <f>'BS (MoM)'!U12</f>
        <v>-21744.16</v>
      </c>
      <c r="F19" s="11">
        <f>'BS (MoM)'!V12</f>
        <v>-22835.56</v>
      </c>
      <c r="G19" s="11">
        <f>'BS (MoM)'!W12</f>
        <v>-23934.75</v>
      </c>
      <c r="H19" s="11">
        <f>'BS (MoM)'!X12</f>
        <v>-25025.55</v>
      </c>
      <c r="I19" s="11">
        <f>'BS (MoM)'!Y12</f>
        <v>-26189.93</v>
      </c>
      <c r="J19" s="11">
        <f>'BS (MoM)'!Z12</f>
        <v>-27342.11</v>
      </c>
      <c r="K19" s="11">
        <f>'BS (MoM)'!AA12</f>
        <v>-28494.85</v>
      </c>
      <c r="L19" s="11">
        <f>'BS (MoM)'!AB12</f>
        <v>-29699.01</v>
      </c>
      <c r="M19" s="11">
        <f>'BS (MoM)'!AC12</f>
        <v>0</v>
      </c>
      <c r="N19" s="11">
        <f>'BS (MoM)'!AD12</f>
        <v>0</v>
      </c>
      <c r="O19" s="11">
        <f>'BS (MoM)'!AE12</f>
        <v>0</v>
      </c>
    </row>
    <row r="20" spans="1:15" ht="15.75" customHeight="1" x14ac:dyDescent="0.25">
      <c r="A20" s="20"/>
      <c r="B20" s="10" t="s">
        <v>275</v>
      </c>
      <c r="C20" s="11">
        <v>740386</v>
      </c>
      <c r="D20" s="11">
        <f>'BS (MoM)'!T13</f>
        <v>740386.28</v>
      </c>
      <c r="E20" s="11">
        <f>'BS (MoM)'!U13</f>
        <v>740386.28</v>
      </c>
      <c r="F20" s="11">
        <f>'BS (MoM)'!V13</f>
        <v>740386.28</v>
      </c>
      <c r="G20" s="11">
        <f>'BS (MoM)'!W13</f>
        <v>740386.28</v>
      </c>
      <c r="H20" s="11">
        <f>'BS (MoM)'!X13</f>
        <v>740386.28</v>
      </c>
      <c r="I20" s="11">
        <f>'BS (MoM)'!Y13</f>
        <v>740386.28</v>
      </c>
      <c r="J20" s="11">
        <f>'BS (MoM)'!Z13</f>
        <v>740386.28</v>
      </c>
      <c r="K20" s="11">
        <f>'BS (MoM)'!AA13</f>
        <v>740386.28</v>
      </c>
      <c r="L20" s="11">
        <f>'BS (MoM)'!AB13</f>
        <v>740386.28</v>
      </c>
      <c r="M20" s="11">
        <f>'BS (MoM)'!AC13</f>
        <v>0</v>
      </c>
      <c r="N20" s="11">
        <f>'BS (MoM)'!AD13</f>
        <v>0</v>
      </c>
      <c r="O20" s="11">
        <f>'BS (MoM)'!AE13</f>
        <v>0</v>
      </c>
    </row>
    <row r="21" spans="1:15" ht="15.75" customHeight="1" x14ac:dyDescent="0.25">
      <c r="A21" s="20" t="s">
        <v>44</v>
      </c>
      <c r="B21" s="10" t="s">
        <v>279</v>
      </c>
      <c r="C21" s="11">
        <v>-586303</v>
      </c>
      <c r="D21" s="11">
        <f>'BS (MoM)'!T14</f>
        <v>-606461.87</v>
      </c>
      <c r="E21" s="11">
        <f>'BS (MoM)'!U14</f>
        <v>-626639.84</v>
      </c>
      <c r="F21" s="11">
        <f>'BS (MoM)'!V14</f>
        <v>-646808.06000000006</v>
      </c>
      <c r="G21" s="11">
        <f>'BS (MoM)'!W14</f>
        <v>-666976.28</v>
      </c>
      <c r="H21" s="11">
        <f>'BS (MoM)'!X14</f>
        <v>-687144.5</v>
      </c>
      <c r="I21" s="11">
        <f>'BS (MoM)'!Y14</f>
        <v>-707312.72</v>
      </c>
      <c r="J21" s="11">
        <f>'BS (MoM)'!Z14</f>
        <v>-727478.37</v>
      </c>
      <c r="K21" s="11">
        <f>'BS (MoM)'!AA14</f>
        <v>-735219.71</v>
      </c>
      <c r="L21" s="11">
        <f>'BS (MoM)'!AB14</f>
        <v>-735507.41</v>
      </c>
      <c r="M21" s="11">
        <f>'BS (MoM)'!AC14</f>
        <v>0</v>
      </c>
      <c r="N21" s="11">
        <f>'BS (MoM)'!AD14</f>
        <v>0</v>
      </c>
      <c r="O21" s="11">
        <f>'BS (MoM)'!AE14</f>
        <v>0</v>
      </c>
    </row>
    <row r="22" spans="1:15" ht="15.75" customHeight="1" x14ac:dyDescent="0.25">
      <c r="A22" s="20" t="s">
        <v>45</v>
      </c>
      <c r="B22" s="10" t="s">
        <v>46</v>
      </c>
      <c r="C22" s="11">
        <v>2127703</v>
      </c>
      <c r="D22" s="11">
        <f>'BS (MoM)'!T15</f>
        <v>2127702.63</v>
      </c>
      <c r="E22" s="11">
        <f>'BS (MoM)'!U15</f>
        <v>2127702.63</v>
      </c>
      <c r="F22" s="11">
        <f>'BS (MoM)'!V15</f>
        <v>2127702.63</v>
      </c>
      <c r="G22" s="11">
        <f>'BS (MoM)'!W15</f>
        <v>2127702.63</v>
      </c>
      <c r="H22" s="11">
        <f>'BS (MoM)'!X15</f>
        <v>2127702.63</v>
      </c>
      <c r="I22" s="11">
        <f>'BS (MoM)'!Y15</f>
        <v>2127702.63</v>
      </c>
      <c r="J22" s="11">
        <f>'BS (MoM)'!Z15</f>
        <v>2127702.63</v>
      </c>
      <c r="K22" s="11">
        <f>'BS (MoM)'!AA15</f>
        <v>2127702.63</v>
      </c>
      <c r="L22" s="11">
        <f>'BS (MoM)'!AB15</f>
        <v>2127702.63</v>
      </c>
      <c r="M22" s="11">
        <f>'BS (MoM)'!AC15</f>
        <v>0</v>
      </c>
      <c r="N22" s="11">
        <f>'BS (MoM)'!AD15</f>
        <v>0</v>
      </c>
      <c r="O22" s="11">
        <f>'BS (MoM)'!AE15</f>
        <v>0</v>
      </c>
    </row>
    <row r="23" spans="1:15" ht="15.75" customHeight="1" x14ac:dyDescent="0.25">
      <c r="A23" s="35" t="s">
        <v>47</v>
      </c>
      <c r="B23" s="13" t="s">
        <v>48</v>
      </c>
      <c r="C23" s="14">
        <v>19380</v>
      </c>
      <c r="D23" s="14">
        <f>'BS (MoM)'!T16</f>
        <v>19380.330000000002</v>
      </c>
      <c r="E23" s="14">
        <f>'BS (MoM)'!U16</f>
        <v>19380.330000000002</v>
      </c>
      <c r="F23" s="14">
        <f>'BS (MoM)'!V16</f>
        <v>19380.330000000002</v>
      </c>
      <c r="G23" s="14">
        <f>'BS (MoM)'!W16</f>
        <v>19380.330000000002</v>
      </c>
      <c r="H23" s="14">
        <f>'BS (MoM)'!X16</f>
        <v>19380.330000000002</v>
      </c>
      <c r="I23" s="14">
        <f>'BS (MoM)'!Y16</f>
        <v>19380.330000000002</v>
      </c>
      <c r="J23" s="14">
        <f>'BS (MoM)'!Z16</f>
        <v>19380.330000000002</v>
      </c>
      <c r="K23" s="14">
        <f>'BS (MoM)'!AA16</f>
        <v>19380.330000000002</v>
      </c>
      <c r="L23" s="14">
        <f>'BS (MoM)'!AB16</f>
        <v>19380.330000000002</v>
      </c>
      <c r="M23" s="14">
        <f>'BS (MoM)'!AC16</f>
        <v>0</v>
      </c>
      <c r="N23" s="14">
        <f>'BS (MoM)'!AD16</f>
        <v>0</v>
      </c>
      <c r="O23" s="14">
        <f>'BS (MoM)'!AE16</f>
        <v>0</v>
      </c>
    </row>
    <row r="24" spans="1:15" ht="15.75" customHeight="1" x14ac:dyDescent="0.25">
      <c r="A24" s="36" t="s">
        <v>49</v>
      </c>
      <c r="B24" s="8" t="s">
        <v>50</v>
      </c>
      <c r="C24" s="15">
        <v>2315860</v>
      </c>
      <c r="D24" s="15">
        <f t="shared" ref="D24" si="4">SUM(D18:D23)</f>
        <v>2297047.0699999998</v>
      </c>
      <c r="E24" s="15">
        <f t="shared" ref="E24:N24" si="5">SUM(E18:E23)</f>
        <v>2280318.7800000003</v>
      </c>
      <c r="F24" s="15">
        <f t="shared" si="5"/>
        <v>2263033.96</v>
      </c>
      <c r="G24" s="15">
        <f t="shared" si="5"/>
        <v>2242287.1</v>
      </c>
      <c r="H24" s="15">
        <f t="shared" si="5"/>
        <v>2221028.08</v>
      </c>
      <c r="I24" s="15">
        <f t="shared" si="5"/>
        <v>2200216.0300000003</v>
      </c>
      <c r="J24" s="15">
        <f t="shared" si="5"/>
        <v>2180654.5499999998</v>
      </c>
      <c r="K24" s="15">
        <f t="shared" si="5"/>
        <v>2171760.4699999997</v>
      </c>
      <c r="L24" s="15">
        <f t="shared" si="5"/>
        <v>2172333.3199999998</v>
      </c>
      <c r="M24" s="15">
        <f t="shared" si="5"/>
        <v>0</v>
      </c>
      <c r="N24" s="15">
        <f t="shared" si="5"/>
        <v>0</v>
      </c>
      <c r="O24" s="15">
        <f t="shared" ref="O24" si="6">SUM(O18:O23)</f>
        <v>0</v>
      </c>
    </row>
    <row r="25" spans="1:15" ht="15.75" customHeight="1" x14ac:dyDescent="0.25">
      <c r="A25" s="20" t="s">
        <v>28</v>
      </c>
      <c r="B25" s="5" t="s">
        <v>28</v>
      </c>
      <c r="C25" s="11"/>
      <c r="D25" s="11">
        <f>D24-'BS (MoM)'!T17</f>
        <v>0</v>
      </c>
      <c r="E25" s="11">
        <f>E24-'BS (MoM)'!U17</f>
        <v>0</v>
      </c>
      <c r="F25" s="124">
        <f>F24-'BS (MoM)'!V17</f>
        <v>0</v>
      </c>
      <c r="G25" s="124">
        <f>G24-'BS (MoM)'!W17</f>
        <v>0</v>
      </c>
      <c r="H25" s="124">
        <f>H24-'BS (MoM)'!X17</f>
        <v>0</v>
      </c>
      <c r="I25" s="124">
        <f>I24-'BS (MoM)'!Y17</f>
        <v>0</v>
      </c>
      <c r="J25" s="124">
        <f>J24-'BS (MoM)'!Z17</f>
        <v>0</v>
      </c>
      <c r="K25" s="11"/>
      <c r="L25" s="11"/>
      <c r="M25" s="11"/>
      <c r="N25" s="11"/>
      <c r="O25" s="11"/>
    </row>
    <row r="26" spans="1:15" ht="15.75" customHeight="1" thickBot="1" x14ac:dyDescent="0.3">
      <c r="A26" s="37" t="s">
        <v>51</v>
      </c>
      <c r="B26" s="16" t="s">
        <v>52</v>
      </c>
      <c r="C26" s="17">
        <v>4879751</v>
      </c>
      <c r="D26" s="17">
        <f t="shared" ref="D26" si="7">D15+D24</f>
        <v>5336889.84</v>
      </c>
      <c r="E26" s="17">
        <f t="shared" ref="E26:N26" si="8">E15+E24</f>
        <v>5566901.1100000013</v>
      </c>
      <c r="F26" s="17">
        <f t="shared" si="8"/>
        <v>5497370.4800000004</v>
      </c>
      <c r="G26" s="17">
        <f t="shared" si="8"/>
        <v>5745751.3700000001</v>
      </c>
      <c r="H26" s="17">
        <f t="shared" si="8"/>
        <v>5897519.2300000004</v>
      </c>
      <c r="I26" s="17">
        <f t="shared" si="8"/>
        <v>5726041.0300000003</v>
      </c>
      <c r="J26" s="17">
        <f t="shared" si="8"/>
        <v>5819460.8100000005</v>
      </c>
      <c r="K26" s="17">
        <f t="shared" si="8"/>
        <v>5907679.1500000004</v>
      </c>
      <c r="L26" s="17">
        <f t="shared" si="8"/>
        <v>6162046.4900000002</v>
      </c>
      <c r="M26" s="17">
        <f t="shared" si="8"/>
        <v>0</v>
      </c>
      <c r="N26" s="17">
        <f t="shared" si="8"/>
        <v>0</v>
      </c>
      <c r="O26" s="17">
        <f t="shared" ref="O26" si="9">O15+O24</f>
        <v>0</v>
      </c>
    </row>
    <row r="27" spans="1:15" ht="15.75" customHeight="1" x14ac:dyDescent="0.25">
      <c r="A27" s="20" t="s">
        <v>28</v>
      </c>
      <c r="B27" s="5" t="s">
        <v>28</v>
      </c>
      <c r="C27" s="11"/>
      <c r="D27" s="11">
        <f>D26-'BS (MoM)'!T19</f>
        <v>0</v>
      </c>
      <c r="E27" s="11">
        <f>E26-'BS (MoM)'!U19</f>
        <v>0</v>
      </c>
      <c r="F27" s="124">
        <f>F26-'BS (MoM)'!V19</f>
        <v>0</v>
      </c>
      <c r="G27" s="124">
        <f>G26-'BS (MoM)'!W19</f>
        <v>0</v>
      </c>
      <c r="H27" s="124">
        <f>H26-'BS (MoM)'!X19</f>
        <v>0</v>
      </c>
      <c r="I27" s="124">
        <f>I26-'BS (MoM)'!Y19</f>
        <v>0</v>
      </c>
      <c r="J27" s="11">
        <f>J26-'BS (MoM)'!Z19</f>
        <v>0</v>
      </c>
      <c r="K27" s="11"/>
      <c r="L27" s="11"/>
      <c r="M27" s="11"/>
      <c r="N27" s="11"/>
      <c r="O27" s="11"/>
    </row>
    <row r="28" spans="1:15" ht="15.75" customHeight="1" x14ac:dyDescent="0.25">
      <c r="A28" s="20" t="s">
        <v>28</v>
      </c>
      <c r="B28" s="33" t="s">
        <v>53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ht="15.75" customHeight="1" x14ac:dyDescent="0.25">
      <c r="A29" s="20" t="s">
        <v>54</v>
      </c>
      <c r="B29" s="34" t="s">
        <v>55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15.75" customHeight="1" x14ac:dyDescent="0.25">
      <c r="A30" s="20" t="s">
        <v>56</v>
      </c>
      <c r="B30" s="10" t="s">
        <v>57</v>
      </c>
      <c r="C30" s="11">
        <v>210772</v>
      </c>
      <c r="D30" s="11">
        <f>'BS (MoM)'!T23</f>
        <v>211779.54</v>
      </c>
      <c r="E30" s="11">
        <f>'BS (MoM)'!U23</f>
        <v>264518.05</v>
      </c>
      <c r="F30" s="11">
        <f>'BS (MoM)'!V23</f>
        <v>232743.31</v>
      </c>
      <c r="G30" s="11">
        <f>'BS (MoM)'!W23</f>
        <v>238795.28</v>
      </c>
      <c r="H30" s="11">
        <f>'BS (MoM)'!X23</f>
        <v>254436.56</v>
      </c>
      <c r="I30" s="11">
        <f>'BS (MoM)'!Y23</f>
        <v>226911.26</v>
      </c>
      <c r="J30" s="11">
        <f>'BS (MoM)'!Z23</f>
        <v>223287.34</v>
      </c>
      <c r="K30" s="11">
        <f>'BS (MoM)'!AA23</f>
        <v>251091.45</v>
      </c>
      <c r="L30" s="11">
        <f>'BS (MoM)'!AB23</f>
        <v>263042.26</v>
      </c>
      <c r="M30" s="11">
        <f>'BS (MoM)'!AC23</f>
        <v>0</v>
      </c>
      <c r="N30" s="11">
        <f>'BS (MoM)'!AD23</f>
        <v>0</v>
      </c>
      <c r="O30" s="11">
        <f>'BS (MoM)'!AE23</f>
        <v>0</v>
      </c>
    </row>
    <row r="31" spans="1:15" ht="15.75" customHeight="1" x14ac:dyDescent="0.25">
      <c r="A31" s="20" t="s">
        <v>58</v>
      </c>
      <c r="B31" s="10" t="s">
        <v>59</v>
      </c>
      <c r="C31" s="11">
        <v>802096</v>
      </c>
      <c r="D31" s="11">
        <f>'BS (MoM)'!T24</f>
        <v>837980.14</v>
      </c>
      <c r="E31" s="11">
        <f>'BS (MoM)'!U24</f>
        <v>877292.44</v>
      </c>
      <c r="F31" s="11">
        <f>'BS (MoM)'!V24</f>
        <v>889454.07999999996</v>
      </c>
      <c r="G31" s="11">
        <f>'BS (MoM)'!W24</f>
        <v>978004.81</v>
      </c>
      <c r="H31" s="11">
        <f>'BS (MoM)'!X24</f>
        <v>1029008.75</v>
      </c>
      <c r="I31" s="11">
        <f>'BS (MoM)'!Y24</f>
        <v>1048129.63</v>
      </c>
      <c r="J31" s="11">
        <f>'BS (MoM)'!Z24</f>
        <v>1147017.8</v>
      </c>
      <c r="K31" s="11">
        <f>'BS (MoM)'!AA24</f>
        <v>1201727.51</v>
      </c>
      <c r="L31" s="11">
        <f>'BS (MoM)'!AB24</f>
        <v>1275262.3999999999</v>
      </c>
      <c r="M31" s="11">
        <f>'BS (MoM)'!AC24</f>
        <v>0</v>
      </c>
      <c r="N31" s="11">
        <f>'BS (MoM)'!AD24</f>
        <v>0</v>
      </c>
      <c r="O31" s="11">
        <f>'BS (MoM)'!AE24</f>
        <v>0</v>
      </c>
    </row>
    <row r="32" spans="1:15" ht="15.75" customHeight="1" x14ac:dyDescent="0.25">
      <c r="A32" s="20" t="s">
        <v>60</v>
      </c>
      <c r="B32" s="10" t="s">
        <v>61</v>
      </c>
      <c r="C32" s="11">
        <v>10480</v>
      </c>
      <c r="D32" s="11">
        <f>'BS (MoM)'!T25</f>
        <v>38451.08</v>
      </c>
      <c r="E32" s="11">
        <f>'BS (MoM)'!U25</f>
        <v>36766.550000000003</v>
      </c>
      <c r="F32" s="11">
        <f>'BS (MoM)'!V25</f>
        <v>39566.480000000003</v>
      </c>
      <c r="G32" s="11">
        <f>'BS (MoM)'!W25</f>
        <v>50222.48</v>
      </c>
      <c r="H32" s="11">
        <f>'BS (MoM)'!X25</f>
        <v>62311.74</v>
      </c>
      <c r="I32" s="11">
        <f>'BS (MoM)'!Y25</f>
        <v>53316.19</v>
      </c>
      <c r="J32" s="11">
        <f>'BS (MoM)'!Z25</f>
        <v>47805.79</v>
      </c>
      <c r="K32" s="11">
        <f>'BS (MoM)'!AA25</f>
        <v>47832.43</v>
      </c>
      <c r="L32" s="11">
        <f>'BS (MoM)'!AB25</f>
        <v>41005.26</v>
      </c>
      <c r="M32" s="11">
        <f>'BS (MoM)'!AC25</f>
        <v>0</v>
      </c>
      <c r="N32" s="11">
        <f>'BS (MoM)'!AD25</f>
        <v>0</v>
      </c>
      <c r="O32" s="11">
        <f>'BS (MoM)'!AE25</f>
        <v>0</v>
      </c>
    </row>
    <row r="33" spans="1:15" ht="15.75" customHeight="1" x14ac:dyDescent="0.25">
      <c r="A33" s="20" t="s">
        <v>62</v>
      </c>
      <c r="B33" s="10" t="s">
        <v>63</v>
      </c>
      <c r="C33" s="11">
        <v>56935</v>
      </c>
      <c r="D33" s="11">
        <f>'BS (MoM)'!T26</f>
        <v>59745.29</v>
      </c>
      <c r="E33" s="11">
        <f>'BS (MoM)'!U26</f>
        <v>55499.67</v>
      </c>
      <c r="F33" s="11">
        <f>'BS (MoM)'!V26</f>
        <v>44520.22</v>
      </c>
      <c r="G33" s="11">
        <f>'BS (MoM)'!W26</f>
        <v>40256.769999999997</v>
      </c>
      <c r="H33" s="11">
        <f>'BS (MoM)'!X26</f>
        <v>40358.9</v>
      </c>
      <c r="I33" s="11">
        <f>'BS (MoM)'!Y26</f>
        <v>31460.67</v>
      </c>
      <c r="J33" s="11">
        <f>'BS (MoM)'!Z26</f>
        <v>27121.27</v>
      </c>
      <c r="K33" s="11">
        <f>'BS (MoM)'!AA26</f>
        <v>26818.42</v>
      </c>
      <c r="L33" s="11">
        <f>'BS (MoM)'!AB26</f>
        <v>24579.65</v>
      </c>
      <c r="M33" s="11">
        <f>'BS (MoM)'!AC26</f>
        <v>0</v>
      </c>
      <c r="N33" s="11">
        <f>'BS (MoM)'!AD26</f>
        <v>0</v>
      </c>
      <c r="O33" s="11">
        <f>'BS (MoM)'!AE26</f>
        <v>0</v>
      </c>
    </row>
    <row r="34" spans="1:15" ht="15.75" customHeight="1" x14ac:dyDescent="0.25">
      <c r="A34" s="35" t="s">
        <v>64</v>
      </c>
      <c r="B34" s="13" t="s">
        <v>65</v>
      </c>
      <c r="C34" s="14">
        <v>154928</v>
      </c>
      <c r="D34" s="14">
        <f>'BS (MoM)'!T27</f>
        <v>163267.9</v>
      </c>
      <c r="E34" s="14">
        <f>'BS (MoM)'!U27</f>
        <v>167894.01</v>
      </c>
      <c r="F34" s="14">
        <f>'BS (MoM)'!V27</f>
        <v>173427.15</v>
      </c>
      <c r="G34" s="14">
        <f>'BS (MoM)'!W27</f>
        <v>170432.59</v>
      </c>
      <c r="H34" s="14">
        <f>'BS (MoM)'!X27</f>
        <v>160015.16</v>
      </c>
      <c r="I34" s="14">
        <f>'BS (MoM)'!Y27</f>
        <v>142263.18</v>
      </c>
      <c r="J34" s="14">
        <f>'BS (MoM)'!Z27</f>
        <v>127670.45</v>
      </c>
      <c r="K34" s="14">
        <f>'BS (MoM)'!AA27</f>
        <v>114885.19</v>
      </c>
      <c r="L34" s="14">
        <f>'BS (MoM)'!AB27</f>
        <v>119738.96</v>
      </c>
      <c r="M34" s="14">
        <f>'BS (MoM)'!AC27</f>
        <v>0</v>
      </c>
      <c r="N34" s="14">
        <f>'BS (MoM)'!AD27</f>
        <v>0</v>
      </c>
      <c r="O34" s="14">
        <f>'BS (MoM)'!AE27</f>
        <v>0</v>
      </c>
    </row>
    <row r="35" spans="1:15" ht="15.75" customHeight="1" x14ac:dyDescent="0.25">
      <c r="A35" s="36" t="s">
        <v>66</v>
      </c>
      <c r="B35" s="8" t="s">
        <v>67</v>
      </c>
      <c r="C35" s="15">
        <v>1235211</v>
      </c>
      <c r="D35" s="15">
        <f>+SUM(D30:D34)</f>
        <v>1311223.95</v>
      </c>
      <c r="E35" s="15">
        <f t="shared" ref="E35:N35" si="10">+SUM(E30:E34)</f>
        <v>1401970.72</v>
      </c>
      <c r="F35" s="15">
        <f t="shared" si="10"/>
        <v>1379711.2399999998</v>
      </c>
      <c r="G35" s="15">
        <f t="shared" si="10"/>
        <v>1477711.9300000002</v>
      </c>
      <c r="H35" s="15">
        <f t="shared" si="10"/>
        <v>1546131.1099999999</v>
      </c>
      <c r="I35" s="15">
        <f t="shared" si="10"/>
        <v>1502080.93</v>
      </c>
      <c r="J35" s="15">
        <f t="shared" si="10"/>
        <v>1572902.6500000001</v>
      </c>
      <c r="K35" s="15">
        <f t="shared" si="10"/>
        <v>1642354.9999999998</v>
      </c>
      <c r="L35" s="15">
        <f t="shared" si="10"/>
        <v>1723628.5299999998</v>
      </c>
      <c r="M35" s="15">
        <f t="shared" si="10"/>
        <v>0</v>
      </c>
      <c r="N35" s="15">
        <f t="shared" si="10"/>
        <v>0</v>
      </c>
      <c r="O35" s="15">
        <f t="shared" ref="O35" si="11">+SUM(O30:O34)</f>
        <v>0</v>
      </c>
    </row>
    <row r="36" spans="1:15" ht="15.75" customHeight="1" x14ac:dyDescent="0.25">
      <c r="A36" s="20" t="s">
        <v>28</v>
      </c>
      <c r="B36" s="5" t="s">
        <v>28</v>
      </c>
      <c r="C36" s="11"/>
      <c r="D36" s="11">
        <f>D35-'BS (MoM)'!T28</f>
        <v>0</v>
      </c>
      <c r="E36" s="11">
        <f>E35-'BS (MoM)'!U28</f>
        <v>0</v>
      </c>
      <c r="F36" s="124">
        <f>F35-'BS (MoM)'!V28</f>
        <v>0</v>
      </c>
      <c r="G36" s="124">
        <f>G35-'BS (MoM)'!W28</f>
        <v>0</v>
      </c>
      <c r="H36" s="124">
        <f>H35-'BS (MoM)'!X28</f>
        <v>0</v>
      </c>
      <c r="I36" s="124">
        <f>I35-'BS (MoM)'!Y28</f>
        <v>0</v>
      </c>
      <c r="J36" s="11">
        <f>J35-'BS (MoM)'!Z28</f>
        <v>0</v>
      </c>
      <c r="K36" s="11"/>
      <c r="L36" s="11"/>
      <c r="M36" s="11"/>
      <c r="N36" s="11"/>
      <c r="O36" s="11"/>
    </row>
    <row r="37" spans="1:15" ht="15.75" customHeight="1" x14ac:dyDescent="0.25">
      <c r="A37" s="20" t="s">
        <v>68</v>
      </c>
      <c r="B37" s="34" t="s">
        <v>69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15.75" customHeight="1" x14ac:dyDescent="0.25">
      <c r="A38" s="20" t="s">
        <v>70</v>
      </c>
      <c r="B38" s="10" t="s">
        <v>71</v>
      </c>
      <c r="C38" s="11">
        <v>2246529</v>
      </c>
      <c r="D38" s="11">
        <f>'BS (MoM)'!T31</f>
        <v>2317595.0499999998</v>
      </c>
      <c r="E38" s="11">
        <f>'BS (MoM)'!U31</f>
        <v>2352226.4500000002</v>
      </c>
      <c r="F38" s="11">
        <f>'BS (MoM)'!V31</f>
        <v>2362682.04</v>
      </c>
      <c r="G38" s="11">
        <f>'BS (MoM)'!W31</f>
        <v>2362682.04</v>
      </c>
      <c r="H38" s="11">
        <f>'BS (MoM)'!X31</f>
        <v>2392698.66</v>
      </c>
      <c r="I38" s="11">
        <f>'BS (MoM)'!Y31</f>
        <v>2362681.0099999998</v>
      </c>
      <c r="J38" s="11">
        <f>'BS (MoM)'!Z31</f>
        <v>2475151.4</v>
      </c>
      <c r="K38" s="11">
        <f>'BS (MoM)'!AA31</f>
        <v>2475151.4</v>
      </c>
      <c r="L38" s="11">
        <f>'BS (MoM)'!AB31</f>
        <v>2475151.4</v>
      </c>
      <c r="M38" s="11">
        <f>'BS (MoM)'!AC31</f>
        <v>0</v>
      </c>
      <c r="N38" s="11">
        <f>'BS (MoM)'!AD31</f>
        <v>0</v>
      </c>
      <c r="O38" s="11">
        <f>'BS (MoM)'!AE31</f>
        <v>0</v>
      </c>
    </row>
    <row r="39" spans="1:15" ht="15.75" customHeight="1" x14ac:dyDescent="0.25">
      <c r="A39" s="35" t="s">
        <v>72</v>
      </c>
      <c r="B39" s="13" t="s">
        <v>73</v>
      </c>
      <c r="C39" s="14">
        <v>821021</v>
      </c>
      <c r="D39" s="14">
        <f>'BS (MoM)'!T32</f>
        <v>1681108.45</v>
      </c>
      <c r="E39" s="14">
        <f>'BS (MoM)'!U32</f>
        <v>1881589.19</v>
      </c>
      <c r="F39" s="14">
        <f>'BS (MoM)'!V32</f>
        <v>1901589.19</v>
      </c>
      <c r="G39" s="14">
        <f>'BS (MoM)'!W32</f>
        <v>2151589.19</v>
      </c>
      <c r="H39" s="14">
        <f>'BS (MoM)'!X32</f>
        <v>2301667.27</v>
      </c>
      <c r="I39" s="14">
        <f>'BS (MoM)'!Y32</f>
        <v>2301667.27</v>
      </c>
      <c r="J39" s="14">
        <f>'BS (MoM)'!Z32</f>
        <v>2301667.27</v>
      </c>
      <c r="K39" s="14">
        <f>'BS (MoM)'!AA32</f>
        <v>2402200.41</v>
      </c>
      <c r="L39" s="14">
        <f>'BS (MoM)'!AB32</f>
        <v>2652200.41</v>
      </c>
      <c r="M39" s="14">
        <f>'BS (MoM)'!AC32</f>
        <v>0</v>
      </c>
      <c r="N39" s="14">
        <f>'BS (MoM)'!AD32</f>
        <v>0</v>
      </c>
      <c r="O39" s="14">
        <f>'BS (MoM)'!AE32</f>
        <v>0</v>
      </c>
    </row>
    <row r="40" spans="1:15" ht="15.75" customHeight="1" x14ac:dyDescent="0.25">
      <c r="A40" s="36" t="s">
        <v>74</v>
      </c>
      <c r="B40" s="8" t="s">
        <v>75</v>
      </c>
      <c r="C40" s="15">
        <v>3067550</v>
      </c>
      <c r="D40" s="15">
        <f>SUM(D38:D39)</f>
        <v>3998703.5</v>
      </c>
      <c r="E40" s="15">
        <f t="shared" ref="E40:N40" si="12">SUM(E38:E39)</f>
        <v>4233815.6400000006</v>
      </c>
      <c r="F40" s="15">
        <f t="shared" si="12"/>
        <v>4264271.2300000004</v>
      </c>
      <c r="G40" s="15">
        <f t="shared" si="12"/>
        <v>4514271.2300000004</v>
      </c>
      <c r="H40" s="15">
        <f t="shared" si="12"/>
        <v>4694365.93</v>
      </c>
      <c r="I40" s="15">
        <f t="shared" si="12"/>
        <v>4664348.2799999993</v>
      </c>
      <c r="J40" s="15">
        <f t="shared" si="12"/>
        <v>4776818.67</v>
      </c>
      <c r="K40" s="15">
        <f t="shared" si="12"/>
        <v>4877351.8100000005</v>
      </c>
      <c r="L40" s="15">
        <f t="shared" si="12"/>
        <v>5127351.8100000005</v>
      </c>
      <c r="M40" s="15">
        <f t="shared" si="12"/>
        <v>0</v>
      </c>
      <c r="N40" s="15">
        <f t="shared" si="12"/>
        <v>0</v>
      </c>
      <c r="O40" s="15">
        <f t="shared" ref="O40" si="13">SUM(O38:O39)</f>
        <v>0</v>
      </c>
    </row>
    <row r="41" spans="1:15" ht="15.75" customHeight="1" x14ac:dyDescent="0.25">
      <c r="A41" s="20" t="s">
        <v>28</v>
      </c>
      <c r="B41" s="5" t="s">
        <v>28</v>
      </c>
      <c r="C41" s="11"/>
      <c r="D41" s="124">
        <f>D40-'BS (MoM)'!T33</f>
        <v>0</v>
      </c>
      <c r="E41" s="124">
        <f>E40-'BS (MoM)'!U33</f>
        <v>0</v>
      </c>
      <c r="F41" s="124">
        <f>F40-'BS (MoM)'!V33</f>
        <v>0</v>
      </c>
      <c r="G41" s="124">
        <f>G40-'BS (MoM)'!W33</f>
        <v>0</v>
      </c>
      <c r="H41" s="11">
        <f>H40-'BS (MoM)'!X33</f>
        <v>0</v>
      </c>
      <c r="I41" s="11">
        <f>I40-'BS (MoM)'!Y33</f>
        <v>0</v>
      </c>
      <c r="J41" s="11">
        <f>J40-'BS (MoM)'!Z33</f>
        <v>0</v>
      </c>
      <c r="K41" s="11"/>
      <c r="L41" s="11"/>
      <c r="M41" s="11"/>
      <c r="N41" s="11"/>
      <c r="O41" s="11"/>
    </row>
    <row r="42" spans="1:15" ht="15.75" customHeight="1" x14ac:dyDescent="0.25">
      <c r="A42" s="20" t="s">
        <v>76</v>
      </c>
      <c r="B42" s="33" t="s">
        <v>77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15.75" customHeight="1" x14ac:dyDescent="0.25">
      <c r="A43" s="20" t="s">
        <v>78</v>
      </c>
      <c r="B43" s="10" t="s">
        <v>79</v>
      </c>
      <c r="C43" s="11">
        <v>4434300</v>
      </c>
      <c r="D43" s="11">
        <f>'BS (MoM)'!T36</f>
        <v>3984299.9</v>
      </c>
      <c r="E43" s="11">
        <f>'BS (MoM)'!U36</f>
        <v>3984299.9</v>
      </c>
      <c r="F43" s="11">
        <f>'BS (MoM)'!V36</f>
        <v>3984299.9</v>
      </c>
      <c r="G43" s="11">
        <f>'BS (MoM)'!W36</f>
        <v>3984299.9</v>
      </c>
      <c r="H43" s="11">
        <f>'BS (MoM)'!X36</f>
        <v>3984334.94</v>
      </c>
      <c r="I43" s="11">
        <f>'BS (MoM)'!Y36</f>
        <v>3984334.94</v>
      </c>
      <c r="J43" s="11">
        <f>'BS (MoM)'!Z36</f>
        <v>3984334.94</v>
      </c>
      <c r="K43" s="11">
        <f>'BS (MoM)'!AA36</f>
        <v>3984334.94</v>
      </c>
      <c r="L43" s="11">
        <f>'BS (MoM)'!AB36</f>
        <v>3984334.94</v>
      </c>
      <c r="M43" s="11">
        <f>'BS (MoM)'!AC36</f>
        <v>0</v>
      </c>
      <c r="N43" s="11">
        <f>'BS (MoM)'!AD36</f>
        <v>0</v>
      </c>
      <c r="O43" s="11">
        <f>'BS (MoM)'!AE36</f>
        <v>0</v>
      </c>
    </row>
    <row r="44" spans="1:15" ht="15.75" customHeight="1" x14ac:dyDescent="0.25">
      <c r="A44" s="20" t="s">
        <v>80</v>
      </c>
      <c r="B44" s="10" t="s">
        <v>81</v>
      </c>
      <c r="C44" s="11">
        <v>-8519</v>
      </c>
      <c r="D44" s="11">
        <f>'BS (MoM)'!T37</f>
        <v>-8519.07</v>
      </c>
      <c r="E44" s="11">
        <f>'BS (MoM)'!U37</f>
        <v>-8519.07</v>
      </c>
      <c r="F44" s="11">
        <f>'BS (MoM)'!V37</f>
        <v>-8519.07</v>
      </c>
      <c r="G44" s="11">
        <f>'BS (MoM)'!W37</f>
        <v>-8519.07</v>
      </c>
      <c r="H44" s="11">
        <f>'BS (MoM)'!X37</f>
        <v>-8519.07</v>
      </c>
      <c r="I44" s="11">
        <f>'BS (MoM)'!Y37</f>
        <v>-8519.07</v>
      </c>
      <c r="J44" s="11">
        <f>'BS (MoM)'!Z37</f>
        <v>-8519.07</v>
      </c>
      <c r="K44" s="11">
        <f>'BS (MoM)'!AA37</f>
        <v>-8519.07</v>
      </c>
      <c r="L44" s="11">
        <f>'BS (MoM)'!AB37</f>
        <v>-8519.07</v>
      </c>
      <c r="M44" s="11">
        <f>'BS (MoM)'!AC37</f>
        <v>0</v>
      </c>
      <c r="N44" s="11">
        <f>'BS (MoM)'!AD37</f>
        <v>0</v>
      </c>
      <c r="O44" s="11">
        <f>'BS (MoM)'!AE37</f>
        <v>0</v>
      </c>
    </row>
    <row r="45" spans="1:15" ht="15.75" customHeight="1" x14ac:dyDescent="0.25">
      <c r="A45" s="71" t="s">
        <v>82</v>
      </c>
      <c r="B45" s="62" t="s">
        <v>83</v>
      </c>
      <c r="C45" s="63">
        <v>-891054</v>
      </c>
      <c r="D45" s="63">
        <f>'BS (MoM)'!T38</f>
        <v>-891053.5</v>
      </c>
      <c r="E45" s="63">
        <f>'BS (MoM)'!U38</f>
        <v>-891053.5</v>
      </c>
      <c r="F45" s="63">
        <f>'BS (MoM)'!V38</f>
        <v>-891053.5</v>
      </c>
      <c r="G45" s="63">
        <f>'BS (MoM)'!W38</f>
        <v>-891053.5</v>
      </c>
      <c r="H45" s="63">
        <f>'BS (MoM)'!X38</f>
        <v>-891053.5</v>
      </c>
      <c r="I45" s="63">
        <f>'BS (MoM)'!Y38</f>
        <v>-891053.5</v>
      </c>
      <c r="J45" s="63">
        <f>'BS (MoM)'!Z38</f>
        <v>-891053.5</v>
      </c>
      <c r="K45" s="63">
        <f>'BS (MoM)'!AA38</f>
        <v>-891053.5</v>
      </c>
      <c r="L45" s="63">
        <f>'BS (MoM)'!AB38</f>
        <v>-891053.5</v>
      </c>
      <c r="M45" s="63">
        <f>'BS (MoM)'!AC38</f>
        <v>0</v>
      </c>
      <c r="N45" s="63">
        <f>'BS (MoM)'!AD38</f>
        <v>0</v>
      </c>
      <c r="O45" s="63">
        <f>'BS (MoM)'!AE38</f>
        <v>0</v>
      </c>
    </row>
    <row r="46" spans="1:15" ht="15.75" customHeight="1" x14ac:dyDescent="0.25">
      <c r="A46" s="71" t="s">
        <v>84</v>
      </c>
      <c r="B46" s="62" t="s">
        <v>85</v>
      </c>
      <c r="C46" s="63">
        <v>-2864758</v>
      </c>
      <c r="D46" s="63">
        <f>'BS (MoM)'!T39</f>
        <v>-2955381.85</v>
      </c>
      <c r="E46" s="63">
        <f>'BS (MoM)'!U39</f>
        <v>-3051196.82</v>
      </c>
      <c r="F46" s="63">
        <f>'BS (MoM)'!V39</f>
        <v>-3128884.68</v>
      </c>
      <c r="G46" s="63">
        <f>'BS (MoM)'!W39</f>
        <v>-3228485.13</v>
      </c>
      <c r="H46" s="63">
        <f>'BS (MoM)'!X39</f>
        <v>-3325250.29</v>
      </c>
      <c r="I46" s="63">
        <f>'BS (MoM)'!Y39</f>
        <v>-3422629.38</v>
      </c>
      <c r="J46" s="63">
        <f>'BS (MoM)'!Z39</f>
        <v>-3512502.04</v>
      </c>
      <c r="K46" s="63">
        <f>'BS (MoM)'!AA39</f>
        <v>-3594269.32</v>
      </c>
      <c r="L46" s="63">
        <f>'BS (MoM)'!AB39</f>
        <v>-3671175.64</v>
      </c>
      <c r="M46" s="63">
        <f>'BS (MoM)'!AC39</f>
        <v>0</v>
      </c>
      <c r="N46" s="63">
        <f>'BS (MoM)'!AD39</f>
        <v>0</v>
      </c>
      <c r="O46" s="63">
        <f>'BS (MoM)'!AE39</f>
        <v>0</v>
      </c>
    </row>
    <row r="47" spans="1:15" ht="15.75" customHeight="1" x14ac:dyDescent="0.25">
      <c r="A47" s="51" t="s">
        <v>267</v>
      </c>
      <c r="B47" s="67" t="s">
        <v>268</v>
      </c>
      <c r="C47" s="68">
        <v>-92979</v>
      </c>
      <c r="D47" s="68">
        <f>'BS (MoM)'!T40</f>
        <v>-102383.09</v>
      </c>
      <c r="E47" s="68">
        <f>'BS (MoM)'!U40</f>
        <v>-102415.76</v>
      </c>
      <c r="F47" s="68">
        <f>'BS (MoM)'!V40</f>
        <v>-102454.64</v>
      </c>
      <c r="G47" s="68">
        <f>'BS (MoM)'!W40</f>
        <v>-102473.99</v>
      </c>
      <c r="H47" s="68">
        <f>'BS (MoM)'!X40</f>
        <v>-102489.89</v>
      </c>
      <c r="I47" s="68">
        <f>'BS (MoM)'!Y40</f>
        <v>-102521.17</v>
      </c>
      <c r="J47" s="68">
        <f>'BS (MoM)'!Z40</f>
        <v>-102520.84</v>
      </c>
      <c r="K47" s="68">
        <f>'BS (MoM)'!AA40</f>
        <v>-102520.71</v>
      </c>
      <c r="L47" s="68">
        <f>'BS (MoM)'!AB40</f>
        <v>-102520.58</v>
      </c>
      <c r="M47" s="68">
        <f>'BS (MoM)'!AC40</f>
        <v>0</v>
      </c>
      <c r="N47" s="68">
        <f>'BS (MoM)'!AD40</f>
        <v>0</v>
      </c>
      <c r="O47" s="68">
        <f>'BS (MoM)'!AE40</f>
        <v>0</v>
      </c>
    </row>
    <row r="48" spans="1:15" ht="15.75" customHeight="1" x14ac:dyDescent="0.25">
      <c r="A48" s="36" t="s">
        <v>86</v>
      </c>
      <c r="B48" s="8" t="s">
        <v>87</v>
      </c>
      <c r="C48" s="15">
        <v>576990</v>
      </c>
      <c r="D48" s="15">
        <f t="shared" ref="D48" si="14">SUM(D42:D47)</f>
        <v>26962.389999999985</v>
      </c>
      <c r="E48" s="15">
        <f t="shared" ref="E48:N48" si="15">SUM(E42:E47)</f>
        <v>-68885.249999999753</v>
      </c>
      <c r="F48" s="15">
        <f t="shared" si="15"/>
        <v>-146611.99000000011</v>
      </c>
      <c r="G48" s="15">
        <f t="shared" si="15"/>
        <v>-246231.7899999998</v>
      </c>
      <c r="H48" s="15">
        <f t="shared" si="15"/>
        <v>-342977.80999999994</v>
      </c>
      <c r="I48" s="15">
        <f t="shared" si="15"/>
        <v>-440388.17999999976</v>
      </c>
      <c r="J48" s="15">
        <f t="shared" si="15"/>
        <v>-530260.50999999989</v>
      </c>
      <c r="K48" s="15">
        <f t="shared" si="15"/>
        <v>-612027.65999999968</v>
      </c>
      <c r="L48" s="15">
        <f t="shared" si="15"/>
        <v>-688933.85</v>
      </c>
      <c r="M48" s="15">
        <f t="shared" si="15"/>
        <v>0</v>
      </c>
      <c r="N48" s="15">
        <f t="shared" si="15"/>
        <v>0</v>
      </c>
      <c r="O48" s="15">
        <f t="shared" ref="O48" si="16">SUM(O42:O47)</f>
        <v>0</v>
      </c>
    </row>
    <row r="49" spans="1:15" ht="15.75" customHeight="1" x14ac:dyDescent="0.25">
      <c r="A49" s="20" t="s">
        <v>28</v>
      </c>
      <c r="B49" s="5" t="s">
        <v>28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ht="15.75" customHeight="1" thickBot="1" x14ac:dyDescent="0.3">
      <c r="A50" s="37" t="s">
        <v>88</v>
      </c>
      <c r="B50" s="16" t="s">
        <v>89</v>
      </c>
      <c r="C50" s="17">
        <v>4879751</v>
      </c>
      <c r="D50" s="17">
        <f>D35+D40+D48</f>
        <v>5336889.84</v>
      </c>
      <c r="E50" s="17">
        <f t="shared" ref="E50:N50" si="17">E35+E40+E48</f>
        <v>5566901.1100000003</v>
      </c>
      <c r="F50" s="17">
        <f t="shared" si="17"/>
        <v>5497370.4800000004</v>
      </c>
      <c r="G50" s="17">
        <f t="shared" si="17"/>
        <v>5745751.3700000001</v>
      </c>
      <c r="H50" s="17">
        <f t="shared" si="17"/>
        <v>5897519.2299999995</v>
      </c>
      <c r="I50" s="17">
        <f t="shared" si="17"/>
        <v>5726041.0299999993</v>
      </c>
      <c r="J50" s="17">
        <f t="shared" si="17"/>
        <v>5819460.8100000005</v>
      </c>
      <c r="K50" s="17">
        <f t="shared" si="17"/>
        <v>5907679.1500000004</v>
      </c>
      <c r="L50" s="17">
        <f>L35+L40+L48</f>
        <v>6162046.4900000002</v>
      </c>
      <c r="M50" s="17">
        <f t="shared" si="17"/>
        <v>0</v>
      </c>
      <c r="N50" s="17">
        <f t="shared" si="17"/>
        <v>0</v>
      </c>
      <c r="O50" s="17">
        <f t="shared" ref="O50" si="18">O35+O40+O48</f>
        <v>0</v>
      </c>
    </row>
    <row r="51" spans="1:15" ht="15.75" customHeight="1" x14ac:dyDescent="0.25">
      <c r="A51" s="20" t="s">
        <v>28</v>
      </c>
      <c r="B51" s="5" t="s">
        <v>28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5.75" customHeight="1" x14ac:dyDescent="0.25">
      <c r="A52" s="5"/>
      <c r="B52" s="5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  <row r="53" spans="1:15" ht="15.75" customHeight="1" x14ac:dyDescent="0.25">
      <c r="A53" s="5"/>
      <c r="B53" s="5"/>
      <c r="C53" s="11">
        <v>0</v>
      </c>
      <c r="D53" s="11">
        <f t="shared" ref="D53" si="19">D26-D50</f>
        <v>0</v>
      </c>
      <c r="E53" s="11">
        <f t="shared" ref="E53:N53" si="20">E26-E50</f>
        <v>0</v>
      </c>
      <c r="F53" s="11">
        <f t="shared" si="20"/>
        <v>0</v>
      </c>
      <c r="G53" s="11">
        <f t="shared" si="20"/>
        <v>0</v>
      </c>
      <c r="H53" s="11">
        <f t="shared" si="20"/>
        <v>0</v>
      </c>
      <c r="I53" s="11">
        <f t="shared" si="20"/>
        <v>0</v>
      </c>
      <c r="J53" s="11">
        <f t="shared" si="20"/>
        <v>0</v>
      </c>
      <c r="K53" s="11">
        <f t="shared" si="20"/>
        <v>0</v>
      </c>
      <c r="L53" s="11">
        <f>L26-L50</f>
        <v>0</v>
      </c>
      <c r="M53" s="11">
        <f t="shared" si="20"/>
        <v>0</v>
      </c>
      <c r="N53" s="11">
        <f t="shared" si="20"/>
        <v>0</v>
      </c>
      <c r="O53" s="11">
        <f t="shared" ref="O53" si="21">O26-O50</f>
        <v>0</v>
      </c>
    </row>
    <row r="54" spans="1:15" ht="15.75" customHeight="1" x14ac:dyDescent="0.25">
      <c r="A54" s="5"/>
      <c r="B54" s="5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 ht="15.75" customHeight="1" x14ac:dyDescent="0.25">
      <c r="A55" s="5"/>
      <c r="B55" s="5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ht="15.75" customHeight="1" x14ac:dyDescent="0.25">
      <c r="A56" s="5"/>
      <c r="B56" s="5"/>
      <c r="C56" s="11"/>
      <c r="D56" s="11">
        <f>D46-C46</f>
        <v>-90623.850000000093</v>
      </c>
      <c r="E56" s="11">
        <f t="shared" ref="E56:I56" si="22">E46-D46</f>
        <v>-95814.969999999739</v>
      </c>
      <c r="F56" s="11">
        <f t="shared" si="22"/>
        <v>-77687.860000000335</v>
      </c>
      <c r="G56" s="11">
        <f t="shared" si="22"/>
        <v>-99600.449999999721</v>
      </c>
      <c r="H56" s="11">
        <f t="shared" si="22"/>
        <v>-96765.160000000149</v>
      </c>
      <c r="I56" s="11">
        <f t="shared" si="22"/>
        <v>-97379.089999999851</v>
      </c>
      <c r="J56" s="11"/>
      <c r="K56" s="11"/>
      <c r="L56" s="11"/>
      <c r="M56" s="11"/>
      <c r="N56" s="11"/>
      <c r="O56" s="11"/>
    </row>
    <row r="57" spans="1:15" ht="15.75" customHeight="1" x14ac:dyDescent="0.25">
      <c r="A57" s="5"/>
      <c r="B57" s="5"/>
      <c r="C57" s="11"/>
      <c r="D57" s="11"/>
      <c r="E57" s="11"/>
      <c r="F57" s="11"/>
      <c r="G57" s="11"/>
      <c r="H57" s="11"/>
      <c r="I57" s="11"/>
      <c r="J57" s="11"/>
      <c r="K57" s="5"/>
      <c r="L57" s="5"/>
      <c r="M57" s="5"/>
      <c r="N57" s="5"/>
      <c r="O57" s="5"/>
    </row>
    <row r="58" spans="1:15" ht="15.75" customHeight="1" x14ac:dyDescent="0.25">
      <c r="A58" s="5"/>
      <c r="B58" s="5"/>
      <c r="C58" s="11"/>
      <c r="D58" s="11"/>
      <c r="E58" s="11"/>
      <c r="F58" s="11"/>
      <c r="G58" s="11"/>
      <c r="H58" s="11"/>
      <c r="I58" s="11"/>
      <c r="J58" s="11"/>
      <c r="K58" s="5"/>
      <c r="L58" s="5"/>
      <c r="M58" s="5"/>
      <c r="N58" s="5"/>
      <c r="O58" s="5"/>
    </row>
    <row r="59" spans="1:15" ht="15.75" customHeight="1" x14ac:dyDescent="0.25">
      <c r="A59" s="5"/>
      <c r="B59" s="5"/>
      <c r="C59" s="11"/>
      <c r="D59" s="1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5.75" customHeight="1" x14ac:dyDescent="0.25">
      <c r="A60" s="5"/>
      <c r="B60" s="5"/>
      <c r="C60" s="5"/>
      <c r="D60" s="1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5.75" customHeight="1" x14ac:dyDescent="0.25">
      <c r="A61" s="5"/>
      <c r="B61" s="5"/>
      <c r="C61" s="5"/>
      <c r="D61" s="11"/>
      <c r="E61" s="11"/>
      <c r="F61" s="11"/>
      <c r="G61" s="11"/>
      <c r="H61" s="11"/>
      <c r="I61" s="11"/>
      <c r="J61" s="11"/>
      <c r="K61" s="5"/>
      <c r="L61" s="5"/>
      <c r="M61" s="5"/>
      <c r="N61" s="5"/>
      <c r="O61" s="5"/>
    </row>
    <row r="62" spans="1:15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15.75" customHeight="1" x14ac:dyDescent="0.25">
      <c r="A65" s="5"/>
      <c r="B65" s="5"/>
      <c r="C65" s="5"/>
      <c r="D65" s="5"/>
      <c r="E65" s="5"/>
      <c r="F65" s="11"/>
      <c r="G65" s="5"/>
      <c r="H65" s="5"/>
      <c r="I65" s="5"/>
      <c r="J65" s="5"/>
      <c r="K65" s="5"/>
      <c r="L65" s="5"/>
      <c r="M65" s="5"/>
      <c r="N65" s="5"/>
      <c r="O65" s="5"/>
    </row>
    <row r="66" spans="1:15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27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ht="15.7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ht="15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ht="15" customHeight="1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</sheetData>
  <conditionalFormatting sqref="D16:J16 D25:J25 D27:J27 D36:J36 D41:J41">
    <cfRule type="cellIs" dxfId="55" priority="1" operator="equal">
      <formula>0</formula>
    </cfRule>
    <cfRule type="cellIs" dxfId="54" priority="2" operator="notEqual">
      <formula>0</formula>
    </cfRule>
  </conditionalFormatting>
  <printOptions horizontalCentered="1"/>
  <pageMargins left="0" right="0" top="0.75" bottom="0.75" header="0" footer="0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G1001"/>
  <sheetViews>
    <sheetView zoomScale="60" zoomScaleNormal="60" workbookViewId="0">
      <selection activeCell="AC12" sqref="AC12"/>
    </sheetView>
  </sheetViews>
  <sheetFormatPr defaultColWidth="12.5703125" defaultRowHeight="15" customHeight="1" x14ac:dyDescent="0.25"/>
  <cols>
    <col min="1" max="1" width="7.42578125" customWidth="1"/>
    <col min="2" max="2" width="28.85546875" customWidth="1"/>
    <col min="3" max="3" width="13.5703125" customWidth="1"/>
    <col min="4" max="4" width="15.42578125" customWidth="1"/>
    <col min="5" max="5" width="13" bestFit="1" customWidth="1"/>
    <col min="6" max="6" width="11.5703125" bestFit="1" customWidth="1"/>
    <col min="7" max="7" width="15" customWidth="1"/>
  </cols>
  <sheetData>
    <row r="1" spans="1:7" ht="15.75" customHeight="1" x14ac:dyDescent="0.25">
      <c r="A1" s="5" t="str">
        <f>TableofContent!A1</f>
        <v>POWER FINANCIAL WELLNESS  INC</v>
      </c>
      <c r="B1" s="5"/>
      <c r="C1" s="18"/>
      <c r="D1" s="18"/>
      <c r="E1" s="18"/>
      <c r="F1" s="18"/>
      <c r="G1" s="18"/>
    </row>
    <row r="2" spans="1:7" ht="15.75" customHeight="1" x14ac:dyDescent="0.25">
      <c r="A2" s="5" t="str">
        <f>TableofContent!A2</f>
        <v>CONSOLIDATED MANAGEMENT ACCOUNTS</v>
      </c>
      <c r="B2" s="5"/>
      <c r="C2" s="18"/>
      <c r="D2" s="18"/>
      <c r="E2" s="18"/>
      <c r="F2" s="18"/>
      <c r="G2" s="18"/>
    </row>
    <row r="3" spans="1:7" ht="15.75" customHeight="1" x14ac:dyDescent="0.25">
      <c r="A3" s="5" t="str">
        <f>TableofContent!A3</f>
        <v>TABLE OF CONTENT</v>
      </c>
      <c r="B3" s="5"/>
      <c r="C3" s="18"/>
      <c r="D3" s="18"/>
      <c r="E3" s="18"/>
      <c r="F3" s="18"/>
      <c r="G3" s="18"/>
    </row>
    <row r="4" spans="1:7" ht="15.75" customHeight="1" x14ac:dyDescent="0.25">
      <c r="A4" s="5" t="str">
        <f>TableofContent!A4</f>
        <v>FOR PERIOD ENDED JULY 31,  2025</v>
      </c>
      <c r="B4" s="5"/>
      <c r="C4" s="18"/>
      <c r="D4" s="18"/>
      <c r="E4" s="18"/>
      <c r="F4" s="18"/>
      <c r="G4" s="18"/>
    </row>
    <row r="5" spans="1:7" ht="15.75" customHeight="1" x14ac:dyDescent="0.25">
      <c r="A5" s="5" t="str">
        <f>TableofContent!A5</f>
        <v>PREPARED BY: MOSES KIGO</v>
      </c>
      <c r="B5" s="5"/>
      <c r="C5" s="11"/>
      <c r="D5" s="11"/>
      <c r="E5" s="60"/>
      <c r="F5" s="18"/>
      <c r="G5" s="18"/>
    </row>
    <row r="6" spans="1:7" ht="15.75" customHeight="1" x14ac:dyDescent="0.25">
      <c r="A6" s="5"/>
      <c r="B6" s="5"/>
      <c r="C6" s="5"/>
      <c r="D6" s="5"/>
      <c r="E6" s="5"/>
      <c r="F6" s="5"/>
      <c r="G6" s="5"/>
    </row>
    <row r="7" spans="1:7" ht="15.75" customHeight="1" x14ac:dyDescent="0.25">
      <c r="A7" s="5" t="s">
        <v>122</v>
      </c>
      <c r="B7" s="5" t="s">
        <v>92</v>
      </c>
      <c r="C7" s="7" t="s">
        <v>23</v>
      </c>
      <c r="D7" s="7" t="s">
        <v>25</v>
      </c>
      <c r="E7" s="7" t="s">
        <v>26</v>
      </c>
      <c r="F7" s="7" t="s">
        <v>27</v>
      </c>
      <c r="G7" s="39" t="s">
        <v>123</v>
      </c>
    </row>
    <row r="8" spans="1:7" ht="15.75" customHeight="1" x14ac:dyDescent="0.25">
      <c r="A8" s="5" t="s">
        <v>28</v>
      </c>
      <c r="B8" s="5" t="s">
        <v>28</v>
      </c>
      <c r="C8" s="21"/>
      <c r="D8" s="21"/>
      <c r="E8" s="21"/>
      <c r="F8" s="21"/>
      <c r="G8" s="21"/>
    </row>
    <row r="9" spans="1:7" ht="15.75" customHeight="1" x14ac:dyDescent="0.25">
      <c r="A9" s="5" t="s">
        <v>124</v>
      </c>
      <c r="B9" s="5" t="s">
        <v>93</v>
      </c>
      <c r="C9" s="21">
        <f>IS_QRT!T4</f>
        <v>93617.54</v>
      </c>
      <c r="D9" s="21">
        <f>IS_QRT!U4</f>
        <v>123446</v>
      </c>
      <c r="E9" s="21">
        <f>IS_QRT!V4</f>
        <v>155737.85999999999</v>
      </c>
      <c r="F9" s="21">
        <f>IS_QRT!W4</f>
        <v>0</v>
      </c>
      <c r="G9" s="21">
        <f>SUM(C9:F9)</f>
        <v>372801.39999999997</v>
      </c>
    </row>
    <row r="10" spans="1:7" ht="15.75" customHeight="1" x14ac:dyDescent="0.25">
      <c r="A10" s="5" t="s">
        <v>125</v>
      </c>
      <c r="B10" s="5" t="s">
        <v>94</v>
      </c>
      <c r="C10" s="21">
        <f>IS_QRT!T5</f>
        <v>15946.26</v>
      </c>
      <c r="D10" s="21">
        <f>IS_QRT!U5</f>
        <v>18143.099999999999</v>
      </c>
      <c r="E10" s="21">
        <f>IS_QRT!V5</f>
        <v>19358</v>
      </c>
      <c r="F10" s="21">
        <f>IS_QRT!W5</f>
        <v>0</v>
      </c>
      <c r="G10" s="21">
        <f>SUM(C10:F10)</f>
        <v>53447.360000000001</v>
      </c>
    </row>
    <row r="11" spans="1:7" ht="15.75" customHeight="1" x14ac:dyDescent="0.25">
      <c r="A11" s="12" t="s">
        <v>126</v>
      </c>
      <c r="B11" s="12" t="s">
        <v>95</v>
      </c>
      <c r="C11" s="22">
        <f>IS_QRT!T6</f>
        <v>-72218.649999999994</v>
      </c>
      <c r="D11" s="22">
        <f>IS_QRT!U6</f>
        <v>-84365.81</v>
      </c>
      <c r="E11" s="22">
        <f>IS_QRT!V6</f>
        <v>-101120.98</v>
      </c>
      <c r="F11" s="22">
        <f>IS_QRT!W6</f>
        <v>0</v>
      </c>
      <c r="G11" s="22">
        <f>SUM(C11:F11)</f>
        <v>-257705.44</v>
      </c>
    </row>
    <row r="12" spans="1:7" ht="15.75" customHeight="1" x14ac:dyDescent="0.25">
      <c r="A12" s="6" t="s">
        <v>51</v>
      </c>
      <c r="B12" s="6" t="s">
        <v>96</v>
      </c>
      <c r="C12" s="23">
        <f>SUM(C9:C11)</f>
        <v>37345.149999999994</v>
      </c>
      <c r="D12" s="23">
        <f>SUM(D9:D11)</f>
        <v>57223.290000000008</v>
      </c>
      <c r="E12" s="23">
        <f>SUM(E9:E11)</f>
        <v>73974.87999999999</v>
      </c>
      <c r="F12" s="23">
        <f>SUM(F9:F11)</f>
        <v>0</v>
      </c>
      <c r="G12" s="23">
        <f>SUM(G9:G11)</f>
        <v>168543.31999999995</v>
      </c>
    </row>
    <row r="13" spans="1:7" ht="15.75" customHeight="1" x14ac:dyDescent="0.25">
      <c r="A13" s="5" t="s">
        <v>28</v>
      </c>
      <c r="B13" s="5" t="s">
        <v>28</v>
      </c>
      <c r="C13" s="21"/>
      <c r="D13" s="21"/>
      <c r="E13" s="21"/>
      <c r="F13" s="21"/>
      <c r="G13" s="21"/>
    </row>
    <row r="14" spans="1:7" ht="15.75" customHeight="1" x14ac:dyDescent="0.25">
      <c r="A14" s="5" t="s">
        <v>127</v>
      </c>
      <c r="B14" s="5" t="s">
        <v>97</v>
      </c>
      <c r="C14" s="21">
        <f>IS_QRT!T9</f>
        <v>72525.11</v>
      </c>
      <c r="D14" s="21">
        <f>IS_QRT!U9</f>
        <v>81593.759999999995</v>
      </c>
      <c r="E14" s="21">
        <f>IS_QRT!V9</f>
        <v>125169.60000000001</v>
      </c>
      <c r="F14" s="21">
        <f>IS_QRT!W9</f>
        <v>0</v>
      </c>
      <c r="G14" s="21">
        <f>SUM(C14:F14)</f>
        <v>279288.46999999997</v>
      </c>
    </row>
    <row r="15" spans="1:7" ht="15.75" customHeight="1" x14ac:dyDescent="0.25">
      <c r="A15" s="5" t="s">
        <v>128</v>
      </c>
      <c r="B15" s="5" t="s">
        <v>98</v>
      </c>
      <c r="C15" s="21">
        <f>IS_QRT!T10</f>
        <v>1797.73</v>
      </c>
      <c r="D15" s="21">
        <f>IS_QRT!U10</f>
        <v>2250.06</v>
      </c>
      <c r="E15" s="21">
        <f>IS_QRT!V10</f>
        <v>2696.97</v>
      </c>
      <c r="F15" s="21">
        <f>IS_QRT!W10</f>
        <v>0</v>
      </c>
      <c r="G15" s="21">
        <f>SUM(C15:F15)</f>
        <v>6744.76</v>
      </c>
    </row>
    <row r="16" spans="1:7" ht="15.75" customHeight="1" x14ac:dyDescent="0.25">
      <c r="A16" s="12" t="s">
        <v>129</v>
      </c>
      <c r="B16" s="12" t="s">
        <v>99</v>
      </c>
      <c r="C16" s="22">
        <f>IS_QRT!T11</f>
        <v>37500</v>
      </c>
      <c r="D16" s="22">
        <f>IS_QRT!U11</f>
        <v>37500</v>
      </c>
      <c r="E16" s="22">
        <f>IS_QRT!V11</f>
        <v>9027.74</v>
      </c>
      <c r="F16" s="22">
        <f>IS_QRT!W11</f>
        <v>0</v>
      </c>
      <c r="G16" s="22">
        <f>SUM(C16:F16)</f>
        <v>84027.74</v>
      </c>
    </row>
    <row r="17" spans="1:7" ht="15.75" customHeight="1" x14ac:dyDescent="0.25">
      <c r="A17" s="6" t="s">
        <v>88</v>
      </c>
      <c r="B17" s="6" t="s">
        <v>100</v>
      </c>
      <c r="C17" s="23">
        <f>SUM(C14:C16)</f>
        <v>111822.84</v>
      </c>
      <c r="D17" s="23">
        <f>SUM(D14:D16)</f>
        <v>121343.81999999999</v>
      </c>
      <c r="E17" s="23">
        <f>SUM(E14:E16)</f>
        <v>136894.31</v>
      </c>
      <c r="F17" s="23">
        <f>SUM(F14:F16)</f>
        <v>0</v>
      </c>
      <c r="G17" s="23">
        <f>SUM(G14:G16)</f>
        <v>370060.97</v>
      </c>
    </row>
    <row r="18" spans="1:7" ht="15.75" customHeight="1" x14ac:dyDescent="0.25">
      <c r="A18" s="5" t="s">
        <v>28</v>
      </c>
      <c r="B18" s="5" t="s">
        <v>28</v>
      </c>
      <c r="C18" s="21"/>
      <c r="D18" s="21"/>
      <c r="E18" s="21"/>
      <c r="F18" s="21"/>
      <c r="G18" s="21"/>
    </row>
    <row r="19" spans="1:7" ht="15.75" customHeight="1" x14ac:dyDescent="0.25">
      <c r="A19" s="6" t="s">
        <v>130</v>
      </c>
      <c r="B19" s="6" t="s">
        <v>101</v>
      </c>
      <c r="C19" s="23">
        <f>C12+C17</f>
        <v>149167.99</v>
      </c>
      <c r="D19" s="23">
        <f>D12+D17</f>
        <v>178567.11</v>
      </c>
      <c r="E19" s="23">
        <f>E12+E17</f>
        <v>210869.19</v>
      </c>
      <c r="F19" s="23">
        <f>F12+F17</f>
        <v>0</v>
      </c>
      <c r="G19" s="23">
        <f>G12+G17</f>
        <v>538604.28999999992</v>
      </c>
    </row>
    <row r="20" spans="1:7" ht="15.75" customHeight="1" x14ac:dyDescent="0.25">
      <c r="A20" s="5"/>
      <c r="B20" s="5"/>
      <c r="C20" s="21"/>
      <c r="D20" s="21"/>
      <c r="E20" s="21"/>
      <c r="F20" s="21"/>
      <c r="G20" s="21"/>
    </row>
    <row r="21" spans="1:7" ht="15.75" customHeight="1" x14ac:dyDescent="0.25">
      <c r="A21" s="5" t="s">
        <v>131</v>
      </c>
      <c r="B21" s="5" t="s">
        <v>102</v>
      </c>
      <c r="C21" s="21">
        <f>-IS_QRT!T16</f>
        <v>-17627.689999999999</v>
      </c>
      <c r="D21" s="21">
        <f>-IS_QRT!U16</f>
        <v>-19020.88</v>
      </c>
      <c r="E21" s="21">
        <f>IS_QRT!V16</f>
        <v>32551.74</v>
      </c>
      <c r="F21" s="21">
        <f>IS_QRT!W16</f>
        <v>0</v>
      </c>
      <c r="G21" s="21">
        <f>SUM(C21:F21)</f>
        <v>-4096.8299999999981</v>
      </c>
    </row>
    <row r="22" spans="1:7" ht="15.75" customHeight="1" x14ac:dyDescent="0.25">
      <c r="A22" s="52" t="s">
        <v>132</v>
      </c>
      <c r="B22" s="52" t="s">
        <v>103</v>
      </c>
      <c r="C22" s="53">
        <f>-IS_QRT!T17</f>
        <v>-3187.61</v>
      </c>
      <c r="D22" s="53">
        <f>-IS_QRT!U17</f>
        <v>-3178.77</v>
      </c>
      <c r="E22" s="53">
        <f>IS_QRT!V17</f>
        <v>3999.74</v>
      </c>
      <c r="F22" s="53">
        <f>IS_QRT!W17</f>
        <v>0</v>
      </c>
      <c r="G22" s="53">
        <f>SUM(C22:F22)</f>
        <v>-2366.6400000000003</v>
      </c>
    </row>
    <row r="23" spans="1:7" ht="15.75" customHeight="1" x14ac:dyDescent="0.25">
      <c r="A23" s="6" t="s">
        <v>133</v>
      </c>
      <c r="B23" s="6" t="s">
        <v>104</v>
      </c>
      <c r="C23" s="23">
        <f>SUM(C21:C22)</f>
        <v>-20815.3</v>
      </c>
      <c r="D23" s="23">
        <f>SUM(D21:D22)</f>
        <v>-22199.65</v>
      </c>
      <c r="E23" s="23">
        <f>SUM(E21:E22)</f>
        <v>36551.480000000003</v>
      </c>
      <c r="F23" s="23">
        <f>SUM(F21:F22)</f>
        <v>0</v>
      </c>
      <c r="G23" s="23">
        <f>SUM(G21:G22)</f>
        <v>-6463.4699999999984</v>
      </c>
    </row>
    <row r="24" spans="1:7" ht="15.75" customHeight="1" x14ac:dyDescent="0.25">
      <c r="A24" s="5"/>
      <c r="B24" s="5"/>
      <c r="C24" s="21"/>
      <c r="D24" s="21"/>
      <c r="E24" s="21"/>
      <c r="F24" s="21"/>
      <c r="G24" s="21"/>
    </row>
    <row r="25" spans="1:7" ht="15.75" customHeight="1" x14ac:dyDescent="0.25">
      <c r="A25" s="6" t="s">
        <v>134</v>
      </c>
      <c r="B25" s="6" t="s">
        <v>105</v>
      </c>
      <c r="C25" s="23">
        <f>C19+C23</f>
        <v>128352.68999999999</v>
      </c>
      <c r="D25" s="23">
        <f>D19+D23</f>
        <v>156367.46</v>
      </c>
      <c r="E25" s="23">
        <f>E19-E23</f>
        <v>174317.71</v>
      </c>
      <c r="F25" s="23">
        <f>F19-F23</f>
        <v>0</v>
      </c>
      <c r="G25" s="23">
        <f>G19-G23</f>
        <v>545067.75999999989</v>
      </c>
    </row>
    <row r="26" spans="1:7" ht="15.75" customHeight="1" x14ac:dyDescent="0.25">
      <c r="A26" s="5"/>
      <c r="B26" s="5"/>
      <c r="C26" s="21"/>
      <c r="D26" s="21"/>
      <c r="E26" s="21"/>
      <c r="F26" s="21"/>
      <c r="G26" s="21"/>
    </row>
    <row r="27" spans="1:7" ht="15.75" customHeight="1" x14ac:dyDescent="0.25">
      <c r="A27" s="5" t="s">
        <v>135</v>
      </c>
      <c r="B27" s="5" t="s">
        <v>106</v>
      </c>
      <c r="C27" s="21">
        <f>-IS_QRT!T22</f>
        <v>-47535.44</v>
      </c>
      <c r="D27" s="21">
        <f>-IS_QRT!U22</f>
        <v>-65341.06</v>
      </c>
      <c r="E27" s="21">
        <f>IS_QRT!V22</f>
        <v>51643.32</v>
      </c>
      <c r="F27" s="21">
        <f>IS_QRT!W22</f>
        <v>0</v>
      </c>
      <c r="G27" s="21">
        <f>SUM(C27:F27)</f>
        <v>-61233.18</v>
      </c>
    </row>
    <row r="28" spans="1:7" ht="15.75" customHeight="1" x14ac:dyDescent="0.25">
      <c r="A28" s="5" t="s">
        <v>136</v>
      </c>
      <c r="B28" s="5" t="s">
        <v>107</v>
      </c>
      <c r="C28" s="21">
        <f>-IS_QRT!T23+IS_QRT!T24</f>
        <v>-248956.24000000002</v>
      </c>
      <c r="D28" s="21">
        <f>-IS_QRT!U23+IS_QRT!U24</f>
        <v>-286842.36</v>
      </c>
      <c r="E28" s="21">
        <f>IS_QRT!V23</f>
        <v>313842.15999999997</v>
      </c>
      <c r="F28" s="21">
        <f>IS_QRT!W23</f>
        <v>0</v>
      </c>
      <c r="G28" s="21">
        <f>SUM(C28:F28)</f>
        <v>-221956.44</v>
      </c>
    </row>
    <row r="29" spans="1:7" ht="15.75" customHeight="1" thickBot="1" x14ac:dyDescent="0.3">
      <c r="A29" s="112" t="s">
        <v>28</v>
      </c>
      <c r="B29" s="112"/>
      <c r="C29" s="83"/>
      <c r="D29" s="83"/>
      <c r="E29" s="83">
        <f>IS_QRT!V24</f>
        <v>43.82</v>
      </c>
      <c r="F29" s="83">
        <f>IS_QRT!W24</f>
        <v>0</v>
      </c>
      <c r="G29" s="83">
        <f>SUM(C29:F29)</f>
        <v>43.82</v>
      </c>
    </row>
    <row r="30" spans="1:7" ht="15.75" customHeight="1" x14ac:dyDescent="0.25">
      <c r="A30" s="6" t="s">
        <v>137</v>
      </c>
      <c r="B30" s="56" t="s">
        <v>262</v>
      </c>
      <c r="C30" s="23">
        <f>C25+C27+C28-C29</f>
        <v>-168138.99000000005</v>
      </c>
      <c r="D30" s="23">
        <f>D25+D27+D28-D29</f>
        <v>-195815.96</v>
      </c>
      <c r="E30" s="23">
        <f t="shared" ref="E30:F30" si="0">E25+E27+E28-E29</f>
        <v>539759.37</v>
      </c>
      <c r="F30" s="23">
        <f t="shared" si="0"/>
        <v>0</v>
      </c>
      <c r="G30" s="23">
        <f>G25+G27+G28-G29</f>
        <v>261834.31999999989</v>
      </c>
    </row>
    <row r="31" spans="1:7" ht="15.75" customHeight="1" x14ac:dyDescent="0.25">
      <c r="A31" s="5" t="s">
        <v>28</v>
      </c>
      <c r="B31" s="5" t="s">
        <v>28</v>
      </c>
      <c r="C31" s="21"/>
      <c r="D31" s="21"/>
      <c r="E31" s="21"/>
      <c r="F31" s="21"/>
      <c r="G31" s="21"/>
    </row>
    <row r="32" spans="1:7" ht="15.75" customHeight="1" x14ac:dyDescent="0.25">
      <c r="A32" s="52"/>
      <c r="B32" s="58"/>
      <c r="C32" s="53"/>
      <c r="D32" s="53"/>
      <c r="E32" s="53"/>
      <c r="F32" s="53"/>
      <c r="G32" s="53"/>
    </row>
    <row r="33" spans="1:7" ht="15.75" customHeight="1" x14ac:dyDescent="0.25">
      <c r="A33" s="56"/>
      <c r="B33" s="56" t="s">
        <v>108</v>
      </c>
      <c r="C33" s="57">
        <f>C30-C32</f>
        <v>-168138.99000000005</v>
      </c>
      <c r="D33" s="57">
        <f>D30-D32</f>
        <v>-195815.96</v>
      </c>
      <c r="E33" s="57">
        <f>E30-E32</f>
        <v>539759.37</v>
      </c>
      <c r="F33" s="57">
        <f>F30-F32</f>
        <v>0</v>
      </c>
      <c r="G33" s="57">
        <f>SUM(C33:F33)</f>
        <v>175804.41999999993</v>
      </c>
    </row>
    <row r="34" spans="1:7" ht="15.75" customHeight="1" x14ac:dyDescent="0.25">
      <c r="A34" s="5"/>
      <c r="B34" s="5"/>
      <c r="C34" s="21"/>
      <c r="D34" s="21"/>
      <c r="E34" s="21"/>
      <c r="F34" s="21"/>
      <c r="G34" s="21"/>
    </row>
    <row r="35" spans="1:7" ht="15.75" customHeight="1" x14ac:dyDescent="0.25">
      <c r="A35" s="5" t="s">
        <v>138</v>
      </c>
      <c r="B35" s="5" t="s">
        <v>109</v>
      </c>
      <c r="C35" s="21">
        <f>-IS_QRT!T30</f>
        <v>-3175.8</v>
      </c>
      <c r="D35" s="21">
        <f>-IS_QRT!U30</f>
        <v>-3349.59</v>
      </c>
      <c r="E35" s="21">
        <f>IS_QRT!V30</f>
        <v>3509.08</v>
      </c>
      <c r="F35" s="21">
        <f>IS_QRT!W30</f>
        <v>0</v>
      </c>
      <c r="G35" s="21">
        <f>SUM(C35:F35)</f>
        <v>-3016.3100000000004</v>
      </c>
    </row>
    <row r="36" spans="1:7" ht="15.75" customHeight="1" x14ac:dyDescent="0.25">
      <c r="A36" s="5" t="s">
        <v>139</v>
      </c>
      <c r="B36" s="5" t="s">
        <v>110</v>
      </c>
      <c r="C36" s="21">
        <f>-IS_QRT!T31</f>
        <v>-60503.02</v>
      </c>
      <c r="D36" s="21">
        <f>-IS_QRT!U31</f>
        <v>-60503.01</v>
      </c>
      <c r="E36" s="21">
        <f>IS_QRT!V31</f>
        <v>28194.69</v>
      </c>
      <c r="F36" s="21">
        <f>IS_QRT!W31</f>
        <v>0</v>
      </c>
      <c r="G36" s="21">
        <f>SUM(C36:F36)</f>
        <v>-92811.34</v>
      </c>
    </row>
    <row r="37" spans="1:7" ht="15.75" customHeight="1" x14ac:dyDescent="0.25">
      <c r="A37" s="5" t="s">
        <v>140</v>
      </c>
      <c r="B37" s="5" t="s">
        <v>111</v>
      </c>
      <c r="C37" s="21">
        <f>-IS_QRT!T32</f>
        <v>-27960.13</v>
      </c>
      <c r="D37" s="21">
        <f>-IS_QRT!U32</f>
        <v>-22176.97</v>
      </c>
      <c r="E37" s="21">
        <f>IS_QRT!V32</f>
        <v>16806.580000000002</v>
      </c>
      <c r="F37" s="21">
        <f>IS_QRT!W32</f>
        <v>0</v>
      </c>
      <c r="G37" s="21">
        <f>SUM(C37:F37)</f>
        <v>-33330.520000000004</v>
      </c>
    </row>
    <row r="38" spans="1:7" ht="15.75" customHeight="1" x14ac:dyDescent="0.25">
      <c r="A38" s="5" t="s">
        <v>141</v>
      </c>
      <c r="B38" s="5" t="s">
        <v>112</v>
      </c>
      <c r="C38" s="21">
        <f>-IS_QRT!T33</f>
        <v>-5384</v>
      </c>
      <c r="D38" s="21">
        <f>-IS_QRT!U33</f>
        <v>-11675.6</v>
      </c>
      <c r="E38" s="21">
        <f>IS_QRT!V33</f>
        <v>8716.94</v>
      </c>
      <c r="F38" s="21">
        <f>IS_QRT!W33</f>
        <v>0</v>
      </c>
      <c r="G38" s="21">
        <f>SUM(C38:F38)</f>
        <v>-8342.659999999998</v>
      </c>
    </row>
    <row r="39" spans="1:7" ht="15.75" customHeight="1" thickBot="1" x14ac:dyDescent="0.3">
      <c r="A39" s="24"/>
      <c r="B39" s="24"/>
      <c r="C39" s="25"/>
      <c r="D39" s="25"/>
      <c r="E39" s="25"/>
      <c r="F39" s="25"/>
      <c r="G39" s="25"/>
    </row>
    <row r="40" spans="1:7" ht="15.75" customHeight="1" x14ac:dyDescent="0.25">
      <c r="A40" s="6" t="s">
        <v>28</v>
      </c>
      <c r="B40" s="6" t="s">
        <v>142</v>
      </c>
      <c r="C40" s="23">
        <f>C33+SUM(C35:C38)</f>
        <v>-265161.94000000006</v>
      </c>
      <c r="D40" s="23">
        <f>D33+SUM(D35:D38)</f>
        <v>-293521.13</v>
      </c>
      <c r="E40" s="23">
        <f>E33-SUM(E35:E38)</f>
        <v>482532.08</v>
      </c>
      <c r="F40" s="23">
        <f>F33-SUM(F35:F38)</f>
        <v>0</v>
      </c>
      <c r="G40" s="23">
        <f>G33+SUM(G35:G38)</f>
        <v>38303.589999999938</v>
      </c>
    </row>
    <row r="41" spans="1:7" ht="15.75" customHeight="1" x14ac:dyDescent="0.25">
      <c r="A41" s="5"/>
      <c r="B41" s="5"/>
      <c r="C41" s="18"/>
      <c r="D41" s="18"/>
      <c r="E41" s="18"/>
      <c r="F41" s="18"/>
      <c r="G41" s="18"/>
    </row>
    <row r="42" spans="1:7" ht="15.75" customHeight="1" x14ac:dyDescent="0.25">
      <c r="A42" s="5"/>
      <c r="B42" s="5"/>
      <c r="C42" s="26"/>
      <c r="D42" s="18"/>
      <c r="E42" s="18"/>
      <c r="F42" s="18"/>
      <c r="G42" s="18"/>
    </row>
    <row r="43" spans="1:7" ht="15.75" customHeight="1" x14ac:dyDescent="0.25">
      <c r="A43" s="5"/>
      <c r="B43" s="5"/>
      <c r="C43" s="26"/>
      <c r="D43" s="18"/>
      <c r="E43" s="18"/>
      <c r="F43" s="18"/>
      <c r="G43" s="18"/>
    </row>
    <row r="44" spans="1:7" ht="15.75" customHeight="1" x14ac:dyDescent="0.25">
      <c r="A44" s="5"/>
      <c r="B44" s="5"/>
      <c r="C44" s="26"/>
      <c r="D44" s="18"/>
      <c r="E44" s="18"/>
      <c r="F44" s="18"/>
      <c r="G44" s="18"/>
    </row>
    <row r="45" spans="1:7" ht="15.75" customHeight="1" x14ac:dyDescent="0.25">
      <c r="A45" s="5"/>
      <c r="B45" s="5"/>
      <c r="C45" s="26"/>
      <c r="D45" s="18"/>
      <c r="E45" s="18"/>
      <c r="F45" s="18"/>
      <c r="G45" s="18"/>
    </row>
    <row r="46" spans="1:7" ht="15.75" customHeight="1" x14ac:dyDescent="0.25">
      <c r="A46" s="5"/>
      <c r="B46" s="5"/>
      <c r="C46" s="26"/>
      <c r="D46" s="18"/>
      <c r="E46" s="18"/>
      <c r="F46" s="21"/>
      <c r="G46" s="18"/>
    </row>
    <row r="47" spans="1:7" ht="15.75" customHeight="1" x14ac:dyDescent="0.25">
      <c r="A47" s="5"/>
      <c r="B47" s="5"/>
      <c r="C47" s="26"/>
      <c r="D47" s="18"/>
      <c r="E47" s="18"/>
      <c r="F47" s="18"/>
      <c r="G47" s="18"/>
    </row>
    <row r="48" spans="1:7" ht="15.75" customHeight="1" x14ac:dyDescent="0.25">
      <c r="A48" s="5"/>
      <c r="B48" s="5"/>
      <c r="C48" s="18"/>
      <c r="D48" s="18"/>
      <c r="E48" s="18"/>
      <c r="F48" s="18"/>
      <c r="G48" s="18"/>
    </row>
    <row r="49" spans="1:7" ht="15.75" customHeight="1" x14ac:dyDescent="0.25">
      <c r="A49" s="5"/>
      <c r="B49" s="5"/>
      <c r="C49" s="18"/>
      <c r="D49" s="18"/>
      <c r="E49" s="18"/>
      <c r="F49" s="18"/>
      <c r="G49" s="18"/>
    </row>
    <row r="50" spans="1:7" ht="15.75" customHeight="1" x14ac:dyDescent="0.25">
      <c r="A50" s="5"/>
      <c r="B50" s="5"/>
      <c r="C50" s="18"/>
      <c r="D50" s="18"/>
      <c r="E50" s="18"/>
      <c r="F50" s="18"/>
      <c r="G50" s="18"/>
    </row>
    <row r="51" spans="1:7" ht="15.75" customHeight="1" x14ac:dyDescent="0.25">
      <c r="A51" s="5"/>
      <c r="B51" s="5"/>
      <c r="C51" s="21"/>
      <c r="D51" s="21"/>
      <c r="E51" s="18"/>
      <c r="F51" s="18"/>
      <c r="G51" s="18"/>
    </row>
    <row r="52" spans="1:7" ht="15.75" customHeight="1" x14ac:dyDescent="0.25">
      <c r="A52" s="5"/>
      <c r="B52" s="5"/>
      <c r="C52" s="21"/>
      <c r="D52" s="18"/>
      <c r="E52" s="18"/>
      <c r="F52" s="18"/>
      <c r="G52" s="18"/>
    </row>
    <row r="53" spans="1:7" ht="15.75" customHeight="1" x14ac:dyDescent="0.25">
      <c r="A53" s="5"/>
      <c r="B53" s="5"/>
      <c r="C53" s="18"/>
      <c r="D53" s="18"/>
      <c r="E53" s="18"/>
      <c r="F53" s="18"/>
      <c r="G53" s="18"/>
    </row>
    <row r="54" spans="1:7" ht="15.75" customHeight="1" x14ac:dyDescent="0.25">
      <c r="A54" s="5"/>
      <c r="B54" s="5"/>
      <c r="C54" s="18"/>
      <c r="D54" s="18"/>
      <c r="E54" s="18"/>
      <c r="F54" s="18"/>
      <c r="G54" s="18"/>
    </row>
    <row r="55" spans="1:7" ht="15.75" customHeight="1" x14ac:dyDescent="0.25">
      <c r="A55" s="5"/>
      <c r="B55" s="5"/>
      <c r="C55" s="18"/>
      <c r="D55" s="18"/>
      <c r="E55" s="18"/>
      <c r="F55" s="18"/>
      <c r="G55" s="18"/>
    </row>
    <row r="56" spans="1:7" ht="15.75" customHeight="1" x14ac:dyDescent="0.25">
      <c r="A56" s="5"/>
      <c r="B56" s="5"/>
      <c r="C56" s="18"/>
      <c r="D56" s="18"/>
      <c r="E56" s="18"/>
      <c r="F56" s="18"/>
      <c r="G56" s="18"/>
    </row>
    <row r="57" spans="1:7" ht="15.75" customHeight="1" x14ac:dyDescent="0.25">
      <c r="A57" s="5"/>
      <c r="B57" s="5"/>
      <c r="C57" s="18"/>
      <c r="D57" s="18"/>
      <c r="E57" s="18"/>
      <c r="F57" s="18"/>
      <c r="G57" s="18"/>
    </row>
    <row r="58" spans="1:7" ht="15.75" customHeight="1" x14ac:dyDescent="0.25">
      <c r="A58" s="5"/>
      <c r="B58" s="5"/>
      <c r="C58" s="18"/>
      <c r="D58" s="18"/>
      <c r="E58" s="18"/>
      <c r="F58" s="18"/>
      <c r="G58" s="18"/>
    </row>
    <row r="59" spans="1:7" ht="15.75" customHeight="1" x14ac:dyDescent="0.25">
      <c r="A59" s="5"/>
      <c r="B59" s="5"/>
      <c r="C59" s="18"/>
      <c r="D59" s="18"/>
      <c r="E59" s="18"/>
      <c r="F59" s="18"/>
      <c r="G59" s="18"/>
    </row>
    <row r="60" spans="1:7" ht="15.75" customHeight="1" x14ac:dyDescent="0.25">
      <c r="A60" s="5"/>
      <c r="B60" s="5"/>
      <c r="C60" s="18"/>
      <c r="D60" s="18"/>
      <c r="E60" s="18"/>
      <c r="F60" s="18"/>
      <c r="G60" s="18"/>
    </row>
    <row r="61" spans="1:7" ht="15.75" customHeight="1" x14ac:dyDescent="0.25">
      <c r="A61" s="5"/>
      <c r="B61" s="5"/>
      <c r="C61" s="18"/>
      <c r="D61" s="18"/>
      <c r="E61" s="18"/>
      <c r="F61" s="18"/>
      <c r="G61" s="18"/>
    </row>
    <row r="62" spans="1:7" ht="15.75" customHeight="1" x14ac:dyDescent="0.25">
      <c r="A62" s="5"/>
      <c r="B62" s="5"/>
      <c r="C62" s="18"/>
      <c r="D62" s="18"/>
      <c r="E62" s="18"/>
      <c r="F62" s="18"/>
      <c r="G62" s="18"/>
    </row>
    <row r="63" spans="1:7" ht="15.75" customHeight="1" x14ac:dyDescent="0.25">
      <c r="A63" s="5"/>
      <c r="B63" s="5"/>
      <c r="C63" s="18"/>
      <c r="D63" s="18"/>
      <c r="E63" s="18"/>
      <c r="F63" s="18"/>
      <c r="G63" s="18"/>
    </row>
    <row r="64" spans="1:7" ht="15.75" customHeight="1" x14ac:dyDescent="0.25">
      <c r="A64" s="5"/>
      <c r="B64" s="5"/>
      <c r="C64" s="18"/>
      <c r="D64" s="18"/>
      <c r="E64" s="18"/>
      <c r="F64" s="18"/>
      <c r="G64" s="18"/>
    </row>
    <row r="65" spans="1:7" ht="15.75" customHeight="1" x14ac:dyDescent="0.25">
      <c r="A65" s="5"/>
      <c r="B65" s="5"/>
      <c r="C65" s="18"/>
      <c r="D65" s="18"/>
      <c r="E65" s="18"/>
      <c r="F65" s="18"/>
      <c r="G65" s="18"/>
    </row>
    <row r="66" spans="1:7" ht="15.75" customHeight="1" x14ac:dyDescent="0.25">
      <c r="A66" s="5"/>
      <c r="B66" s="5"/>
      <c r="C66" s="18"/>
      <c r="D66" s="18"/>
      <c r="E66" s="18"/>
      <c r="F66" s="18"/>
      <c r="G66" s="18"/>
    </row>
    <row r="67" spans="1:7" ht="15.75" customHeight="1" x14ac:dyDescent="0.25">
      <c r="A67" s="5"/>
      <c r="B67" s="5"/>
      <c r="C67" s="18"/>
      <c r="D67" s="18"/>
      <c r="E67" s="18"/>
      <c r="F67" s="18"/>
      <c r="G67" s="18"/>
    </row>
    <row r="68" spans="1:7" ht="15.75" customHeight="1" x14ac:dyDescent="0.25">
      <c r="A68" s="5"/>
      <c r="B68" s="5"/>
      <c r="C68" s="18"/>
      <c r="D68" s="18"/>
      <c r="E68" s="18"/>
      <c r="F68" s="18"/>
      <c r="G68" s="18"/>
    </row>
    <row r="69" spans="1:7" ht="15.75" customHeight="1" x14ac:dyDescent="0.25">
      <c r="A69" s="5"/>
      <c r="B69" s="5"/>
      <c r="C69" s="18"/>
      <c r="D69" s="18"/>
      <c r="E69" s="18"/>
      <c r="F69" s="18"/>
      <c r="G69" s="18"/>
    </row>
    <row r="70" spans="1:7" ht="15.75" customHeight="1" x14ac:dyDescent="0.25">
      <c r="A70" s="5"/>
      <c r="B70" s="5"/>
      <c r="C70" s="18"/>
      <c r="D70" s="18"/>
      <c r="E70" s="18"/>
      <c r="F70" s="18"/>
      <c r="G70" s="18"/>
    </row>
    <row r="71" spans="1:7" ht="15.75" customHeight="1" x14ac:dyDescent="0.25">
      <c r="A71" s="5"/>
      <c r="B71" s="5"/>
      <c r="C71" s="18"/>
      <c r="D71" s="18"/>
      <c r="E71" s="18"/>
      <c r="F71" s="18"/>
      <c r="G71" s="18"/>
    </row>
    <row r="72" spans="1:7" ht="15.75" customHeight="1" x14ac:dyDescent="0.25">
      <c r="A72" s="5"/>
      <c r="B72" s="5"/>
      <c r="C72" s="18"/>
      <c r="D72" s="18"/>
      <c r="E72" s="18"/>
      <c r="F72" s="18"/>
      <c r="G72" s="18"/>
    </row>
    <row r="73" spans="1:7" ht="15.75" customHeight="1" x14ac:dyDescent="0.25">
      <c r="A73" s="5"/>
      <c r="B73" s="5"/>
      <c r="C73" s="18"/>
      <c r="D73" s="18"/>
      <c r="E73" s="18"/>
      <c r="F73" s="18"/>
      <c r="G73" s="18"/>
    </row>
    <row r="74" spans="1:7" ht="15.75" customHeight="1" x14ac:dyDescent="0.25">
      <c r="A74" s="5"/>
      <c r="B74" s="5"/>
      <c r="C74" s="18"/>
      <c r="D74" s="18"/>
      <c r="E74" s="18"/>
      <c r="F74" s="18"/>
      <c r="G74" s="18"/>
    </row>
    <row r="75" spans="1:7" ht="15.75" customHeight="1" x14ac:dyDescent="0.25">
      <c r="A75" s="5"/>
      <c r="B75" s="5"/>
      <c r="C75" s="18"/>
      <c r="D75" s="18"/>
      <c r="E75" s="18"/>
      <c r="F75" s="18"/>
      <c r="G75" s="18"/>
    </row>
    <row r="76" spans="1:7" ht="15.75" customHeight="1" x14ac:dyDescent="0.25">
      <c r="A76" s="5"/>
      <c r="B76" s="5"/>
      <c r="C76" s="18"/>
      <c r="D76" s="18"/>
      <c r="E76" s="18"/>
      <c r="F76" s="18"/>
      <c r="G76" s="18"/>
    </row>
    <row r="77" spans="1:7" ht="15.75" customHeight="1" x14ac:dyDescent="0.25">
      <c r="A77" s="5"/>
      <c r="B77" s="5"/>
      <c r="C77" s="18"/>
      <c r="D77" s="18"/>
      <c r="E77" s="18"/>
      <c r="F77" s="18"/>
      <c r="G77" s="18"/>
    </row>
    <row r="78" spans="1:7" ht="15.75" customHeight="1" x14ac:dyDescent="0.25">
      <c r="A78" s="5"/>
      <c r="B78" s="5"/>
      <c r="C78" s="18"/>
      <c r="D78" s="18"/>
      <c r="E78" s="18"/>
      <c r="F78" s="18"/>
      <c r="G78" s="18"/>
    </row>
    <row r="79" spans="1:7" ht="15.75" customHeight="1" x14ac:dyDescent="0.25">
      <c r="A79" s="5"/>
      <c r="B79" s="5"/>
      <c r="C79" s="18"/>
      <c r="D79" s="18"/>
      <c r="E79" s="18"/>
      <c r="F79" s="18"/>
      <c r="G79" s="18"/>
    </row>
    <row r="80" spans="1:7" ht="15.75" customHeight="1" x14ac:dyDescent="0.25">
      <c r="A80" s="5"/>
      <c r="B80" s="5"/>
      <c r="C80" s="18"/>
      <c r="D80" s="18"/>
      <c r="E80" s="18"/>
      <c r="F80" s="18"/>
      <c r="G80" s="18"/>
    </row>
    <row r="81" spans="1:7" ht="15.75" customHeight="1" x14ac:dyDescent="0.25">
      <c r="A81" s="5"/>
      <c r="B81" s="5"/>
      <c r="C81" s="18"/>
      <c r="D81" s="18"/>
      <c r="E81" s="18"/>
      <c r="F81" s="18"/>
      <c r="G81" s="18"/>
    </row>
    <row r="82" spans="1:7" ht="15.75" customHeight="1" x14ac:dyDescent="0.25">
      <c r="A82" s="5"/>
      <c r="B82" s="5"/>
      <c r="C82" s="18"/>
      <c r="D82" s="18"/>
      <c r="E82" s="18"/>
      <c r="F82" s="18"/>
      <c r="G82" s="18"/>
    </row>
    <row r="83" spans="1:7" ht="15.75" customHeight="1" x14ac:dyDescent="0.25">
      <c r="A83" s="5"/>
      <c r="B83" s="5"/>
      <c r="C83" s="18"/>
      <c r="D83" s="18"/>
      <c r="E83" s="18"/>
      <c r="F83" s="18"/>
      <c r="G83" s="18"/>
    </row>
    <row r="84" spans="1:7" ht="15.75" customHeight="1" x14ac:dyDescent="0.25">
      <c r="A84" s="5"/>
      <c r="B84" s="5"/>
      <c r="C84" s="18"/>
      <c r="D84" s="18"/>
      <c r="E84" s="18"/>
      <c r="F84" s="18"/>
      <c r="G84" s="18"/>
    </row>
    <row r="85" spans="1:7" ht="15.75" customHeight="1" x14ac:dyDescent="0.25">
      <c r="A85" s="5"/>
      <c r="B85" s="5"/>
      <c r="C85" s="18"/>
      <c r="D85" s="18"/>
      <c r="E85" s="18"/>
      <c r="F85" s="18"/>
      <c r="G85" s="18"/>
    </row>
    <row r="86" spans="1:7" ht="15.75" customHeight="1" x14ac:dyDescent="0.25">
      <c r="A86" s="5"/>
      <c r="B86" s="5"/>
      <c r="C86" s="18"/>
      <c r="D86" s="18"/>
      <c r="E86" s="18"/>
      <c r="F86" s="18"/>
      <c r="G86" s="18"/>
    </row>
    <row r="87" spans="1:7" ht="15.75" customHeight="1" x14ac:dyDescent="0.25">
      <c r="A87" s="5"/>
      <c r="B87" s="5"/>
      <c r="C87" s="18"/>
      <c r="D87" s="18"/>
      <c r="E87" s="18"/>
      <c r="F87" s="18"/>
      <c r="G87" s="18"/>
    </row>
    <row r="88" spans="1:7" ht="15.75" customHeight="1" x14ac:dyDescent="0.25">
      <c r="A88" s="5"/>
      <c r="B88" s="5"/>
      <c r="C88" s="18"/>
      <c r="D88" s="18"/>
      <c r="E88" s="18"/>
      <c r="F88" s="18"/>
      <c r="G88" s="18"/>
    </row>
    <row r="89" spans="1:7" ht="15.75" customHeight="1" x14ac:dyDescent="0.25">
      <c r="A89" s="5"/>
      <c r="B89" s="5"/>
      <c r="C89" s="18"/>
      <c r="D89" s="18"/>
      <c r="E89" s="18"/>
      <c r="F89" s="18"/>
      <c r="G89" s="18"/>
    </row>
    <row r="90" spans="1:7" ht="15.75" customHeight="1" x14ac:dyDescent="0.25">
      <c r="A90" s="5"/>
      <c r="B90" s="5"/>
      <c r="C90" s="18"/>
      <c r="D90" s="18"/>
      <c r="E90" s="18"/>
      <c r="F90" s="18"/>
      <c r="G90" s="18"/>
    </row>
    <row r="91" spans="1:7" ht="15.75" customHeight="1" x14ac:dyDescent="0.25">
      <c r="A91" s="5"/>
      <c r="B91" s="5"/>
      <c r="C91" s="18"/>
      <c r="D91" s="18"/>
      <c r="E91" s="18"/>
      <c r="F91" s="18"/>
      <c r="G91" s="18"/>
    </row>
    <row r="92" spans="1:7" ht="15.75" customHeight="1" x14ac:dyDescent="0.25">
      <c r="A92" s="5"/>
      <c r="B92" s="5"/>
      <c r="C92" s="18"/>
      <c r="D92" s="18"/>
      <c r="E92" s="18"/>
      <c r="F92" s="18"/>
      <c r="G92" s="18"/>
    </row>
    <row r="93" spans="1:7" ht="15.75" customHeight="1" x14ac:dyDescent="0.25">
      <c r="A93" s="5"/>
      <c r="B93" s="5"/>
      <c r="C93" s="18"/>
      <c r="D93" s="18"/>
      <c r="E93" s="18"/>
      <c r="F93" s="18"/>
      <c r="G93" s="18"/>
    </row>
    <row r="94" spans="1:7" ht="15.75" customHeight="1" x14ac:dyDescent="0.25">
      <c r="A94" s="5"/>
      <c r="B94" s="5"/>
      <c r="C94" s="18"/>
      <c r="D94" s="18"/>
      <c r="E94" s="18"/>
      <c r="F94" s="18"/>
      <c r="G94" s="18"/>
    </row>
    <row r="95" spans="1:7" ht="15.75" customHeight="1" x14ac:dyDescent="0.25">
      <c r="A95" s="5"/>
      <c r="B95" s="5"/>
      <c r="C95" s="18"/>
      <c r="D95" s="18"/>
      <c r="E95" s="18"/>
      <c r="F95" s="18"/>
      <c r="G95" s="18"/>
    </row>
    <row r="96" spans="1:7" ht="15.75" customHeight="1" x14ac:dyDescent="0.25">
      <c r="A96" s="5"/>
      <c r="B96" s="5"/>
      <c r="C96" s="18"/>
      <c r="D96" s="18"/>
      <c r="E96" s="18"/>
      <c r="F96" s="18"/>
      <c r="G96" s="18"/>
    </row>
    <row r="97" spans="1:7" ht="15.75" customHeight="1" x14ac:dyDescent="0.25">
      <c r="A97" s="5"/>
      <c r="B97" s="5"/>
      <c r="C97" s="18"/>
      <c r="D97" s="18"/>
      <c r="E97" s="18"/>
      <c r="F97" s="18"/>
      <c r="G97" s="18"/>
    </row>
    <row r="98" spans="1:7" ht="15.75" customHeight="1" x14ac:dyDescent="0.25">
      <c r="A98" s="5"/>
      <c r="B98" s="5"/>
      <c r="C98" s="18"/>
      <c r="D98" s="18"/>
      <c r="E98" s="18"/>
      <c r="F98" s="18"/>
      <c r="G98" s="18"/>
    </row>
    <row r="99" spans="1:7" ht="15.75" customHeight="1" x14ac:dyDescent="0.25">
      <c r="A99" s="5"/>
      <c r="B99" s="5"/>
      <c r="C99" s="18"/>
      <c r="D99" s="18"/>
      <c r="E99" s="18"/>
      <c r="F99" s="18"/>
      <c r="G99" s="18"/>
    </row>
    <row r="100" spans="1:7" ht="15.75" customHeight="1" x14ac:dyDescent="0.25">
      <c r="A100" s="5"/>
      <c r="B100" s="5"/>
      <c r="C100" s="18"/>
      <c r="D100" s="18"/>
      <c r="E100" s="18"/>
      <c r="F100" s="18"/>
      <c r="G100" s="18"/>
    </row>
    <row r="101" spans="1:7" ht="15.75" customHeight="1" x14ac:dyDescent="0.25">
      <c r="A101" s="5"/>
      <c r="B101" s="5"/>
      <c r="C101" s="18"/>
      <c r="D101" s="18"/>
      <c r="E101" s="18"/>
      <c r="F101" s="18"/>
      <c r="G101" s="18"/>
    </row>
    <row r="102" spans="1:7" ht="15.75" customHeight="1" x14ac:dyDescent="0.25">
      <c r="A102" s="5"/>
      <c r="B102" s="5"/>
      <c r="C102" s="18"/>
      <c r="D102" s="18"/>
      <c r="E102" s="18"/>
      <c r="F102" s="18"/>
      <c r="G102" s="18"/>
    </row>
    <row r="103" spans="1:7" ht="15.75" customHeight="1" x14ac:dyDescent="0.25">
      <c r="A103" s="5"/>
      <c r="B103" s="5"/>
      <c r="C103" s="18"/>
      <c r="D103" s="18"/>
      <c r="E103" s="18"/>
      <c r="F103" s="18"/>
      <c r="G103" s="18"/>
    </row>
    <row r="104" spans="1:7" ht="15.75" customHeight="1" x14ac:dyDescent="0.25">
      <c r="A104" s="5"/>
      <c r="B104" s="5"/>
      <c r="C104" s="18"/>
      <c r="D104" s="18"/>
      <c r="E104" s="18"/>
      <c r="F104" s="18"/>
      <c r="G104" s="18"/>
    </row>
    <row r="105" spans="1:7" ht="15.75" customHeight="1" x14ac:dyDescent="0.25">
      <c r="A105" s="5"/>
      <c r="B105" s="5"/>
      <c r="C105" s="18"/>
      <c r="D105" s="18"/>
      <c r="E105" s="18"/>
      <c r="F105" s="18"/>
      <c r="G105" s="18"/>
    </row>
    <row r="106" spans="1:7" ht="15.75" customHeight="1" x14ac:dyDescent="0.25">
      <c r="A106" s="5"/>
      <c r="B106" s="5"/>
      <c r="C106" s="18"/>
      <c r="D106" s="18"/>
      <c r="E106" s="18"/>
      <c r="F106" s="18"/>
      <c r="G106" s="18"/>
    </row>
    <row r="107" spans="1:7" ht="15.75" customHeight="1" x14ac:dyDescent="0.25">
      <c r="A107" s="5"/>
      <c r="B107" s="5"/>
      <c r="C107" s="18"/>
      <c r="D107" s="18"/>
      <c r="E107" s="18"/>
      <c r="F107" s="18"/>
      <c r="G107" s="18"/>
    </row>
    <row r="108" spans="1:7" ht="15.75" customHeight="1" x14ac:dyDescent="0.25">
      <c r="A108" s="5"/>
      <c r="B108" s="5"/>
      <c r="C108" s="18"/>
      <c r="D108" s="18"/>
      <c r="E108" s="18"/>
      <c r="F108" s="18"/>
      <c r="G108" s="18"/>
    </row>
    <row r="109" spans="1:7" ht="15.75" customHeight="1" x14ac:dyDescent="0.25">
      <c r="A109" s="5"/>
      <c r="B109" s="5"/>
      <c r="C109" s="18"/>
      <c r="D109" s="18"/>
      <c r="E109" s="18"/>
      <c r="F109" s="18"/>
      <c r="G109" s="18"/>
    </row>
    <row r="110" spans="1:7" ht="15.75" customHeight="1" x14ac:dyDescent="0.25">
      <c r="A110" s="5"/>
      <c r="B110" s="5"/>
      <c r="C110" s="18"/>
      <c r="D110" s="18"/>
      <c r="E110" s="18"/>
      <c r="F110" s="18"/>
      <c r="G110" s="18"/>
    </row>
    <row r="111" spans="1:7" ht="15.75" customHeight="1" x14ac:dyDescent="0.25">
      <c r="A111" s="5"/>
      <c r="B111" s="5"/>
      <c r="C111" s="18"/>
      <c r="D111" s="18"/>
      <c r="E111" s="18"/>
      <c r="F111" s="18"/>
      <c r="G111" s="18"/>
    </row>
    <row r="112" spans="1:7" ht="15.75" customHeight="1" x14ac:dyDescent="0.25">
      <c r="A112" s="5"/>
      <c r="B112" s="5"/>
      <c r="C112" s="18"/>
      <c r="D112" s="18"/>
      <c r="E112" s="18"/>
      <c r="F112" s="18"/>
      <c r="G112" s="18"/>
    </row>
    <row r="113" spans="1:7" ht="15.75" customHeight="1" x14ac:dyDescent="0.25">
      <c r="A113" s="5"/>
      <c r="B113" s="5"/>
      <c r="C113" s="18"/>
      <c r="D113" s="18"/>
      <c r="E113" s="18"/>
      <c r="F113" s="18"/>
      <c r="G113" s="18"/>
    </row>
    <row r="114" spans="1:7" ht="15.75" customHeight="1" x14ac:dyDescent="0.25">
      <c r="A114" s="5"/>
      <c r="B114" s="5"/>
      <c r="C114" s="18"/>
      <c r="D114" s="18"/>
      <c r="E114" s="18"/>
      <c r="F114" s="18"/>
      <c r="G114" s="18"/>
    </row>
    <row r="115" spans="1:7" ht="15.75" customHeight="1" x14ac:dyDescent="0.25">
      <c r="A115" s="5"/>
      <c r="B115" s="5"/>
      <c r="C115" s="18"/>
      <c r="D115" s="18"/>
      <c r="E115" s="18"/>
      <c r="F115" s="18"/>
      <c r="G115" s="18"/>
    </row>
    <row r="116" spans="1:7" ht="15.75" customHeight="1" x14ac:dyDescent="0.25">
      <c r="A116" s="5"/>
      <c r="B116" s="5"/>
      <c r="C116" s="18"/>
      <c r="D116" s="18"/>
      <c r="E116" s="18"/>
      <c r="F116" s="18"/>
      <c r="G116" s="18"/>
    </row>
    <row r="117" spans="1:7" ht="15.75" customHeight="1" x14ac:dyDescent="0.25">
      <c r="A117" s="5"/>
      <c r="B117" s="5"/>
      <c r="C117" s="18"/>
      <c r="D117" s="18"/>
      <c r="E117" s="18"/>
      <c r="F117" s="18"/>
      <c r="G117" s="18"/>
    </row>
    <row r="118" spans="1:7" ht="15.75" customHeight="1" x14ac:dyDescent="0.25">
      <c r="A118" s="5"/>
      <c r="B118" s="5"/>
      <c r="C118" s="18"/>
      <c r="D118" s="18"/>
      <c r="E118" s="18"/>
      <c r="F118" s="18"/>
      <c r="G118" s="18"/>
    </row>
    <row r="119" spans="1:7" ht="15.75" customHeight="1" x14ac:dyDescent="0.25">
      <c r="A119" s="5"/>
      <c r="B119" s="5"/>
      <c r="C119" s="18"/>
      <c r="D119" s="18"/>
      <c r="E119" s="18"/>
      <c r="F119" s="18"/>
      <c r="G119" s="18"/>
    </row>
    <row r="120" spans="1:7" ht="15.75" customHeight="1" x14ac:dyDescent="0.25">
      <c r="A120" s="5"/>
      <c r="B120" s="5"/>
      <c r="C120" s="18"/>
      <c r="D120" s="18"/>
      <c r="E120" s="18"/>
      <c r="F120" s="18"/>
      <c r="G120" s="18"/>
    </row>
    <row r="121" spans="1:7" ht="15.75" customHeight="1" x14ac:dyDescent="0.25">
      <c r="A121" s="5"/>
      <c r="B121" s="5"/>
      <c r="C121" s="18"/>
      <c r="D121" s="18"/>
      <c r="E121" s="18"/>
      <c r="F121" s="18"/>
      <c r="G121" s="18"/>
    </row>
    <row r="122" spans="1:7" ht="15.75" customHeight="1" x14ac:dyDescent="0.25">
      <c r="A122" s="5"/>
      <c r="B122" s="5"/>
      <c r="C122" s="18"/>
      <c r="D122" s="18"/>
      <c r="E122" s="18"/>
      <c r="F122" s="18"/>
      <c r="G122" s="18"/>
    </row>
    <row r="123" spans="1:7" ht="15.75" customHeight="1" x14ac:dyDescent="0.25">
      <c r="A123" s="5"/>
      <c r="B123" s="5"/>
      <c r="C123" s="18"/>
      <c r="D123" s="18"/>
      <c r="E123" s="18"/>
      <c r="F123" s="18"/>
      <c r="G123" s="18"/>
    </row>
    <row r="124" spans="1:7" ht="15.75" customHeight="1" x14ac:dyDescent="0.25">
      <c r="A124" s="5"/>
      <c r="B124" s="5"/>
      <c r="C124" s="18"/>
      <c r="D124" s="18"/>
      <c r="E124" s="18"/>
      <c r="F124" s="18"/>
      <c r="G124" s="18"/>
    </row>
    <row r="125" spans="1:7" ht="15.75" customHeight="1" x14ac:dyDescent="0.25">
      <c r="A125" s="5"/>
      <c r="B125" s="5"/>
      <c r="C125" s="18"/>
      <c r="D125" s="18"/>
      <c r="E125" s="18"/>
      <c r="F125" s="18"/>
      <c r="G125" s="18"/>
    </row>
    <row r="126" spans="1:7" ht="15.75" customHeight="1" x14ac:dyDescent="0.25">
      <c r="A126" s="5"/>
      <c r="B126" s="5"/>
      <c r="C126" s="18"/>
      <c r="D126" s="18"/>
      <c r="E126" s="18"/>
      <c r="F126" s="18"/>
      <c r="G126" s="18"/>
    </row>
    <row r="127" spans="1:7" ht="15.75" customHeight="1" x14ac:dyDescent="0.25">
      <c r="A127" s="5"/>
      <c r="B127" s="5"/>
      <c r="C127" s="18"/>
      <c r="D127" s="18"/>
      <c r="E127" s="18"/>
      <c r="F127" s="18"/>
      <c r="G127" s="18"/>
    </row>
    <row r="128" spans="1:7" ht="15.75" customHeight="1" x14ac:dyDescent="0.25">
      <c r="A128" s="5"/>
      <c r="B128" s="5"/>
      <c r="C128" s="18"/>
      <c r="D128" s="18"/>
      <c r="E128" s="18"/>
      <c r="F128" s="18"/>
      <c r="G128" s="18"/>
    </row>
    <row r="129" spans="1:7" ht="15.75" customHeight="1" x14ac:dyDescent="0.25">
      <c r="A129" s="5"/>
      <c r="B129" s="5"/>
      <c r="C129" s="18"/>
      <c r="D129" s="18"/>
      <c r="E129" s="18"/>
      <c r="F129" s="18"/>
      <c r="G129" s="18"/>
    </row>
    <row r="130" spans="1:7" ht="15.75" customHeight="1" x14ac:dyDescent="0.25">
      <c r="A130" s="5"/>
      <c r="B130" s="5"/>
      <c r="C130" s="18"/>
      <c r="D130" s="18"/>
      <c r="E130" s="18"/>
      <c r="F130" s="18"/>
      <c r="G130" s="18"/>
    </row>
    <row r="131" spans="1:7" ht="15.75" customHeight="1" x14ac:dyDescent="0.25">
      <c r="A131" s="5"/>
      <c r="B131" s="5"/>
      <c r="C131" s="18"/>
      <c r="D131" s="18"/>
      <c r="E131" s="18"/>
      <c r="F131" s="18"/>
      <c r="G131" s="18"/>
    </row>
    <row r="132" spans="1:7" ht="15.75" customHeight="1" x14ac:dyDescent="0.25">
      <c r="A132" s="5"/>
      <c r="B132" s="5"/>
      <c r="C132" s="18"/>
      <c r="D132" s="18"/>
      <c r="E132" s="18"/>
      <c r="F132" s="18"/>
      <c r="G132" s="18"/>
    </row>
    <row r="133" spans="1:7" ht="15.75" customHeight="1" x14ac:dyDescent="0.25">
      <c r="A133" s="5"/>
      <c r="B133" s="5"/>
      <c r="C133" s="18"/>
      <c r="D133" s="18"/>
      <c r="E133" s="18"/>
      <c r="F133" s="18"/>
      <c r="G133" s="18"/>
    </row>
    <row r="134" spans="1:7" ht="15.75" customHeight="1" x14ac:dyDescent="0.25">
      <c r="A134" s="5"/>
      <c r="B134" s="5"/>
      <c r="C134" s="18"/>
      <c r="D134" s="18"/>
      <c r="E134" s="18"/>
      <c r="F134" s="18"/>
      <c r="G134" s="18"/>
    </row>
    <row r="135" spans="1:7" ht="15.75" customHeight="1" x14ac:dyDescent="0.25">
      <c r="A135" s="5"/>
      <c r="B135" s="5"/>
      <c r="C135" s="18"/>
      <c r="D135" s="18"/>
      <c r="E135" s="18"/>
      <c r="F135" s="18"/>
      <c r="G135" s="18"/>
    </row>
    <row r="136" spans="1:7" ht="15.75" customHeight="1" x14ac:dyDescent="0.25">
      <c r="A136" s="5"/>
      <c r="B136" s="5"/>
      <c r="C136" s="18"/>
      <c r="D136" s="18"/>
      <c r="E136" s="18"/>
      <c r="F136" s="18"/>
      <c r="G136" s="18"/>
    </row>
    <row r="137" spans="1:7" ht="15.75" customHeight="1" x14ac:dyDescent="0.25">
      <c r="A137" s="5"/>
      <c r="B137" s="5"/>
      <c r="C137" s="18"/>
      <c r="D137" s="18"/>
      <c r="E137" s="18"/>
      <c r="F137" s="18"/>
      <c r="G137" s="18"/>
    </row>
    <row r="138" spans="1:7" ht="15.75" customHeight="1" x14ac:dyDescent="0.25">
      <c r="A138" s="5"/>
      <c r="B138" s="5"/>
      <c r="C138" s="18"/>
      <c r="D138" s="18"/>
      <c r="E138" s="18"/>
      <c r="F138" s="18"/>
      <c r="G138" s="18"/>
    </row>
    <row r="139" spans="1:7" ht="15.75" customHeight="1" x14ac:dyDescent="0.25">
      <c r="A139" s="5"/>
      <c r="B139" s="5"/>
      <c r="C139" s="18"/>
      <c r="D139" s="18"/>
      <c r="E139" s="18"/>
      <c r="F139" s="18"/>
      <c r="G139" s="18"/>
    </row>
    <row r="140" spans="1:7" ht="15.75" customHeight="1" x14ac:dyDescent="0.25">
      <c r="A140" s="5"/>
      <c r="B140" s="5"/>
      <c r="C140" s="18"/>
      <c r="D140" s="18"/>
      <c r="E140" s="18"/>
      <c r="F140" s="18"/>
      <c r="G140" s="18"/>
    </row>
    <row r="141" spans="1:7" ht="15.75" customHeight="1" x14ac:dyDescent="0.25">
      <c r="A141" s="5"/>
      <c r="B141" s="5"/>
      <c r="C141" s="18"/>
      <c r="D141" s="18"/>
      <c r="E141" s="18"/>
      <c r="F141" s="18"/>
      <c r="G141" s="18"/>
    </row>
    <row r="142" spans="1:7" ht="15.75" customHeight="1" x14ac:dyDescent="0.25">
      <c r="A142" s="5"/>
      <c r="B142" s="5"/>
      <c r="C142" s="18"/>
      <c r="D142" s="18"/>
      <c r="E142" s="18"/>
      <c r="F142" s="18"/>
      <c r="G142" s="18"/>
    </row>
    <row r="143" spans="1:7" ht="15.75" customHeight="1" x14ac:dyDescent="0.25">
      <c r="A143" s="5"/>
      <c r="B143" s="5"/>
      <c r="C143" s="18"/>
      <c r="D143" s="18"/>
      <c r="E143" s="18"/>
      <c r="F143" s="18"/>
      <c r="G143" s="18"/>
    </row>
    <row r="144" spans="1:7" ht="15.75" customHeight="1" x14ac:dyDescent="0.25">
      <c r="A144" s="5"/>
      <c r="B144" s="5"/>
      <c r="C144" s="18"/>
      <c r="D144" s="18"/>
      <c r="E144" s="18"/>
      <c r="F144" s="18"/>
      <c r="G144" s="18"/>
    </row>
    <row r="145" spans="1:7" ht="15.75" customHeight="1" x14ac:dyDescent="0.25">
      <c r="A145" s="5"/>
      <c r="B145" s="5"/>
      <c r="C145" s="18"/>
      <c r="D145" s="18"/>
      <c r="E145" s="18"/>
      <c r="F145" s="18"/>
      <c r="G145" s="18"/>
    </row>
    <row r="146" spans="1:7" ht="15.75" customHeight="1" x14ac:dyDescent="0.25">
      <c r="A146" s="5"/>
      <c r="B146" s="5"/>
      <c r="C146" s="18"/>
      <c r="D146" s="18"/>
      <c r="E146" s="18"/>
      <c r="F146" s="18"/>
      <c r="G146" s="18"/>
    </row>
    <row r="147" spans="1:7" ht="15.75" customHeight="1" x14ac:dyDescent="0.25">
      <c r="A147" s="5"/>
      <c r="B147" s="5"/>
      <c r="C147" s="18"/>
      <c r="D147" s="18"/>
      <c r="E147" s="18"/>
      <c r="F147" s="18"/>
      <c r="G147" s="18"/>
    </row>
    <row r="148" spans="1:7" ht="15.75" customHeight="1" x14ac:dyDescent="0.25">
      <c r="A148" s="5"/>
      <c r="B148" s="5"/>
      <c r="C148" s="18"/>
      <c r="D148" s="18"/>
      <c r="E148" s="18"/>
      <c r="F148" s="18"/>
      <c r="G148" s="18"/>
    </row>
    <row r="149" spans="1:7" ht="15.75" customHeight="1" x14ac:dyDescent="0.25">
      <c r="A149" s="5"/>
      <c r="B149" s="5"/>
      <c r="C149" s="18"/>
      <c r="D149" s="18"/>
      <c r="E149" s="18"/>
      <c r="F149" s="18"/>
      <c r="G149" s="18"/>
    </row>
    <row r="150" spans="1:7" ht="15.75" customHeight="1" x14ac:dyDescent="0.25">
      <c r="A150" s="5"/>
      <c r="B150" s="5"/>
      <c r="C150" s="18"/>
      <c r="D150" s="18"/>
      <c r="E150" s="18"/>
      <c r="F150" s="18"/>
      <c r="G150" s="18"/>
    </row>
    <row r="151" spans="1:7" ht="15.75" customHeight="1" x14ac:dyDescent="0.25">
      <c r="A151" s="5"/>
      <c r="B151" s="5"/>
      <c r="C151" s="18"/>
      <c r="D151" s="18"/>
      <c r="E151" s="18"/>
      <c r="F151" s="18"/>
      <c r="G151" s="18"/>
    </row>
    <row r="152" spans="1:7" ht="15.75" customHeight="1" x14ac:dyDescent="0.25">
      <c r="A152" s="5"/>
      <c r="B152" s="5"/>
      <c r="C152" s="18"/>
      <c r="D152" s="18"/>
      <c r="E152" s="18"/>
      <c r="F152" s="18"/>
      <c r="G152" s="18"/>
    </row>
    <row r="153" spans="1:7" ht="15.75" customHeight="1" x14ac:dyDescent="0.25">
      <c r="A153" s="5"/>
      <c r="B153" s="5"/>
      <c r="C153" s="18"/>
      <c r="D153" s="18"/>
      <c r="E153" s="18"/>
      <c r="F153" s="18"/>
      <c r="G153" s="18"/>
    </row>
    <row r="154" spans="1:7" ht="15.75" customHeight="1" x14ac:dyDescent="0.25">
      <c r="A154" s="5"/>
      <c r="B154" s="5"/>
      <c r="C154" s="18"/>
      <c r="D154" s="18"/>
      <c r="E154" s="18"/>
      <c r="F154" s="18"/>
      <c r="G154" s="18"/>
    </row>
    <row r="155" spans="1:7" ht="15.75" customHeight="1" x14ac:dyDescent="0.25">
      <c r="A155" s="5"/>
      <c r="B155" s="5"/>
      <c r="C155" s="18"/>
      <c r="D155" s="18"/>
      <c r="E155" s="18"/>
      <c r="F155" s="18"/>
      <c r="G155" s="18"/>
    </row>
    <row r="156" spans="1:7" ht="15.75" customHeight="1" x14ac:dyDescent="0.25">
      <c r="A156" s="5"/>
      <c r="B156" s="5"/>
      <c r="C156" s="18"/>
      <c r="D156" s="18"/>
      <c r="E156" s="18"/>
      <c r="F156" s="18"/>
      <c r="G156" s="18"/>
    </row>
    <row r="157" spans="1:7" ht="15.75" customHeight="1" x14ac:dyDescent="0.25">
      <c r="A157" s="5"/>
      <c r="B157" s="5"/>
      <c r="C157" s="18"/>
      <c r="D157" s="18"/>
      <c r="E157" s="18"/>
      <c r="F157" s="18"/>
      <c r="G157" s="18"/>
    </row>
    <row r="158" spans="1:7" ht="15.75" customHeight="1" x14ac:dyDescent="0.25">
      <c r="A158" s="5"/>
      <c r="B158" s="5"/>
      <c r="C158" s="18"/>
      <c r="D158" s="18"/>
      <c r="E158" s="18"/>
      <c r="F158" s="18"/>
      <c r="G158" s="18"/>
    </row>
    <row r="159" spans="1:7" ht="15.75" customHeight="1" x14ac:dyDescent="0.25">
      <c r="A159" s="5"/>
      <c r="B159" s="5"/>
      <c r="C159" s="18"/>
      <c r="D159" s="18"/>
      <c r="E159" s="18"/>
      <c r="F159" s="18"/>
      <c r="G159" s="18"/>
    </row>
    <row r="160" spans="1:7" ht="15.75" customHeight="1" x14ac:dyDescent="0.25">
      <c r="A160" s="5"/>
      <c r="B160" s="5"/>
      <c r="C160" s="18"/>
      <c r="D160" s="18"/>
      <c r="E160" s="18"/>
      <c r="F160" s="18"/>
      <c r="G160" s="18"/>
    </row>
    <row r="161" spans="1:7" ht="15.75" customHeight="1" x14ac:dyDescent="0.25">
      <c r="A161" s="5"/>
      <c r="B161" s="5"/>
      <c r="C161" s="18"/>
      <c r="D161" s="18"/>
      <c r="E161" s="18"/>
      <c r="F161" s="18"/>
      <c r="G161" s="18"/>
    </row>
    <row r="162" spans="1:7" ht="15.75" customHeight="1" x14ac:dyDescent="0.25">
      <c r="A162" s="5"/>
      <c r="B162" s="5"/>
      <c r="C162" s="18"/>
      <c r="D162" s="18"/>
      <c r="E162" s="18"/>
      <c r="F162" s="18"/>
      <c r="G162" s="18"/>
    </row>
    <row r="163" spans="1:7" ht="15.75" customHeight="1" x14ac:dyDescent="0.25">
      <c r="A163" s="5"/>
      <c r="B163" s="5"/>
      <c r="C163" s="18"/>
      <c r="D163" s="18"/>
      <c r="E163" s="18"/>
      <c r="F163" s="18"/>
      <c r="G163" s="18"/>
    </row>
    <row r="164" spans="1:7" ht="15.75" customHeight="1" x14ac:dyDescent="0.25">
      <c r="A164" s="5"/>
      <c r="B164" s="5"/>
      <c r="C164" s="18"/>
      <c r="D164" s="18"/>
      <c r="E164" s="18"/>
      <c r="F164" s="18"/>
      <c r="G164" s="18"/>
    </row>
    <row r="165" spans="1:7" ht="15.75" customHeight="1" x14ac:dyDescent="0.25">
      <c r="A165" s="5"/>
      <c r="B165" s="5"/>
      <c r="C165" s="18"/>
      <c r="D165" s="18"/>
      <c r="E165" s="18"/>
      <c r="F165" s="18"/>
      <c r="G165" s="18"/>
    </row>
    <row r="166" spans="1:7" ht="15.75" customHeight="1" x14ac:dyDescent="0.25">
      <c r="A166" s="5"/>
      <c r="B166" s="5"/>
      <c r="C166" s="18"/>
      <c r="D166" s="18"/>
      <c r="E166" s="18"/>
      <c r="F166" s="18"/>
      <c r="G166" s="18"/>
    </row>
    <row r="167" spans="1:7" ht="15.75" customHeight="1" x14ac:dyDescent="0.25">
      <c r="A167" s="5"/>
      <c r="B167" s="5"/>
      <c r="C167" s="18"/>
      <c r="D167" s="18"/>
      <c r="E167" s="18"/>
      <c r="F167" s="18"/>
      <c r="G167" s="18"/>
    </row>
    <row r="168" spans="1:7" ht="15.75" customHeight="1" x14ac:dyDescent="0.25">
      <c r="A168" s="5"/>
      <c r="B168" s="5"/>
      <c r="C168" s="18"/>
      <c r="D168" s="18"/>
      <c r="E168" s="18"/>
      <c r="F168" s="18"/>
      <c r="G168" s="18"/>
    </row>
    <row r="169" spans="1:7" ht="15.75" customHeight="1" x14ac:dyDescent="0.25">
      <c r="A169" s="5"/>
      <c r="B169" s="5"/>
      <c r="C169" s="18"/>
      <c r="D169" s="18"/>
      <c r="E169" s="18"/>
      <c r="F169" s="18"/>
      <c r="G169" s="18"/>
    </row>
    <row r="170" spans="1:7" ht="15.75" customHeight="1" x14ac:dyDescent="0.25">
      <c r="A170" s="5"/>
      <c r="B170" s="5"/>
      <c r="C170" s="18"/>
      <c r="D170" s="18"/>
      <c r="E170" s="18"/>
      <c r="F170" s="18"/>
      <c r="G170" s="18"/>
    </row>
    <row r="171" spans="1:7" ht="15.75" customHeight="1" x14ac:dyDescent="0.25">
      <c r="A171" s="5"/>
      <c r="B171" s="5"/>
      <c r="C171" s="18"/>
      <c r="D171" s="18"/>
      <c r="E171" s="18"/>
      <c r="F171" s="18"/>
      <c r="G171" s="18"/>
    </row>
    <row r="172" spans="1:7" ht="15.75" customHeight="1" x14ac:dyDescent="0.25">
      <c r="A172" s="5"/>
      <c r="B172" s="5"/>
      <c r="C172" s="18"/>
      <c r="D172" s="18"/>
      <c r="E172" s="18"/>
      <c r="F172" s="18"/>
      <c r="G172" s="18"/>
    </row>
    <row r="173" spans="1:7" ht="15.75" customHeight="1" x14ac:dyDescent="0.25">
      <c r="A173" s="5"/>
      <c r="B173" s="5"/>
      <c r="C173" s="18"/>
      <c r="D173" s="18"/>
      <c r="E173" s="18"/>
      <c r="F173" s="18"/>
      <c r="G173" s="18"/>
    </row>
    <row r="174" spans="1:7" ht="15.75" customHeight="1" x14ac:dyDescent="0.25">
      <c r="A174" s="5"/>
      <c r="B174" s="5"/>
      <c r="C174" s="18"/>
      <c r="D174" s="18"/>
      <c r="E174" s="18"/>
      <c r="F174" s="18"/>
      <c r="G174" s="18"/>
    </row>
    <row r="175" spans="1:7" ht="15.75" customHeight="1" x14ac:dyDescent="0.25">
      <c r="A175" s="5"/>
      <c r="B175" s="5"/>
      <c r="C175" s="18"/>
      <c r="D175" s="18"/>
      <c r="E175" s="18"/>
      <c r="F175" s="18"/>
      <c r="G175" s="18"/>
    </row>
    <row r="176" spans="1:7" ht="15.75" customHeight="1" x14ac:dyDescent="0.25">
      <c r="A176" s="5"/>
      <c r="B176" s="5"/>
      <c r="C176" s="18"/>
      <c r="D176" s="18"/>
      <c r="E176" s="18"/>
      <c r="F176" s="18"/>
      <c r="G176" s="18"/>
    </row>
    <row r="177" spans="1:7" ht="15.75" customHeight="1" x14ac:dyDescent="0.25">
      <c r="A177" s="5"/>
      <c r="B177" s="5"/>
      <c r="C177" s="18"/>
      <c r="D177" s="18"/>
      <c r="E177" s="18"/>
      <c r="F177" s="18"/>
      <c r="G177" s="18"/>
    </row>
    <row r="178" spans="1:7" ht="15.75" customHeight="1" x14ac:dyDescent="0.25">
      <c r="A178" s="5"/>
      <c r="B178" s="5"/>
      <c r="C178" s="18"/>
      <c r="D178" s="18"/>
      <c r="E178" s="18"/>
      <c r="F178" s="18"/>
      <c r="G178" s="18"/>
    </row>
    <row r="179" spans="1:7" ht="15.75" customHeight="1" x14ac:dyDescent="0.25">
      <c r="A179" s="5"/>
      <c r="B179" s="5"/>
      <c r="C179" s="18"/>
      <c r="D179" s="18"/>
      <c r="E179" s="18"/>
      <c r="F179" s="18"/>
      <c r="G179" s="18"/>
    </row>
    <row r="180" spans="1:7" ht="15.75" customHeight="1" x14ac:dyDescent="0.25">
      <c r="A180" s="5"/>
      <c r="B180" s="5"/>
      <c r="C180" s="18"/>
      <c r="D180" s="18"/>
      <c r="E180" s="18"/>
      <c r="F180" s="18"/>
      <c r="G180" s="18"/>
    </row>
    <row r="181" spans="1:7" ht="15.75" customHeight="1" x14ac:dyDescent="0.25">
      <c r="A181" s="5"/>
      <c r="B181" s="5"/>
      <c r="C181" s="18"/>
      <c r="D181" s="18"/>
      <c r="E181" s="18"/>
      <c r="F181" s="18"/>
      <c r="G181" s="18"/>
    </row>
    <row r="182" spans="1:7" ht="15.75" customHeight="1" x14ac:dyDescent="0.25">
      <c r="A182" s="5"/>
      <c r="B182" s="5"/>
      <c r="C182" s="18"/>
      <c r="D182" s="18"/>
      <c r="E182" s="18"/>
      <c r="F182" s="18"/>
      <c r="G182" s="18"/>
    </row>
    <row r="183" spans="1:7" ht="15.75" customHeight="1" x14ac:dyDescent="0.25">
      <c r="A183" s="5"/>
      <c r="B183" s="5"/>
      <c r="C183" s="18"/>
      <c r="D183" s="18"/>
      <c r="E183" s="18"/>
      <c r="F183" s="18"/>
      <c r="G183" s="18"/>
    </row>
    <row r="184" spans="1:7" ht="15.75" customHeight="1" x14ac:dyDescent="0.25">
      <c r="A184" s="5"/>
      <c r="B184" s="5"/>
      <c r="C184" s="18"/>
      <c r="D184" s="18"/>
      <c r="E184" s="18"/>
      <c r="F184" s="18"/>
      <c r="G184" s="18"/>
    </row>
    <row r="185" spans="1:7" ht="15.75" customHeight="1" x14ac:dyDescent="0.25">
      <c r="A185" s="5"/>
      <c r="B185" s="5"/>
      <c r="C185" s="18"/>
      <c r="D185" s="18"/>
      <c r="E185" s="18"/>
      <c r="F185" s="18"/>
      <c r="G185" s="18"/>
    </row>
    <row r="186" spans="1:7" ht="15.75" customHeight="1" x14ac:dyDescent="0.25">
      <c r="A186" s="5"/>
      <c r="B186" s="5"/>
      <c r="C186" s="18"/>
      <c r="D186" s="18"/>
      <c r="E186" s="18"/>
      <c r="F186" s="18"/>
      <c r="G186" s="18"/>
    </row>
    <row r="187" spans="1:7" ht="15.75" customHeight="1" x14ac:dyDescent="0.25">
      <c r="A187" s="5"/>
      <c r="B187" s="5"/>
      <c r="C187" s="18"/>
      <c r="D187" s="18"/>
      <c r="E187" s="18"/>
      <c r="F187" s="18"/>
      <c r="G187" s="18"/>
    </row>
    <row r="188" spans="1:7" ht="15.75" customHeight="1" x14ac:dyDescent="0.25">
      <c r="A188" s="5"/>
      <c r="B188" s="5"/>
      <c r="C188" s="18"/>
      <c r="D188" s="18"/>
      <c r="E188" s="18"/>
      <c r="F188" s="18"/>
      <c r="G188" s="18"/>
    </row>
    <row r="189" spans="1:7" ht="15.75" customHeight="1" x14ac:dyDescent="0.25">
      <c r="A189" s="5"/>
      <c r="B189" s="5"/>
      <c r="C189" s="18"/>
      <c r="D189" s="18"/>
      <c r="E189" s="18"/>
      <c r="F189" s="18"/>
      <c r="G189" s="18"/>
    </row>
    <row r="190" spans="1:7" ht="15.75" customHeight="1" x14ac:dyDescent="0.25">
      <c r="A190" s="5"/>
      <c r="B190" s="5"/>
      <c r="C190" s="18"/>
      <c r="D190" s="18"/>
      <c r="E190" s="18"/>
      <c r="F190" s="18"/>
      <c r="G190" s="18"/>
    </row>
    <row r="191" spans="1:7" ht="15.75" customHeight="1" x14ac:dyDescent="0.25">
      <c r="A191" s="5"/>
      <c r="B191" s="5"/>
      <c r="C191" s="18"/>
      <c r="D191" s="18"/>
      <c r="E191" s="18"/>
      <c r="F191" s="18"/>
      <c r="G191" s="18"/>
    </row>
    <row r="192" spans="1:7" ht="15.75" customHeight="1" x14ac:dyDescent="0.25">
      <c r="A192" s="5"/>
      <c r="B192" s="5"/>
      <c r="C192" s="18"/>
      <c r="D192" s="18"/>
      <c r="E192" s="18"/>
      <c r="F192" s="18"/>
      <c r="G192" s="18"/>
    </row>
    <row r="193" spans="1:7" ht="15.75" customHeight="1" x14ac:dyDescent="0.25">
      <c r="A193" s="5"/>
      <c r="B193" s="5"/>
      <c r="C193" s="18"/>
      <c r="D193" s="18"/>
      <c r="E193" s="18"/>
      <c r="F193" s="18"/>
      <c r="G193" s="18"/>
    </row>
    <row r="194" spans="1:7" ht="15.75" customHeight="1" x14ac:dyDescent="0.25">
      <c r="A194" s="5"/>
      <c r="B194" s="5"/>
      <c r="C194" s="18"/>
      <c r="D194" s="18"/>
      <c r="E194" s="18"/>
      <c r="F194" s="18"/>
      <c r="G194" s="18"/>
    </row>
    <row r="195" spans="1:7" ht="15.75" customHeight="1" x14ac:dyDescent="0.25">
      <c r="A195" s="5"/>
      <c r="B195" s="5"/>
      <c r="C195" s="18"/>
      <c r="D195" s="18"/>
      <c r="E195" s="18"/>
      <c r="F195" s="18"/>
      <c r="G195" s="18"/>
    </row>
    <row r="196" spans="1:7" ht="15.75" customHeight="1" x14ac:dyDescent="0.25">
      <c r="A196" s="5"/>
      <c r="B196" s="5"/>
      <c r="C196" s="18"/>
      <c r="D196" s="18"/>
      <c r="E196" s="18"/>
      <c r="F196" s="18"/>
      <c r="G196" s="18"/>
    </row>
    <row r="197" spans="1:7" ht="15.75" customHeight="1" x14ac:dyDescent="0.25">
      <c r="A197" s="5"/>
      <c r="B197" s="5"/>
      <c r="C197" s="18"/>
      <c r="D197" s="18"/>
      <c r="E197" s="18"/>
      <c r="F197" s="18"/>
      <c r="G197" s="18"/>
    </row>
    <row r="198" spans="1:7" ht="15.75" customHeight="1" x14ac:dyDescent="0.25">
      <c r="A198" s="5"/>
      <c r="B198" s="5"/>
      <c r="C198" s="18"/>
      <c r="D198" s="18"/>
      <c r="E198" s="18"/>
      <c r="F198" s="18"/>
      <c r="G198" s="18"/>
    </row>
    <row r="199" spans="1:7" ht="15.75" customHeight="1" x14ac:dyDescent="0.25">
      <c r="A199" s="5"/>
      <c r="B199" s="5"/>
      <c r="C199" s="18"/>
      <c r="D199" s="18"/>
      <c r="E199" s="18"/>
      <c r="F199" s="18"/>
      <c r="G199" s="18"/>
    </row>
    <row r="200" spans="1:7" ht="15.75" customHeight="1" x14ac:dyDescent="0.25">
      <c r="A200" s="5"/>
      <c r="B200" s="5"/>
      <c r="C200" s="18"/>
      <c r="D200" s="18"/>
      <c r="E200" s="18"/>
      <c r="F200" s="18"/>
      <c r="G200" s="18"/>
    </row>
    <row r="201" spans="1:7" ht="15.75" customHeight="1" x14ac:dyDescent="0.25">
      <c r="A201" s="5"/>
      <c r="B201" s="5"/>
      <c r="C201" s="18"/>
      <c r="D201" s="18"/>
      <c r="E201" s="18"/>
      <c r="F201" s="18"/>
      <c r="G201" s="18"/>
    </row>
    <row r="202" spans="1:7" ht="15.75" customHeight="1" x14ac:dyDescent="0.25">
      <c r="A202" s="5"/>
      <c r="B202" s="5"/>
      <c r="C202" s="18"/>
      <c r="D202" s="18"/>
      <c r="E202" s="18"/>
      <c r="F202" s="18"/>
      <c r="G202" s="18"/>
    </row>
    <row r="203" spans="1:7" ht="15.75" customHeight="1" x14ac:dyDescent="0.25">
      <c r="A203" s="5"/>
      <c r="B203" s="5"/>
      <c r="C203" s="18"/>
      <c r="D203" s="18"/>
      <c r="E203" s="18"/>
      <c r="F203" s="18"/>
      <c r="G203" s="18"/>
    </row>
    <row r="204" spans="1:7" ht="15.75" customHeight="1" x14ac:dyDescent="0.25">
      <c r="A204" s="5"/>
      <c r="B204" s="5"/>
      <c r="C204" s="18"/>
      <c r="D204" s="18"/>
      <c r="E204" s="18"/>
      <c r="F204" s="18"/>
      <c r="G204" s="18"/>
    </row>
    <row r="205" spans="1:7" ht="15.75" customHeight="1" x14ac:dyDescent="0.25">
      <c r="A205" s="5"/>
      <c r="B205" s="5"/>
      <c r="C205" s="18"/>
      <c r="D205" s="18"/>
      <c r="E205" s="18"/>
      <c r="F205" s="18"/>
      <c r="G205" s="18"/>
    </row>
    <row r="206" spans="1:7" ht="15.75" customHeight="1" x14ac:dyDescent="0.25">
      <c r="A206" s="5"/>
      <c r="B206" s="5"/>
      <c r="C206" s="18"/>
      <c r="D206" s="18"/>
      <c r="E206" s="18"/>
      <c r="F206" s="18"/>
      <c r="G206" s="18"/>
    </row>
    <row r="207" spans="1:7" ht="15.75" customHeight="1" x14ac:dyDescent="0.25">
      <c r="A207" s="5"/>
      <c r="B207" s="5"/>
      <c r="C207" s="18"/>
      <c r="D207" s="18"/>
      <c r="E207" s="18"/>
      <c r="F207" s="18"/>
      <c r="G207" s="18"/>
    </row>
    <row r="208" spans="1:7" ht="15.75" customHeight="1" x14ac:dyDescent="0.25">
      <c r="A208" s="5"/>
      <c r="B208" s="5"/>
      <c r="C208" s="18"/>
      <c r="D208" s="18"/>
      <c r="E208" s="18"/>
      <c r="F208" s="18"/>
      <c r="G208" s="18"/>
    </row>
    <row r="209" spans="1:7" ht="15.75" customHeight="1" x14ac:dyDescent="0.25">
      <c r="A209" s="5"/>
      <c r="B209" s="5"/>
      <c r="C209" s="18"/>
      <c r="D209" s="18"/>
      <c r="E209" s="18"/>
      <c r="F209" s="18"/>
      <c r="G209" s="18"/>
    </row>
    <row r="210" spans="1:7" ht="15.75" customHeight="1" x14ac:dyDescent="0.25">
      <c r="A210" s="5"/>
      <c r="B210" s="5"/>
      <c r="C210" s="18"/>
      <c r="D210" s="18"/>
      <c r="E210" s="18"/>
      <c r="F210" s="18"/>
      <c r="G210" s="18"/>
    </row>
    <row r="211" spans="1:7" ht="15.75" customHeight="1" x14ac:dyDescent="0.25">
      <c r="A211" s="5"/>
      <c r="B211" s="5"/>
      <c r="C211" s="18"/>
      <c r="D211" s="18"/>
      <c r="E211" s="18"/>
      <c r="F211" s="18"/>
      <c r="G211" s="18"/>
    </row>
    <row r="212" spans="1:7" ht="15.75" customHeight="1" x14ac:dyDescent="0.25">
      <c r="A212" s="5"/>
      <c r="B212" s="5"/>
      <c r="C212" s="18"/>
      <c r="D212" s="18"/>
      <c r="E212" s="18"/>
      <c r="F212" s="18"/>
      <c r="G212" s="18"/>
    </row>
    <row r="213" spans="1:7" ht="15.75" customHeight="1" x14ac:dyDescent="0.25">
      <c r="A213" s="5"/>
      <c r="B213" s="5"/>
      <c r="C213" s="18"/>
      <c r="D213" s="18"/>
      <c r="E213" s="18"/>
      <c r="F213" s="18"/>
      <c r="G213" s="18"/>
    </row>
    <row r="214" spans="1:7" ht="15.75" customHeight="1" x14ac:dyDescent="0.25">
      <c r="A214" s="5"/>
      <c r="B214" s="5"/>
      <c r="C214" s="18"/>
      <c r="D214" s="18"/>
      <c r="E214" s="18"/>
      <c r="F214" s="18"/>
      <c r="G214" s="18"/>
    </row>
    <row r="215" spans="1:7" ht="15.75" customHeight="1" x14ac:dyDescent="0.25">
      <c r="A215" s="5"/>
      <c r="B215" s="5"/>
      <c r="C215" s="18"/>
      <c r="D215" s="18"/>
      <c r="E215" s="18"/>
      <c r="F215" s="18"/>
      <c r="G215" s="18"/>
    </row>
    <row r="216" spans="1:7" ht="15.75" customHeight="1" x14ac:dyDescent="0.25">
      <c r="A216" s="5"/>
      <c r="B216" s="5"/>
      <c r="C216" s="18"/>
      <c r="D216" s="18"/>
      <c r="E216" s="18"/>
      <c r="F216" s="18"/>
      <c r="G216" s="18"/>
    </row>
    <row r="217" spans="1:7" ht="15.75" customHeight="1" x14ac:dyDescent="0.25">
      <c r="A217" s="5"/>
      <c r="B217" s="5"/>
      <c r="C217" s="18"/>
      <c r="D217" s="18"/>
      <c r="E217" s="18"/>
      <c r="F217" s="18"/>
      <c r="G217" s="18"/>
    </row>
    <row r="218" spans="1:7" ht="15.75" customHeight="1" x14ac:dyDescent="0.25">
      <c r="A218" s="5"/>
      <c r="B218" s="5"/>
      <c r="C218" s="18"/>
      <c r="D218" s="18"/>
      <c r="E218" s="18"/>
      <c r="F218" s="18"/>
      <c r="G218" s="18"/>
    </row>
    <row r="219" spans="1:7" ht="15.75" customHeight="1" x14ac:dyDescent="0.25">
      <c r="A219" s="5"/>
      <c r="B219" s="5"/>
      <c r="C219" s="18"/>
      <c r="D219" s="18"/>
      <c r="E219" s="18"/>
      <c r="F219" s="18"/>
      <c r="G219" s="18"/>
    </row>
    <row r="220" spans="1:7" ht="15.75" customHeight="1" x14ac:dyDescent="0.25">
      <c r="A220" s="5"/>
      <c r="B220" s="5"/>
      <c r="C220" s="18"/>
      <c r="D220" s="18"/>
      <c r="E220" s="18"/>
      <c r="F220" s="18"/>
      <c r="G220" s="18"/>
    </row>
    <row r="221" spans="1:7" ht="15.75" customHeight="1" x14ac:dyDescent="0.25">
      <c r="A221" s="5"/>
      <c r="B221" s="5"/>
      <c r="C221" s="18"/>
      <c r="D221" s="18"/>
      <c r="E221" s="18"/>
      <c r="F221" s="18"/>
      <c r="G221" s="18"/>
    </row>
    <row r="222" spans="1:7" ht="15.75" customHeight="1" x14ac:dyDescent="0.25">
      <c r="A222" s="5"/>
      <c r="B222" s="5"/>
      <c r="C222" s="18"/>
      <c r="D222" s="18"/>
      <c r="E222" s="18"/>
      <c r="F222" s="18"/>
      <c r="G222" s="18"/>
    </row>
    <row r="223" spans="1:7" ht="15.75" customHeight="1" x14ac:dyDescent="0.25">
      <c r="A223" s="5"/>
      <c r="B223" s="5"/>
      <c r="C223" s="18"/>
      <c r="D223" s="18"/>
      <c r="E223" s="18"/>
      <c r="F223" s="18"/>
      <c r="G223" s="18"/>
    </row>
    <row r="224" spans="1:7" ht="15.75" customHeight="1" x14ac:dyDescent="0.25">
      <c r="A224" s="5"/>
      <c r="B224" s="5"/>
      <c r="C224" s="18"/>
      <c r="D224" s="18"/>
      <c r="E224" s="18"/>
      <c r="F224" s="18"/>
      <c r="G224" s="18"/>
    </row>
    <row r="225" spans="1:7" ht="15.75" customHeight="1" x14ac:dyDescent="0.25">
      <c r="A225" s="5"/>
      <c r="B225" s="5"/>
      <c r="C225" s="18"/>
      <c r="D225" s="18"/>
      <c r="E225" s="18"/>
      <c r="F225" s="18"/>
      <c r="G225" s="18"/>
    </row>
    <row r="226" spans="1:7" ht="15.75" customHeight="1" x14ac:dyDescent="0.25">
      <c r="A226" s="5"/>
      <c r="B226" s="5"/>
      <c r="C226" s="18"/>
      <c r="D226" s="18"/>
      <c r="E226" s="18"/>
      <c r="F226" s="18"/>
      <c r="G226" s="18"/>
    </row>
    <row r="227" spans="1:7" ht="15.75" customHeight="1" x14ac:dyDescent="0.25">
      <c r="A227" s="5"/>
      <c r="B227" s="5"/>
      <c r="C227" s="18"/>
      <c r="D227" s="18"/>
      <c r="E227" s="18"/>
      <c r="F227" s="18"/>
      <c r="G227" s="18"/>
    </row>
    <row r="228" spans="1:7" ht="15.75" customHeight="1" x14ac:dyDescent="0.25">
      <c r="A228" s="5"/>
      <c r="B228" s="5"/>
      <c r="C228" s="18"/>
      <c r="D228" s="18"/>
      <c r="E228" s="18"/>
      <c r="F228" s="18"/>
      <c r="G228" s="18"/>
    </row>
    <row r="229" spans="1:7" ht="15.75" customHeight="1" x14ac:dyDescent="0.25">
      <c r="A229" s="5"/>
      <c r="B229" s="5"/>
      <c r="C229" s="18"/>
      <c r="D229" s="18"/>
      <c r="E229" s="18"/>
      <c r="F229" s="18"/>
      <c r="G229" s="18"/>
    </row>
    <row r="230" spans="1:7" ht="15.75" customHeight="1" x14ac:dyDescent="0.25">
      <c r="A230" s="5"/>
      <c r="B230" s="5"/>
      <c r="C230" s="18"/>
      <c r="D230" s="18"/>
      <c r="E230" s="18"/>
      <c r="F230" s="18"/>
      <c r="G230" s="18"/>
    </row>
    <row r="231" spans="1:7" ht="15.75" customHeight="1" x14ac:dyDescent="0.25">
      <c r="A231" s="5"/>
      <c r="B231" s="5"/>
      <c r="C231" s="18"/>
      <c r="D231" s="18"/>
      <c r="E231" s="18"/>
      <c r="F231" s="18"/>
      <c r="G231" s="18"/>
    </row>
    <row r="232" spans="1:7" ht="15.75" customHeight="1" x14ac:dyDescent="0.25">
      <c r="A232" s="5"/>
      <c r="B232" s="5"/>
      <c r="C232" s="18"/>
      <c r="D232" s="18"/>
      <c r="E232" s="18"/>
      <c r="F232" s="18"/>
      <c r="G232" s="18"/>
    </row>
    <row r="233" spans="1:7" ht="15.75" customHeight="1" x14ac:dyDescent="0.25">
      <c r="A233" s="5"/>
      <c r="B233" s="5"/>
      <c r="C233" s="18"/>
      <c r="D233" s="18"/>
      <c r="E233" s="18"/>
      <c r="F233" s="18"/>
      <c r="G233" s="18"/>
    </row>
    <row r="234" spans="1:7" ht="15.75" customHeight="1" x14ac:dyDescent="0.25">
      <c r="A234" s="5"/>
      <c r="B234" s="5"/>
      <c r="C234" s="18"/>
      <c r="D234" s="18"/>
      <c r="E234" s="18"/>
      <c r="F234" s="18"/>
      <c r="G234" s="18"/>
    </row>
    <row r="235" spans="1:7" ht="15.75" customHeight="1" x14ac:dyDescent="0.25">
      <c r="A235" s="5"/>
      <c r="B235" s="5"/>
      <c r="C235" s="18"/>
      <c r="D235" s="18"/>
      <c r="E235" s="18"/>
      <c r="F235" s="18"/>
      <c r="G235" s="18"/>
    </row>
    <row r="236" spans="1:7" ht="15.75" customHeight="1" x14ac:dyDescent="0.25">
      <c r="A236" s="5"/>
      <c r="B236" s="5"/>
      <c r="C236" s="18"/>
      <c r="D236" s="18"/>
      <c r="E236" s="18"/>
      <c r="F236" s="18"/>
      <c r="G236" s="18"/>
    </row>
    <row r="237" spans="1:7" ht="15.75" customHeight="1" x14ac:dyDescent="0.25">
      <c r="A237" s="5"/>
      <c r="B237" s="5"/>
      <c r="C237" s="18"/>
      <c r="D237" s="18"/>
      <c r="E237" s="18"/>
      <c r="F237" s="18"/>
      <c r="G237" s="18"/>
    </row>
    <row r="238" spans="1:7" ht="15.75" customHeight="1" x14ac:dyDescent="0.25">
      <c r="A238" s="5"/>
      <c r="B238" s="5"/>
      <c r="C238" s="18"/>
      <c r="D238" s="18"/>
      <c r="E238" s="18"/>
      <c r="F238" s="18"/>
      <c r="G238" s="18"/>
    </row>
    <row r="239" spans="1:7" ht="15.75" customHeight="1" x14ac:dyDescent="0.25">
      <c r="A239" s="5"/>
      <c r="B239" s="5"/>
      <c r="C239" s="18"/>
      <c r="D239" s="18"/>
      <c r="E239" s="18"/>
      <c r="F239" s="18"/>
      <c r="G239" s="18"/>
    </row>
    <row r="240" spans="1:7" ht="15.75" customHeight="1" x14ac:dyDescent="0.25">
      <c r="A240" s="5"/>
      <c r="B240" s="5"/>
      <c r="C240" s="18"/>
      <c r="D240" s="18"/>
      <c r="E240" s="18"/>
      <c r="F240" s="18"/>
      <c r="G240" s="18"/>
    </row>
    <row r="241" spans="1:7" ht="15.75" customHeight="1" x14ac:dyDescent="0.25">
      <c r="A241" s="5"/>
      <c r="B241" s="5"/>
      <c r="C241" s="18"/>
      <c r="D241" s="18"/>
      <c r="E241" s="18"/>
      <c r="F241" s="18"/>
      <c r="G241" s="18"/>
    </row>
    <row r="242" spans="1:7" ht="15.75" customHeight="1" x14ac:dyDescent="0.25">
      <c r="A242" s="5"/>
      <c r="B242" s="5"/>
      <c r="C242" s="18"/>
      <c r="D242" s="18"/>
      <c r="E242" s="18"/>
      <c r="F242" s="18"/>
      <c r="G242" s="18"/>
    </row>
    <row r="243" spans="1:7" ht="15.75" customHeight="1" x14ac:dyDescent="0.25">
      <c r="A243" s="5"/>
      <c r="B243" s="5"/>
      <c r="C243" s="18"/>
      <c r="D243" s="18"/>
      <c r="E243" s="18"/>
      <c r="F243" s="18"/>
      <c r="G243" s="18"/>
    </row>
    <row r="244" spans="1:7" ht="15.75" customHeight="1" x14ac:dyDescent="0.25">
      <c r="A244" s="5"/>
      <c r="B244" s="5"/>
      <c r="C244" s="18"/>
      <c r="D244" s="18"/>
      <c r="E244" s="18"/>
      <c r="F244" s="18"/>
      <c r="G244" s="18"/>
    </row>
    <row r="245" spans="1:7" ht="15.75" customHeight="1" x14ac:dyDescent="0.25">
      <c r="A245" s="5"/>
      <c r="B245" s="5"/>
      <c r="C245" s="18"/>
      <c r="D245" s="18"/>
      <c r="E245" s="18"/>
      <c r="F245" s="18"/>
      <c r="G245" s="18"/>
    </row>
    <row r="246" spans="1:7" ht="15.75" customHeight="1" x14ac:dyDescent="0.25">
      <c r="A246" s="5"/>
      <c r="B246" s="5"/>
      <c r="C246" s="18"/>
      <c r="D246" s="18"/>
      <c r="E246" s="18"/>
      <c r="F246" s="18"/>
      <c r="G246" s="18"/>
    </row>
    <row r="247" spans="1:7" ht="15.75" customHeight="1" x14ac:dyDescent="0.25">
      <c r="A247" s="5"/>
      <c r="B247" s="5"/>
      <c r="C247" s="18"/>
      <c r="D247" s="18"/>
      <c r="E247" s="18"/>
      <c r="F247" s="18"/>
      <c r="G247" s="18"/>
    </row>
    <row r="248" spans="1:7" ht="15.75" customHeight="1" x14ac:dyDescent="0.25">
      <c r="A248" s="5"/>
      <c r="B248" s="5"/>
      <c r="C248" s="18"/>
      <c r="D248" s="18"/>
      <c r="E248" s="18"/>
      <c r="F248" s="18"/>
      <c r="G248" s="18"/>
    </row>
    <row r="249" spans="1:7" ht="15.75" customHeight="1" x14ac:dyDescent="0.25">
      <c r="A249" s="5"/>
      <c r="B249" s="5"/>
      <c r="C249" s="18"/>
      <c r="D249" s="18"/>
      <c r="E249" s="18"/>
      <c r="F249" s="18"/>
      <c r="G249" s="18"/>
    </row>
    <row r="250" spans="1:7" ht="15.75" customHeight="1" x14ac:dyDescent="0.25">
      <c r="A250" s="5"/>
      <c r="B250" s="5"/>
      <c r="C250" s="18"/>
      <c r="D250" s="18"/>
      <c r="E250" s="18"/>
      <c r="F250" s="18"/>
      <c r="G250" s="18"/>
    </row>
    <row r="251" spans="1:7" ht="15.75" customHeight="1" x14ac:dyDescent="0.25">
      <c r="A251" s="5"/>
      <c r="B251" s="5"/>
      <c r="C251" s="18"/>
      <c r="D251" s="18"/>
      <c r="E251" s="18"/>
      <c r="F251" s="18"/>
      <c r="G251" s="18"/>
    </row>
    <row r="252" spans="1:7" ht="15.75" customHeight="1" x14ac:dyDescent="0.25">
      <c r="A252" s="5"/>
      <c r="B252" s="5"/>
      <c r="C252" s="18"/>
      <c r="D252" s="18"/>
      <c r="E252" s="18"/>
      <c r="F252" s="18"/>
      <c r="G252" s="18"/>
    </row>
    <row r="253" spans="1:7" ht="15.75" customHeight="1" x14ac:dyDescent="0.25">
      <c r="A253" s="5"/>
      <c r="B253" s="5"/>
      <c r="C253" s="18"/>
      <c r="D253" s="18"/>
      <c r="E253" s="18"/>
      <c r="F253" s="18"/>
      <c r="G253" s="18"/>
    </row>
    <row r="254" spans="1:7" ht="15.75" customHeight="1" x14ac:dyDescent="0.25">
      <c r="A254" s="5"/>
      <c r="B254" s="5"/>
      <c r="C254" s="18"/>
      <c r="D254" s="18"/>
      <c r="E254" s="18"/>
      <c r="F254" s="18"/>
      <c r="G254" s="18"/>
    </row>
    <row r="255" spans="1:7" ht="15.75" customHeight="1" x14ac:dyDescent="0.25">
      <c r="A255" s="5"/>
      <c r="B255" s="5"/>
      <c r="C255" s="18"/>
      <c r="D255" s="18"/>
      <c r="E255" s="18"/>
      <c r="F255" s="18"/>
      <c r="G255" s="18"/>
    </row>
    <row r="256" spans="1:7" ht="15.75" customHeight="1" x14ac:dyDescent="0.25">
      <c r="A256" s="5"/>
      <c r="B256" s="5"/>
      <c r="C256" s="18"/>
      <c r="D256" s="18"/>
      <c r="E256" s="18"/>
      <c r="F256" s="18"/>
      <c r="G256" s="18"/>
    </row>
    <row r="257" spans="1:7" ht="15.75" customHeight="1" x14ac:dyDescent="0.25">
      <c r="A257" s="5"/>
      <c r="B257" s="5"/>
      <c r="C257" s="18"/>
      <c r="D257" s="18"/>
      <c r="E257" s="18"/>
      <c r="F257" s="18"/>
      <c r="G257" s="18"/>
    </row>
    <row r="258" spans="1:7" ht="15.75" customHeight="1" x14ac:dyDescent="0.25">
      <c r="A258" s="5"/>
      <c r="B258" s="5"/>
      <c r="C258" s="18"/>
      <c r="D258" s="18"/>
      <c r="E258" s="18"/>
      <c r="F258" s="18"/>
      <c r="G258" s="18"/>
    </row>
    <row r="259" spans="1:7" ht="15.75" customHeight="1" x14ac:dyDescent="0.25">
      <c r="A259" s="5"/>
      <c r="B259" s="5"/>
      <c r="C259" s="18"/>
      <c r="D259" s="18"/>
      <c r="E259" s="18"/>
      <c r="F259" s="18"/>
      <c r="G259" s="18"/>
    </row>
    <row r="260" spans="1:7" ht="15.75" customHeight="1" x14ac:dyDescent="0.25">
      <c r="A260" s="5"/>
      <c r="B260" s="5"/>
      <c r="C260" s="18"/>
      <c r="D260" s="18"/>
      <c r="E260" s="18"/>
      <c r="F260" s="18"/>
      <c r="G260" s="18"/>
    </row>
    <row r="261" spans="1:7" ht="15.75" customHeight="1" x14ac:dyDescent="0.25">
      <c r="A261" s="5"/>
      <c r="B261" s="5"/>
      <c r="C261" s="18"/>
      <c r="D261" s="18"/>
      <c r="E261" s="18"/>
      <c r="F261" s="18"/>
      <c r="G261" s="18"/>
    </row>
    <row r="262" spans="1:7" ht="15.75" customHeight="1" x14ac:dyDescent="0.25">
      <c r="A262" s="5"/>
      <c r="B262" s="5"/>
      <c r="C262" s="18"/>
      <c r="D262" s="18"/>
      <c r="E262" s="18"/>
      <c r="F262" s="18"/>
      <c r="G262" s="18"/>
    </row>
    <row r="263" spans="1:7" ht="15.75" customHeight="1" x14ac:dyDescent="0.25">
      <c r="A263" s="5"/>
      <c r="B263" s="5"/>
      <c r="C263" s="18"/>
      <c r="D263" s="18"/>
      <c r="E263" s="18"/>
      <c r="F263" s="18"/>
      <c r="G263" s="18"/>
    </row>
    <row r="264" spans="1:7" ht="15.75" customHeight="1" x14ac:dyDescent="0.25">
      <c r="A264" s="5"/>
      <c r="B264" s="5"/>
      <c r="C264" s="18"/>
      <c r="D264" s="18"/>
      <c r="E264" s="18"/>
      <c r="F264" s="18"/>
      <c r="G264" s="18"/>
    </row>
    <row r="265" spans="1:7" ht="15.75" customHeight="1" x14ac:dyDescent="0.25">
      <c r="A265" s="5"/>
      <c r="B265" s="5"/>
      <c r="C265" s="18"/>
      <c r="D265" s="18"/>
      <c r="E265" s="18"/>
      <c r="F265" s="18"/>
      <c r="G265" s="18"/>
    </row>
    <row r="266" spans="1:7" ht="15.75" customHeight="1" x14ac:dyDescent="0.25">
      <c r="A266" s="5"/>
      <c r="B266" s="5"/>
      <c r="C266" s="18"/>
      <c r="D266" s="18"/>
      <c r="E266" s="18"/>
      <c r="F266" s="18"/>
      <c r="G266" s="18"/>
    </row>
    <row r="267" spans="1:7" ht="15.75" customHeight="1" x14ac:dyDescent="0.25">
      <c r="A267" s="5"/>
      <c r="B267" s="5"/>
      <c r="C267" s="18"/>
      <c r="D267" s="18"/>
      <c r="E267" s="18"/>
      <c r="F267" s="18"/>
      <c r="G267" s="18"/>
    </row>
    <row r="268" spans="1:7" ht="15.75" customHeight="1" x14ac:dyDescent="0.25">
      <c r="A268" s="5"/>
      <c r="B268" s="5"/>
      <c r="C268" s="18"/>
      <c r="D268" s="18"/>
      <c r="E268" s="18"/>
      <c r="F268" s="18"/>
      <c r="G268" s="18"/>
    </row>
    <row r="269" spans="1:7" ht="15.75" customHeight="1" x14ac:dyDescent="0.25">
      <c r="A269" s="5"/>
      <c r="B269" s="5"/>
      <c r="C269" s="18"/>
      <c r="D269" s="18"/>
      <c r="E269" s="18"/>
      <c r="F269" s="18"/>
      <c r="G269" s="18"/>
    </row>
    <row r="270" spans="1:7" ht="15.75" customHeight="1" x14ac:dyDescent="0.25">
      <c r="A270" s="5"/>
      <c r="B270" s="5"/>
      <c r="C270" s="18"/>
      <c r="D270" s="18"/>
      <c r="E270" s="18"/>
      <c r="F270" s="18"/>
      <c r="G270" s="18"/>
    </row>
    <row r="271" spans="1:7" ht="15.75" customHeight="1" x14ac:dyDescent="0.25">
      <c r="A271" s="5"/>
      <c r="B271" s="5"/>
      <c r="C271" s="18"/>
      <c r="D271" s="18"/>
      <c r="E271" s="18"/>
      <c r="F271" s="18"/>
      <c r="G271" s="18"/>
    </row>
    <row r="272" spans="1:7" ht="15.75" customHeight="1" x14ac:dyDescent="0.25">
      <c r="A272" s="5"/>
      <c r="B272" s="5"/>
      <c r="C272" s="18"/>
      <c r="D272" s="18"/>
      <c r="E272" s="18"/>
      <c r="F272" s="18"/>
      <c r="G272" s="18"/>
    </row>
    <row r="273" spans="1:7" ht="15.75" customHeight="1" x14ac:dyDescent="0.25">
      <c r="A273" s="5"/>
      <c r="B273" s="5"/>
      <c r="C273" s="18"/>
      <c r="D273" s="18"/>
      <c r="E273" s="18"/>
      <c r="F273" s="18"/>
      <c r="G273" s="18"/>
    </row>
    <row r="274" spans="1:7" ht="15.75" customHeight="1" x14ac:dyDescent="0.25">
      <c r="A274" s="5"/>
      <c r="B274" s="5"/>
      <c r="C274" s="18"/>
      <c r="D274" s="18"/>
      <c r="E274" s="18"/>
      <c r="F274" s="18"/>
      <c r="G274" s="18"/>
    </row>
    <row r="275" spans="1:7" ht="15.75" customHeight="1" x14ac:dyDescent="0.25">
      <c r="A275" s="5"/>
      <c r="B275" s="5"/>
      <c r="C275" s="18"/>
      <c r="D275" s="18"/>
      <c r="E275" s="18"/>
      <c r="F275" s="18"/>
      <c r="G275" s="18"/>
    </row>
    <row r="276" spans="1:7" ht="15.75" customHeight="1" x14ac:dyDescent="0.25">
      <c r="A276" s="5"/>
      <c r="B276" s="5"/>
      <c r="C276" s="18"/>
      <c r="D276" s="18"/>
      <c r="E276" s="18"/>
      <c r="F276" s="18"/>
      <c r="G276" s="18"/>
    </row>
    <row r="277" spans="1:7" ht="15.75" customHeight="1" x14ac:dyDescent="0.25">
      <c r="A277" s="5"/>
      <c r="B277" s="5"/>
      <c r="C277" s="18"/>
      <c r="D277" s="18"/>
      <c r="E277" s="18"/>
      <c r="F277" s="18"/>
      <c r="G277" s="18"/>
    </row>
    <row r="278" spans="1:7" ht="15.75" customHeight="1" x14ac:dyDescent="0.25">
      <c r="A278" s="5"/>
      <c r="B278" s="5"/>
      <c r="C278" s="18"/>
      <c r="D278" s="18"/>
      <c r="E278" s="18"/>
      <c r="F278" s="18"/>
      <c r="G278" s="18"/>
    </row>
    <row r="279" spans="1:7" ht="15.75" customHeight="1" x14ac:dyDescent="0.25">
      <c r="A279" s="5"/>
      <c r="B279" s="5"/>
      <c r="C279" s="18"/>
      <c r="D279" s="18"/>
      <c r="E279" s="18"/>
      <c r="F279" s="18"/>
      <c r="G279" s="18"/>
    </row>
    <row r="280" spans="1:7" ht="15.75" customHeight="1" x14ac:dyDescent="0.25">
      <c r="A280" s="5"/>
      <c r="B280" s="5"/>
      <c r="C280" s="18"/>
      <c r="D280" s="18"/>
      <c r="E280" s="18"/>
      <c r="F280" s="18"/>
      <c r="G280" s="18"/>
    </row>
    <row r="281" spans="1:7" ht="15.75" customHeight="1" x14ac:dyDescent="0.25">
      <c r="A281" s="5"/>
      <c r="B281" s="5"/>
      <c r="C281" s="18"/>
      <c r="D281" s="18"/>
      <c r="E281" s="18"/>
      <c r="F281" s="18"/>
      <c r="G281" s="18"/>
    </row>
    <row r="282" spans="1:7" ht="15.75" customHeight="1" x14ac:dyDescent="0.25">
      <c r="A282" s="5"/>
      <c r="B282" s="5"/>
      <c r="C282" s="18"/>
      <c r="D282" s="18"/>
      <c r="E282" s="18"/>
      <c r="F282" s="18"/>
      <c r="G282" s="18"/>
    </row>
    <row r="283" spans="1:7" ht="15.75" customHeight="1" x14ac:dyDescent="0.25">
      <c r="A283" s="5"/>
      <c r="B283" s="5"/>
      <c r="C283" s="18"/>
      <c r="D283" s="18"/>
      <c r="E283" s="18"/>
      <c r="F283" s="18"/>
      <c r="G283" s="18"/>
    </row>
    <row r="284" spans="1:7" ht="15.75" customHeight="1" x14ac:dyDescent="0.25">
      <c r="A284" s="5"/>
      <c r="B284" s="5"/>
      <c r="C284" s="18"/>
      <c r="D284" s="18"/>
      <c r="E284" s="18"/>
      <c r="F284" s="18"/>
      <c r="G284" s="18"/>
    </row>
    <row r="285" spans="1:7" ht="15.75" customHeight="1" x14ac:dyDescent="0.25">
      <c r="A285" s="5"/>
      <c r="B285" s="5"/>
      <c r="C285" s="18"/>
      <c r="D285" s="18"/>
      <c r="E285" s="18"/>
      <c r="F285" s="18"/>
      <c r="G285" s="18"/>
    </row>
    <row r="286" spans="1:7" ht="15.75" customHeight="1" x14ac:dyDescent="0.25">
      <c r="A286" s="5"/>
      <c r="B286" s="5"/>
      <c r="C286" s="18"/>
      <c r="D286" s="18"/>
      <c r="E286" s="18"/>
      <c r="F286" s="18"/>
      <c r="G286" s="18"/>
    </row>
    <row r="287" spans="1:7" ht="15.75" customHeight="1" x14ac:dyDescent="0.25">
      <c r="A287" s="5"/>
      <c r="B287" s="5"/>
      <c r="C287" s="18"/>
      <c r="D287" s="18"/>
      <c r="E287" s="18"/>
      <c r="F287" s="18"/>
      <c r="G287" s="18"/>
    </row>
    <row r="288" spans="1:7" ht="15.75" customHeight="1" x14ac:dyDescent="0.25">
      <c r="A288" s="5"/>
      <c r="B288" s="5"/>
      <c r="C288" s="18"/>
      <c r="D288" s="18"/>
      <c r="E288" s="18"/>
      <c r="F288" s="18"/>
      <c r="G288" s="18"/>
    </row>
    <row r="289" spans="1:7" ht="15.75" customHeight="1" x14ac:dyDescent="0.25">
      <c r="A289" s="5"/>
      <c r="B289" s="5"/>
      <c r="C289" s="18"/>
      <c r="D289" s="18"/>
      <c r="E289" s="18"/>
      <c r="F289" s="18"/>
      <c r="G289" s="18"/>
    </row>
    <row r="290" spans="1:7" ht="15.75" customHeight="1" x14ac:dyDescent="0.25">
      <c r="A290" s="5"/>
      <c r="B290" s="5"/>
      <c r="C290" s="18"/>
      <c r="D290" s="18"/>
      <c r="E290" s="18"/>
      <c r="F290" s="18"/>
      <c r="G290" s="18"/>
    </row>
    <row r="291" spans="1:7" ht="15.75" customHeight="1" x14ac:dyDescent="0.25">
      <c r="A291" s="5"/>
      <c r="B291" s="5"/>
      <c r="C291" s="18"/>
      <c r="D291" s="18"/>
      <c r="E291" s="18"/>
      <c r="F291" s="18"/>
      <c r="G291" s="18"/>
    </row>
    <row r="292" spans="1:7" ht="15.75" customHeight="1" x14ac:dyDescent="0.25">
      <c r="A292" s="5"/>
      <c r="B292" s="5"/>
      <c r="C292" s="18"/>
      <c r="D292" s="18"/>
      <c r="E292" s="18"/>
      <c r="F292" s="18"/>
      <c r="G292" s="18"/>
    </row>
    <row r="293" spans="1:7" ht="15.75" customHeight="1" x14ac:dyDescent="0.25">
      <c r="A293" s="5"/>
      <c r="B293" s="5"/>
      <c r="C293" s="18"/>
      <c r="D293" s="18"/>
      <c r="E293" s="18"/>
      <c r="F293" s="18"/>
      <c r="G293" s="18"/>
    </row>
    <row r="294" spans="1:7" ht="15.75" customHeight="1" x14ac:dyDescent="0.25">
      <c r="A294" s="5"/>
      <c r="B294" s="5"/>
      <c r="C294" s="18"/>
      <c r="D294" s="18"/>
      <c r="E294" s="18"/>
      <c r="F294" s="18"/>
      <c r="G294" s="18"/>
    </row>
    <row r="295" spans="1:7" ht="15.75" customHeight="1" x14ac:dyDescent="0.25">
      <c r="A295" s="5"/>
      <c r="B295" s="5"/>
      <c r="C295" s="18"/>
      <c r="D295" s="18"/>
      <c r="E295" s="18"/>
      <c r="F295" s="18"/>
      <c r="G295" s="18"/>
    </row>
    <row r="296" spans="1:7" ht="15.75" customHeight="1" x14ac:dyDescent="0.25">
      <c r="A296" s="5"/>
      <c r="B296" s="5"/>
      <c r="C296" s="18"/>
      <c r="D296" s="18"/>
      <c r="E296" s="18"/>
      <c r="F296" s="18"/>
      <c r="G296" s="18"/>
    </row>
    <row r="297" spans="1:7" ht="15.75" customHeight="1" x14ac:dyDescent="0.25">
      <c r="A297" s="5"/>
      <c r="B297" s="5"/>
      <c r="C297" s="18"/>
      <c r="D297" s="18"/>
      <c r="E297" s="18"/>
      <c r="F297" s="18"/>
      <c r="G297" s="18"/>
    </row>
    <row r="298" spans="1:7" ht="15.75" customHeight="1" x14ac:dyDescent="0.25">
      <c r="A298" s="5"/>
      <c r="B298" s="5"/>
      <c r="C298" s="18"/>
      <c r="D298" s="18"/>
      <c r="E298" s="18"/>
      <c r="F298" s="18"/>
      <c r="G298" s="18"/>
    </row>
    <row r="299" spans="1:7" ht="15.75" customHeight="1" x14ac:dyDescent="0.25">
      <c r="A299" s="5"/>
      <c r="B299" s="5"/>
      <c r="C299" s="18"/>
      <c r="D299" s="18"/>
      <c r="E299" s="18"/>
      <c r="F299" s="18"/>
      <c r="G299" s="18"/>
    </row>
    <row r="300" spans="1:7" ht="15.75" customHeight="1" x14ac:dyDescent="0.25">
      <c r="A300" s="5"/>
      <c r="B300" s="5"/>
      <c r="C300" s="18"/>
      <c r="D300" s="18"/>
      <c r="E300" s="18"/>
      <c r="F300" s="18"/>
      <c r="G300" s="18"/>
    </row>
    <row r="301" spans="1:7" ht="15.75" customHeight="1" x14ac:dyDescent="0.25">
      <c r="A301" s="5"/>
      <c r="B301" s="5"/>
      <c r="C301" s="18"/>
      <c r="D301" s="18"/>
      <c r="E301" s="18"/>
      <c r="F301" s="18"/>
      <c r="G301" s="18"/>
    </row>
    <row r="302" spans="1:7" ht="15.75" customHeight="1" x14ac:dyDescent="0.25">
      <c r="A302" s="5"/>
      <c r="B302" s="5"/>
      <c r="C302" s="18"/>
      <c r="D302" s="18"/>
      <c r="E302" s="18"/>
      <c r="F302" s="18"/>
      <c r="G302" s="18"/>
    </row>
    <row r="303" spans="1:7" ht="15.75" customHeight="1" x14ac:dyDescent="0.25">
      <c r="A303" s="5"/>
      <c r="B303" s="5"/>
      <c r="C303" s="18"/>
      <c r="D303" s="18"/>
      <c r="E303" s="18"/>
      <c r="F303" s="18"/>
      <c r="G303" s="18"/>
    </row>
    <row r="304" spans="1:7" ht="15.75" customHeight="1" x14ac:dyDescent="0.25">
      <c r="A304" s="5"/>
      <c r="B304" s="5"/>
      <c r="C304" s="18"/>
      <c r="D304" s="18"/>
      <c r="E304" s="18"/>
      <c r="F304" s="18"/>
      <c r="G304" s="18"/>
    </row>
    <row r="305" spans="1:7" ht="15.75" customHeight="1" x14ac:dyDescent="0.25">
      <c r="A305" s="5"/>
      <c r="B305" s="5"/>
      <c r="C305" s="18"/>
      <c r="D305" s="18"/>
      <c r="E305" s="18"/>
      <c r="F305" s="18"/>
      <c r="G305" s="18"/>
    </row>
    <row r="306" spans="1:7" ht="15.75" customHeight="1" x14ac:dyDescent="0.25">
      <c r="A306" s="5"/>
      <c r="B306" s="5"/>
      <c r="C306" s="18"/>
      <c r="D306" s="18"/>
      <c r="E306" s="18"/>
      <c r="F306" s="18"/>
      <c r="G306" s="18"/>
    </row>
    <row r="307" spans="1:7" ht="15.75" customHeight="1" x14ac:dyDescent="0.25">
      <c r="A307" s="5"/>
      <c r="B307" s="5"/>
      <c r="C307" s="18"/>
      <c r="D307" s="18"/>
      <c r="E307" s="18"/>
      <c r="F307" s="18"/>
      <c r="G307" s="18"/>
    </row>
    <row r="308" spans="1:7" ht="15.75" customHeight="1" x14ac:dyDescent="0.25">
      <c r="A308" s="5"/>
      <c r="B308" s="5"/>
      <c r="C308" s="18"/>
      <c r="D308" s="18"/>
      <c r="E308" s="18"/>
      <c r="F308" s="18"/>
      <c r="G308" s="18"/>
    </row>
    <row r="309" spans="1:7" ht="15.75" customHeight="1" x14ac:dyDescent="0.25">
      <c r="A309" s="5"/>
      <c r="B309" s="5"/>
      <c r="C309" s="18"/>
      <c r="D309" s="18"/>
      <c r="E309" s="18"/>
      <c r="F309" s="18"/>
      <c r="G309" s="18"/>
    </row>
    <row r="310" spans="1:7" ht="15.75" customHeight="1" x14ac:dyDescent="0.25">
      <c r="A310" s="5"/>
      <c r="B310" s="5"/>
      <c r="C310" s="18"/>
      <c r="D310" s="18"/>
      <c r="E310" s="18"/>
      <c r="F310" s="18"/>
      <c r="G310" s="18"/>
    </row>
    <row r="311" spans="1:7" ht="15.75" customHeight="1" x14ac:dyDescent="0.25">
      <c r="A311" s="5"/>
      <c r="B311" s="5"/>
      <c r="C311" s="18"/>
      <c r="D311" s="18"/>
      <c r="E311" s="18"/>
      <c r="F311" s="18"/>
      <c r="G311" s="18"/>
    </row>
    <row r="312" spans="1:7" ht="15.75" customHeight="1" x14ac:dyDescent="0.25">
      <c r="A312" s="5"/>
      <c r="B312" s="5"/>
      <c r="C312" s="18"/>
      <c r="D312" s="18"/>
      <c r="E312" s="18"/>
      <c r="F312" s="18"/>
      <c r="G312" s="18"/>
    </row>
    <row r="313" spans="1:7" ht="15.75" customHeight="1" x14ac:dyDescent="0.25">
      <c r="A313" s="5"/>
      <c r="B313" s="5"/>
      <c r="C313" s="18"/>
      <c r="D313" s="18"/>
      <c r="E313" s="18"/>
      <c r="F313" s="18"/>
      <c r="G313" s="18"/>
    </row>
    <row r="314" spans="1:7" ht="15.75" customHeight="1" x14ac:dyDescent="0.25">
      <c r="A314" s="5"/>
      <c r="B314" s="5"/>
      <c r="C314" s="18"/>
      <c r="D314" s="18"/>
      <c r="E314" s="18"/>
      <c r="F314" s="18"/>
      <c r="G314" s="18"/>
    </row>
    <row r="315" spans="1:7" ht="15.75" customHeight="1" x14ac:dyDescent="0.25">
      <c r="A315" s="5"/>
      <c r="B315" s="5"/>
      <c r="C315" s="18"/>
      <c r="D315" s="18"/>
      <c r="E315" s="18"/>
      <c r="F315" s="18"/>
      <c r="G315" s="18"/>
    </row>
    <row r="316" spans="1:7" ht="15.75" customHeight="1" x14ac:dyDescent="0.25">
      <c r="A316" s="5"/>
      <c r="B316" s="5"/>
      <c r="C316" s="18"/>
      <c r="D316" s="18"/>
      <c r="E316" s="18"/>
      <c r="F316" s="18"/>
      <c r="G316" s="18"/>
    </row>
    <row r="317" spans="1:7" ht="15.75" customHeight="1" x14ac:dyDescent="0.25">
      <c r="A317" s="5"/>
      <c r="B317" s="5"/>
      <c r="C317" s="18"/>
      <c r="D317" s="18"/>
      <c r="E317" s="18"/>
      <c r="F317" s="18"/>
      <c r="G317" s="18"/>
    </row>
    <row r="318" spans="1:7" ht="15.75" customHeight="1" x14ac:dyDescent="0.25">
      <c r="A318" s="5"/>
      <c r="B318" s="5"/>
      <c r="C318" s="18"/>
      <c r="D318" s="18"/>
      <c r="E318" s="18"/>
      <c r="F318" s="18"/>
      <c r="G318" s="18"/>
    </row>
    <row r="319" spans="1:7" ht="15.75" customHeight="1" x14ac:dyDescent="0.25">
      <c r="A319" s="5"/>
      <c r="B319" s="5"/>
      <c r="C319" s="18"/>
      <c r="D319" s="18"/>
      <c r="E319" s="18"/>
      <c r="F319" s="18"/>
      <c r="G319" s="18"/>
    </row>
    <row r="320" spans="1:7" ht="15.75" customHeight="1" x14ac:dyDescent="0.25">
      <c r="A320" s="5"/>
      <c r="B320" s="5"/>
      <c r="C320" s="18"/>
      <c r="D320" s="18"/>
      <c r="E320" s="18"/>
      <c r="F320" s="18"/>
      <c r="G320" s="18"/>
    </row>
    <row r="321" spans="1:7" ht="15.75" customHeight="1" x14ac:dyDescent="0.25">
      <c r="A321" s="5"/>
      <c r="B321" s="5"/>
      <c r="C321" s="18"/>
      <c r="D321" s="18"/>
      <c r="E321" s="18"/>
      <c r="F321" s="18"/>
      <c r="G321" s="18"/>
    </row>
    <row r="322" spans="1:7" ht="15.75" customHeight="1" x14ac:dyDescent="0.25">
      <c r="A322" s="5"/>
      <c r="B322" s="5"/>
      <c r="C322" s="18"/>
      <c r="D322" s="18"/>
      <c r="E322" s="18"/>
      <c r="F322" s="18"/>
      <c r="G322" s="18"/>
    </row>
    <row r="323" spans="1:7" ht="15.75" customHeight="1" x14ac:dyDescent="0.25">
      <c r="A323" s="5"/>
      <c r="B323" s="5"/>
      <c r="C323" s="18"/>
      <c r="D323" s="18"/>
      <c r="E323" s="18"/>
      <c r="F323" s="18"/>
      <c r="G323" s="18"/>
    </row>
    <row r="324" spans="1:7" ht="15.75" customHeight="1" x14ac:dyDescent="0.25">
      <c r="A324" s="5"/>
      <c r="B324" s="5"/>
      <c r="C324" s="18"/>
      <c r="D324" s="18"/>
      <c r="E324" s="18"/>
      <c r="F324" s="18"/>
      <c r="G324" s="18"/>
    </row>
    <row r="325" spans="1:7" ht="15.75" customHeight="1" x14ac:dyDescent="0.25">
      <c r="A325" s="5"/>
      <c r="B325" s="5"/>
      <c r="C325" s="18"/>
      <c r="D325" s="18"/>
      <c r="E325" s="18"/>
      <c r="F325" s="18"/>
      <c r="G325" s="18"/>
    </row>
    <row r="326" spans="1:7" ht="15.75" customHeight="1" x14ac:dyDescent="0.25">
      <c r="A326" s="5"/>
      <c r="B326" s="5"/>
      <c r="C326" s="18"/>
      <c r="D326" s="18"/>
      <c r="E326" s="18"/>
      <c r="F326" s="18"/>
      <c r="G326" s="18"/>
    </row>
    <row r="327" spans="1:7" ht="15.75" customHeight="1" x14ac:dyDescent="0.25">
      <c r="A327" s="5"/>
      <c r="B327" s="5"/>
      <c r="C327" s="18"/>
      <c r="D327" s="18"/>
      <c r="E327" s="18"/>
      <c r="F327" s="18"/>
      <c r="G327" s="18"/>
    </row>
    <row r="328" spans="1:7" ht="15.75" customHeight="1" x14ac:dyDescent="0.25">
      <c r="A328" s="5"/>
      <c r="B328" s="5"/>
      <c r="C328" s="18"/>
      <c r="D328" s="18"/>
      <c r="E328" s="18"/>
      <c r="F328" s="18"/>
      <c r="G328" s="18"/>
    </row>
    <row r="329" spans="1:7" ht="15.75" customHeight="1" x14ac:dyDescent="0.25">
      <c r="A329" s="5"/>
      <c r="B329" s="5"/>
      <c r="C329" s="18"/>
      <c r="D329" s="18"/>
      <c r="E329" s="18"/>
      <c r="F329" s="18"/>
      <c r="G329" s="18"/>
    </row>
    <row r="330" spans="1:7" ht="15.75" customHeight="1" x14ac:dyDescent="0.25">
      <c r="A330" s="5"/>
      <c r="B330" s="5"/>
      <c r="C330" s="18"/>
      <c r="D330" s="18"/>
      <c r="E330" s="18"/>
      <c r="F330" s="18"/>
      <c r="G330" s="18"/>
    </row>
    <row r="331" spans="1:7" ht="15.75" customHeight="1" x14ac:dyDescent="0.25">
      <c r="A331" s="5"/>
      <c r="B331" s="5"/>
      <c r="C331" s="18"/>
      <c r="D331" s="18"/>
      <c r="E331" s="18"/>
      <c r="F331" s="18"/>
      <c r="G331" s="18"/>
    </row>
    <row r="332" spans="1:7" ht="15.75" customHeight="1" x14ac:dyDescent="0.25">
      <c r="A332" s="5"/>
      <c r="B332" s="5"/>
      <c r="C332" s="18"/>
      <c r="D332" s="18"/>
      <c r="E332" s="18"/>
      <c r="F332" s="18"/>
      <c r="G332" s="18"/>
    </row>
    <row r="333" spans="1:7" ht="15.75" customHeight="1" x14ac:dyDescent="0.25">
      <c r="A333" s="5"/>
      <c r="B333" s="5"/>
      <c r="C333" s="18"/>
      <c r="D333" s="18"/>
      <c r="E333" s="18"/>
      <c r="F333" s="18"/>
      <c r="G333" s="18"/>
    </row>
    <row r="334" spans="1:7" ht="15.75" customHeight="1" x14ac:dyDescent="0.25">
      <c r="A334" s="5"/>
      <c r="B334" s="5"/>
      <c r="C334" s="18"/>
      <c r="D334" s="18"/>
      <c r="E334" s="18"/>
      <c r="F334" s="18"/>
      <c r="G334" s="18"/>
    </row>
    <row r="335" spans="1:7" ht="15.75" customHeight="1" x14ac:dyDescent="0.25">
      <c r="A335" s="5"/>
      <c r="B335" s="5"/>
      <c r="C335" s="18"/>
      <c r="D335" s="18"/>
      <c r="E335" s="18"/>
      <c r="F335" s="18"/>
      <c r="G335" s="18"/>
    </row>
    <row r="336" spans="1:7" ht="15.75" customHeight="1" x14ac:dyDescent="0.25">
      <c r="A336" s="5"/>
      <c r="B336" s="5"/>
      <c r="C336" s="18"/>
      <c r="D336" s="18"/>
      <c r="E336" s="18"/>
      <c r="F336" s="18"/>
      <c r="G336" s="18"/>
    </row>
    <row r="337" spans="1:7" ht="15.75" customHeight="1" x14ac:dyDescent="0.25">
      <c r="A337" s="5"/>
      <c r="B337" s="5"/>
      <c r="C337" s="18"/>
      <c r="D337" s="18"/>
      <c r="E337" s="18"/>
      <c r="F337" s="18"/>
      <c r="G337" s="18"/>
    </row>
    <row r="338" spans="1:7" ht="15.75" customHeight="1" x14ac:dyDescent="0.25">
      <c r="A338" s="5"/>
      <c r="B338" s="5"/>
      <c r="C338" s="18"/>
      <c r="D338" s="18"/>
      <c r="E338" s="18"/>
      <c r="F338" s="18"/>
      <c r="G338" s="18"/>
    </row>
    <row r="339" spans="1:7" ht="15.75" customHeight="1" x14ac:dyDescent="0.25">
      <c r="A339" s="5"/>
      <c r="B339" s="5"/>
      <c r="C339" s="18"/>
      <c r="D339" s="18"/>
      <c r="E339" s="18"/>
      <c r="F339" s="18"/>
      <c r="G339" s="18"/>
    </row>
    <row r="340" spans="1:7" ht="15.75" customHeight="1" x14ac:dyDescent="0.25">
      <c r="A340" s="5"/>
      <c r="B340" s="5"/>
      <c r="C340" s="18"/>
      <c r="D340" s="18"/>
      <c r="E340" s="18"/>
      <c r="F340" s="18"/>
      <c r="G340" s="18"/>
    </row>
    <row r="341" spans="1:7" ht="15.75" customHeight="1" x14ac:dyDescent="0.25">
      <c r="A341" s="5"/>
      <c r="B341" s="5"/>
      <c r="C341" s="18"/>
      <c r="D341" s="18"/>
      <c r="E341" s="18"/>
      <c r="F341" s="18"/>
      <c r="G341" s="18"/>
    </row>
    <row r="342" spans="1:7" ht="15.75" customHeight="1" x14ac:dyDescent="0.25">
      <c r="A342" s="5"/>
      <c r="B342" s="5"/>
      <c r="C342" s="18"/>
      <c r="D342" s="18"/>
      <c r="E342" s="18"/>
      <c r="F342" s="18"/>
      <c r="G342" s="18"/>
    </row>
    <row r="343" spans="1:7" ht="15.75" customHeight="1" x14ac:dyDescent="0.25">
      <c r="A343" s="5"/>
      <c r="B343" s="5"/>
      <c r="C343" s="18"/>
      <c r="D343" s="18"/>
      <c r="E343" s="18"/>
      <c r="F343" s="18"/>
      <c r="G343" s="18"/>
    </row>
    <row r="344" spans="1:7" ht="15.75" customHeight="1" x14ac:dyDescent="0.25">
      <c r="A344" s="5"/>
      <c r="B344" s="5"/>
      <c r="C344" s="18"/>
      <c r="D344" s="18"/>
      <c r="E344" s="18"/>
      <c r="F344" s="18"/>
      <c r="G344" s="18"/>
    </row>
    <row r="345" spans="1:7" ht="15.75" customHeight="1" x14ac:dyDescent="0.25">
      <c r="A345" s="5"/>
      <c r="B345" s="5"/>
      <c r="C345" s="18"/>
      <c r="D345" s="18"/>
      <c r="E345" s="18"/>
      <c r="F345" s="18"/>
      <c r="G345" s="18"/>
    </row>
    <row r="346" spans="1:7" ht="15.75" customHeight="1" x14ac:dyDescent="0.25">
      <c r="A346" s="5"/>
      <c r="B346" s="5"/>
      <c r="C346" s="18"/>
      <c r="D346" s="18"/>
      <c r="E346" s="18"/>
      <c r="F346" s="18"/>
      <c r="G346" s="18"/>
    </row>
    <row r="347" spans="1:7" ht="15.75" customHeight="1" x14ac:dyDescent="0.25">
      <c r="A347" s="5"/>
      <c r="B347" s="5"/>
      <c r="C347" s="18"/>
      <c r="D347" s="18"/>
      <c r="E347" s="18"/>
      <c r="F347" s="18"/>
      <c r="G347" s="18"/>
    </row>
    <row r="348" spans="1:7" ht="15.75" customHeight="1" x14ac:dyDescent="0.25">
      <c r="A348" s="5"/>
      <c r="B348" s="5"/>
      <c r="C348" s="18"/>
      <c r="D348" s="18"/>
      <c r="E348" s="18"/>
      <c r="F348" s="18"/>
      <c r="G348" s="18"/>
    </row>
    <row r="349" spans="1:7" ht="15.75" customHeight="1" x14ac:dyDescent="0.25">
      <c r="A349" s="5"/>
      <c r="B349" s="5"/>
      <c r="C349" s="18"/>
      <c r="D349" s="18"/>
      <c r="E349" s="18"/>
      <c r="F349" s="18"/>
      <c r="G349" s="18"/>
    </row>
    <row r="350" spans="1:7" ht="15.75" customHeight="1" x14ac:dyDescent="0.25">
      <c r="A350" s="5"/>
      <c r="B350" s="5"/>
      <c r="C350" s="18"/>
      <c r="D350" s="18"/>
      <c r="E350" s="18"/>
      <c r="F350" s="18"/>
      <c r="G350" s="18"/>
    </row>
    <row r="351" spans="1:7" ht="15.75" customHeight="1" x14ac:dyDescent="0.25">
      <c r="A351" s="5"/>
      <c r="B351" s="5"/>
      <c r="C351" s="18"/>
      <c r="D351" s="18"/>
      <c r="E351" s="18"/>
      <c r="F351" s="18"/>
      <c r="G351" s="18"/>
    </row>
    <row r="352" spans="1:7" ht="15.75" customHeight="1" x14ac:dyDescent="0.25">
      <c r="A352" s="5"/>
      <c r="B352" s="5"/>
      <c r="C352" s="18"/>
      <c r="D352" s="18"/>
      <c r="E352" s="18"/>
      <c r="F352" s="18"/>
      <c r="G352" s="18"/>
    </row>
    <row r="353" spans="1:7" ht="15.75" customHeight="1" x14ac:dyDescent="0.25">
      <c r="A353" s="5"/>
      <c r="B353" s="5"/>
      <c r="C353" s="18"/>
      <c r="D353" s="18"/>
      <c r="E353" s="18"/>
      <c r="F353" s="18"/>
      <c r="G353" s="18"/>
    </row>
    <row r="354" spans="1:7" ht="15.75" customHeight="1" x14ac:dyDescent="0.25">
      <c r="A354" s="5"/>
      <c r="B354" s="5"/>
      <c r="C354" s="18"/>
      <c r="D354" s="18"/>
      <c r="E354" s="18"/>
      <c r="F354" s="18"/>
      <c r="G354" s="18"/>
    </row>
    <row r="355" spans="1:7" ht="15.75" customHeight="1" x14ac:dyDescent="0.25">
      <c r="A355" s="5"/>
      <c r="B355" s="5"/>
      <c r="C355" s="18"/>
      <c r="D355" s="18"/>
      <c r="E355" s="18"/>
      <c r="F355" s="18"/>
      <c r="G355" s="18"/>
    </row>
    <row r="356" spans="1:7" ht="15.75" customHeight="1" x14ac:dyDescent="0.25">
      <c r="A356" s="5"/>
      <c r="B356" s="5"/>
      <c r="C356" s="18"/>
      <c r="D356" s="18"/>
      <c r="E356" s="18"/>
      <c r="F356" s="18"/>
      <c r="G356" s="18"/>
    </row>
    <row r="357" spans="1:7" ht="15.75" customHeight="1" x14ac:dyDescent="0.25">
      <c r="A357" s="5"/>
      <c r="B357" s="5"/>
      <c r="C357" s="18"/>
      <c r="D357" s="18"/>
      <c r="E357" s="18"/>
      <c r="F357" s="18"/>
      <c r="G357" s="18"/>
    </row>
    <row r="358" spans="1:7" ht="15.75" customHeight="1" x14ac:dyDescent="0.25">
      <c r="A358" s="5"/>
      <c r="B358" s="5"/>
      <c r="C358" s="18"/>
      <c r="D358" s="18"/>
      <c r="E358" s="18"/>
      <c r="F358" s="18"/>
      <c r="G358" s="18"/>
    </row>
    <row r="359" spans="1:7" ht="15.75" customHeight="1" x14ac:dyDescent="0.25">
      <c r="A359" s="5"/>
      <c r="B359" s="5"/>
      <c r="C359" s="18"/>
      <c r="D359" s="18"/>
      <c r="E359" s="18"/>
      <c r="F359" s="18"/>
      <c r="G359" s="18"/>
    </row>
    <row r="360" spans="1:7" ht="15.75" customHeight="1" x14ac:dyDescent="0.25">
      <c r="A360" s="5"/>
      <c r="B360" s="5"/>
      <c r="C360" s="18"/>
      <c r="D360" s="18"/>
      <c r="E360" s="18"/>
      <c r="F360" s="18"/>
      <c r="G360" s="18"/>
    </row>
    <row r="361" spans="1:7" ht="15.75" customHeight="1" x14ac:dyDescent="0.25">
      <c r="A361" s="5"/>
      <c r="B361" s="5"/>
      <c r="C361" s="18"/>
      <c r="D361" s="18"/>
      <c r="E361" s="18"/>
      <c r="F361" s="18"/>
      <c r="G361" s="18"/>
    </row>
    <row r="362" spans="1:7" ht="15.75" customHeight="1" x14ac:dyDescent="0.25">
      <c r="A362" s="5"/>
      <c r="B362" s="5"/>
      <c r="C362" s="18"/>
      <c r="D362" s="18"/>
      <c r="E362" s="18"/>
      <c r="F362" s="18"/>
      <c r="G362" s="18"/>
    </row>
    <row r="363" spans="1:7" ht="15.75" customHeight="1" x14ac:dyDescent="0.25">
      <c r="A363" s="5"/>
      <c r="B363" s="5"/>
      <c r="C363" s="18"/>
      <c r="D363" s="18"/>
      <c r="E363" s="18"/>
      <c r="F363" s="18"/>
      <c r="G363" s="18"/>
    </row>
    <row r="364" spans="1:7" ht="15.75" customHeight="1" x14ac:dyDescent="0.25">
      <c r="A364" s="5"/>
      <c r="B364" s="5"/>
      <c r="C364" s="18"/>
      <c r="D364" s="18"/>
      <c r="E364" s="18"/>
      <c r="F364" s="18"/>
      <c r="G364" s="18"/>
    </row>
    <row r="365" spans="1:7" ht="15.75" customHeight="1" x14ac:dyDescent="0.25">
      <c r="A365" s="5"/>
      <c r="B365" s="5"/>
      <c r="C365" s="18"/>
      <c r="D365" s="18"/>
      <c r="E365" s="18"/>
      <c r="F365" s="18"/>
      <c r="G365" s="18"/>
    </row>
    <row r="366" spans="1:7" ht="15.75" customHeight="1" x14ac:dyDescent="0.25">
      <c r="A366" s="5"/>
      <c r="B366" s="5"/>
      <c r="C366" s="18"/>
      <c r="D366" s="18"/>
      <c r="E366" s="18"/>
      <c r="F366" s="18"/>
      <c r="G366" s="18"/>
    </row>
    <row r="367" spans="1:7" ht="15.75" customHeight="1" x14ac:dyDescent="0.25">
      <c r="A367" s="5"/>
      <c r="B367" s="5"/>
      <c r="C367" s="18"/>
      <c r="D367" s="18"/>
      <c r="E367" s="18"/>
      <c r="F367" s="18"/>
      <c r="G367" s="18"/>
    </row>
    <row r="368" spans="1:7" ht="15.75" customHeight="1" x14ac:dyDescent="0.25">
      <c r="A368" s="5"/>
      <c r="B368" s="5"/>
      <c r="C368" s="18"/>
      <c r="D368" s="18"/>
      <c r="E368" s="18"/>
      <c r="F368" s="18"/>
      <c r="G368" s="18"/>
    </row>
    <row r="369" spans="1:7" ht="15.75" customHeight="1" x14ac:dyDescent="0.25">
      <c r="A369" s="5"/>
      <c r="B369" s="5"/>
      <c r="C369" s="18"/>
      <c r="D369" s="18"/>
      <c r="E369" s="18"/>
      <c r="F369" s="18"/>
      <c r="G369" s="18"/>
    </row>
    <row r="370" spans="1:7" ht="15.75" customHeight="1" x14ac:dyDescent="0.25">
      <c r="A370" s="5"/>
      <c r="B370" s="5"/>
      <c r="C370" s="18"/>
      <c r="D370" s="18"/>
      <c r="E370" s="18"/>
      <c r="F370" s="18"/>
      <c r="G370" s="18"/>
    </row>
    <row r="371" spans="1:7" ht="15.75" customHeight="1" x14ac:dyDescent="0.25">
      <c r="A371" s="5"/>
      <c r="B371" s="5"/>
      <c r="C371" s="18"/>
      <c r="D371" s="18"/>
      <c r="E371" s="18"/>
      <c r="F371" s="18"/>
      <c r="G371" s="18"/>
    </row>
    <row r="372" spans="1:7" ht="15.75" customHeight="1" x14ac:dyDescent="0.25">
      <c r="A372" s="5"/>
      <c r="B372" s="5"/>
      <c r="C372" s="18"/>
      <c r="D372" s="18"/>
      <c r="E372" s="18"/>
      <c r="F372" s="18"/>
      <c r="G372" s="18"/>
    </row>
    <row r="373" spans="1:7" ht="15.75" customHeight="1" x14ac:dyDescent="0.25">
      <c r="A373" s="5"/>
      <c r="B373" s="5"/>
      <c r="C373" s="18"/>
      <c r="D373" s="18"/>
      <c r="E373" s="18"/>
      <c r="F373" s="18"/>
      <c r="G373" s="18"/>
    </row>
    <row r="374" spans="1:7" ht="15.75" customHeight="1" x14ac:dyDescent="0.25">
      <c r="A374" s="5"/>
      <c r="B374" s="5"/>
      <c r="C374" s="18"/>
      <c r="D374" s="18"/>
      <c r="E374" s="18"/>
      <c r="F374" s="18"/>
      <c r="G374" s="18"/>
    </row>
    <row r="375" spans="1:7" ht="15.75" customHeight="1" x14ac:dyDescent="0.25">
      <c r="A375" s="5"/>
      <c r="B375" s="5"/>
      <c r="C375" s="18"/>
      <c r="D375" s="18"/>
      <c r="E375" s="18"/>
      <c r="F375" s="18"/>
      <c r="G375" s="18"/>
    </row>
    <row r="376" spans="1:7" ht="15.75" customHeight="1" x14ac:dyDescent="0.25">
      <c r="A376" s="5"/>
      <c r="B376" s="5"/>
      <c r="C376" s="18"/>
      <c r="D376" s="18"/>
      <c r="E376" s="18"/>
      <c r="F376" s="18"/>
      <c r="G376" s="18"/>
    </row>
    <row r="377" spans="1:7" ht="15.75" customHeight="1" x14ac:dyDescent="0.25">
      <c r="A377" s="5"/>
      <c r="B377" s="5"/>
      <c r="C377" s="18"/>
      <c r="D377" s="18"/>
      <c r="E377" s="18"/>
      <c r="F377" s="18"/>
      <c r="G377" s="18"/>
    </row>
    <row r="378" spans="1:7" ht="15.75" customHeight="1" x14ac:dyDescent="0.25">
      <c r="A378" s="5"/>
      <c r="B378" s="5"/>
      <c r="C378" s="18"/>
      <c r="D378" s="18"/>
      <c r="E378" s="18"/>
      <c r="F378" s="18"/>
      <c r="G378" s="18"/>
    </row>
    <row r="379" spans="1:7" ht="15.75" customHeight="1" x14ac:dyDescent="0.25">
      <c r="A379" s="5"/>
      <c r="B379" s="5"/>
      <c r="C379" s="18"/>
      <c r="D379" s="18"/>
      <c r="E379" s="18"/>
      <c r="F379" s="18"/>
      <c r="G379" s="18"/>
    </row>
    <row r="380" spans="1:7" ht="15.75" customHeight="1" x14ac:dyDescent="0.25">
      <c r="A380" s="5"/>
      <c r="B380" s="5"/>
      <c r="C380" s="18"/>
      <c r="D380" s="18"/>
      <c r="E380" s="18"/>
      <c r="F380" s="18"/>
      <c r="G380" s="18"/>
    </row>
    <row r="381" spans="1:7" ht="15.75" customHeight="1" x14ac:dyDescent="0.25">
      <c r="A381" s="5"/>
      <c r="B381" s="5"/>
      <c r="C381" s="18"/>
      <c r="D381" s="18"/>
      <c r="E381" s="18"/>
      <c r="F381" s="18"/>
      <c r="G381" s="18"/>
    </row>
    <row r="382" spans="1:7" ht="15.75" customHeight="1" x14ac:dyDescent="0.25">
      <c r="A382" s="5"/>
      <c r="B382" s="5"/>
      <c r="C382" s="18"/>
      <c r="D382" s="18"/>
      <c r="E382" s="18"/>
      <c r="F382" s="18"/>
      <c r="G382" s="18"/>
    </row>
    <row r="383" spans="1:7" ht="15.75" customHeight="1" x14ac:dyDescent="0.25">
      <c r="A383" s="5"/>
      <c r="B383" s="5"/>
      <c r="C383" s="18"/>
      <c r="D383" s="18"/>
      <c r="E383" s="18"/>
      <c r="F383" s="18"/>
      <c r="G383" s="18"/>
    </row>
    <row r="384" spans="1:7" ht="15.75" customHeight="1" x14ac:dyDescent="0.25">
      <c r="A384" s="5"/>
      <c r="B384" s="5"/>
      <c r="C384" s="18"/>
      <c r="D384" s="18"/>
      <c r="E384" s="18"/>
      <c r="F384" s="18"/>
      <c r="G384" s="18"/>
    </row>
    <row r="385" spans="1:7" ht="15.75" customHeight="1" x14ac:dyDescent="0.25">
      <c r="A385" s="5"/>
      <c r="B385" s="5"/>
      <c r="C385" s="18"/>
      <c r="D385" s="18"/>
      <c r="E385" s="18"/>
      <c r="F385" s="18"/>
      <c r="G385" s="18"/>
    </row>
    <row r="386" spans="1:7" ht="15.75" customHeight="1" x14ac:dyDescent="0.25">
      <c r="A386" s="5"/>
      <c r="B386" s="5"/>
      <c r="C386" s="18"/>
      <c r="D386" s="18"/>
      <c r="E386" s="18"/>
      <c r="F386" s="18"/>
      <c r="G386" s="18"/>
    </row>
    <row r="387" spans="1:7" ht="15.75" customHeight="1" x14ac:dyDescent="0.25">
      <c r="A387" s="5"/>
      <c r="B387" s="5"/>
      <c r="C387" s="18"/>
      <c r="D387" s="18"/>
      <c r="E387" s="18"/>
      <c r="F387" s="18"/>
      <c r="G387" s="18"/>
    </row>
    <row r="388" spans="1:7" ht="15.75" customHeight="1" x14ac:dyDescent="0.25">
      <c r="A388" s="5"/>
      <c r="B388" s="5"/>
      <c r="C388" s="18"/>
      <c r="D388" s="18"/>
      <c r="E388" s="18"/>
      <c r="F388" s="18"/>
      <c r="G388" s="18"/>
    </row>
    <row r="389" spans="1:7" ht="15.75" customHeight="1" x14ac:dyDescent="0.25">
      <c r="A389" s="5"/>
      <c r="B389" s="5"/>
      <c r="C389" s="18"/>
      <c r="D389" s="18"/>
      <c r="E389" s="18"/>
      <c r="F389" s="18"/>
      <c r="G389" s="18"/>
    </row>
    <row r="390" spans="1:7" ht="15.75" customHeight="1" x14ac:dyDescent="0.25">
      <c r="A390" s="5"/>
      <c r="B390" s="5"/>
      <c r="C390" s="18"/>
      <c r="D390" s="18"/>
      <c r="E390" s="18"/>
      <c r="F390" s="18"/>
      <c r="G390" s="18"/>
    </row>
    <row r="391" spans="1:7" ht="15.75" customHeight="1" x14ac:dyDescent="0.25">
      <c r="A391" s="5"/>
      <c r="B391" s="5"/>
      <c r="C391" s="18"/>
      <c r="D391" s="18"/>
      <c r="E391" s="18"/>
      <c r="F391" s="18"/>
      <c r="G391" s="18"/>
    </row>
    <row r="392" spans="1:7" ht="15.75" customHeight="1" x14ac:dyDescent="0.25">
      <c r="A392" s="5"/>
      <c r="B392" s="5"/>
      <c r="C392" s="18"/>
      <c r="D392" s="18"/>
      <c r="E392" s="18"/>
      <c r="F392" s="18"/>
      <c r="G392" s="18"/>
    </row>
    <row r="393" spans="1:7" ht="15.75" customHeight="1" x14ac:dyDescent="0.25">
      <c r="A393" s="5"/>
      <c r="B393" s="5"/>
      <c r="C393" s="18"/>
      <c r="D393" s="18"/>
      <c r="E393" s="18"/>
      <c r="F393" s="18"/>
      <c r="G393" s="18"/>
    </row>
    <row r="394" spans="1:7" ht="15.75" customHeight="1" x14ac:dyDescent="0.25">
      <c r="A394" s="5"/>
      <c r="B394" s="5"/>
      <c r="C394" s="18"/>
      <c r="D394" s="18"/>
      <c r="E394" s="18"/>
      <c r="F394" s="18"/>
      <c r="G394" s="18"/>
    </row>
    <row r="395" spans="1:7" ht="15.75" customHeight="1" x14ac:dyDescent="0.25">
      <c r="A395" s="5"/>
      <c r="B395" s="5"/>
      <c r="C395" s="18"/>
      <c r="D395" s="18"/>
      <c r="E395" s="18"/>
      <c r="F395" s="18"/>
      <c r="G395" s="18"/>
    </row>
    <row r="396" spans="1:7" ht="15.75" customHeight="1" x14ac:dyDescent="0.25">
      <c r="A396" s="5"/>
      <c r="B396" s="5"/>
      <c r="C396" s="18"/>
      <c r="D396" s="18"/>
      <c r="E396" s="18"/>
      <c r="F396" s="18"/>
      <c r="G396" s="18"/>
    </row>
    <row r="397" spans="1:7" ht="15.75" customHeight="1" x14ac:dyDescent="0.25">
      <c r="A397" s="5"/>
      <c r="B397" s="5"/>
      <c r="C397" s="18"/>
      <c r="D397" s="18"/>
      <c r="E397" s="18"/>
      <c r="F397" s="18"/>
      <c r="G397" s="18"/>
    </row>
    <row r="398" spans="1:7" ht="15.75" customHeight="1" x14ac:dyDescent="0.25">
      <c r="A398" s="5"/>
      <c r="B398" s="5"/>
      <c r="C398" s="18"/>
      <c r="D398" s="18"/>
      <c r="E398" s="18"/>
      <c r="F398" s="18"/>
      <c r="G398" s="18"/>
    </row>
    <row r="399" spans="1:7" ht="15.75" customHeight="1" x14ac:dyDescent="0.25">
      <c r="A399" s="5"/>
      <c r="B399" s="5"/>
      <c r="C399" s="18"/>
      <c r="D399" s="18"/>
      <c r="E399" s="18"/>
      <c r="F399" s="18"/>
      <c r="G399" s="18"/>
    </row>
    <row r="400" spans="1:7" ht="15.75" customHeight="1" x14ac:dyDescent="0.25">
      <c r="A400" s="5"/>
      <c r="B400" s="5"/>
      <c r="C400" s="18"/>
      <c r="D400" s="18"/>
      <c r="E400" s="18"/>
      <c r="F400" s="18"/>
      <c r="G400" s="18"/>
    </row>
    <row r="401" spans="1:7" ht="15.75" customHeight="1" x14ac:dyDescent="0.25">
      <c r="A401" s="5"/>
      <c r="B401" s="5"/>
      <c r="C401" s="18"/>
      <c r="D401" s="18"/>
      <c r="E401" s="18"/>
      <c r="F401" s="18"/>
      <c r="G401" s="18"/>
    </row>
    <row r="402" spans="1:7" ht="15.75" customHeight="1" x14ac:dyDescent="0.25">
      <c r="A402" s="5"/>
      <c r="B402" s="5"/>
      <c r="C402" s="18"/>
      <c r="D402" s="18"/>
      <c r="E402" s="18"/>
      <c r="F402" s="18"/>
      <c r="G402" s="18"/>
    </row>
    <row r="403" spans="1:7" ht="15.75" customHeight="1" x14ac:dyDescent="0.25">
      <c r="A403" s="5"/>
      <c r="B403" s="5"/>
      <c r="C403" s="18"/>
      <c r="D403" s="18"/>
      <c r="E403" s="18"/>
      <c r="F403" s="18"/>
      <c r="G403" s="18"/>
    </row>
    <row r="404" spans="1:7" ht="15.75" customHeight="1" x14ac:dyDescent="0.25">
      <c r="A404" s="5"/>
      <c r="B404" s="5"/>
      <c r="C404" s="18"/>
      <c r="D404" s="18"/>
      <c r="E404" s="18"/>
      <c r="F404" s="18"/>
      <c r="G404" s="18"/>
    </row>
    <row r="405" spans="1:7" ht="15.75" customHeight="1" x14ac:dyDescent="0.25">
      <c r="A405" s="5"/>
      <c r="B405" s="5"/>
      <c r="C405" s="18"/>
      <c r="D405" s="18"/>
      <c r="E405" s="18"/>
      <c r="F405" s="18"/>
      <c r="G405" s="18"/>
    </row>
    <row r="406" spans="1:7" ht="15.75" customHeight="1" x14ac:dyDescent="0.25">
      <c r="A406" s="5"/>
      <c r="B406" s="5"/>
      <c r="C406" s="18"/>
      <c r="D406" s="18"/>
      <c r="E406" s="18"/>
      <c r="F406" s="18"/>
      <c r="G406" s="18"/>
    </row>
    <row r="407" spans="1:7" ht="15.75" customHeight="1" x14ac:dyDescent="0.25">
      <c r="A407" s="5"/>
      <c r="B407" s="5"/>
      <c r="C407" s="18"/>
      <c r="D407" s="18"/>
      <c r="E407" s="18"/>
      <c r="F407" s="18"/>
      <c r="G407" s="18"/>
    </row>
    <row r="408" spans="1:7" ht="15.75" customHeight="1" x14ac:dyDescent="0.25">
      <c r="A408" s="5"/>
      <c r="B408" s="5"/>
      <c r="C408" s="18"/>
      <c r="D408" s="18"/>
      <c r="E408" s="18"/>
      <c r="F408" s="18"/>
      <c r="G408" s="18"/>
    </row>
    <row r="409" spans="1:7" ht="15.75" customHeight="1" x14ac:dyDescent="0.25">
      <c r="A409" s="5"/>
      <c r="B409" s="5"/>
      <c r="C409" s="18"/>
      <c r="D409" s="18"/>
      <c r="E409" s="18"/>
      <c r="F409" s="18"/>
      <c r="G409" s="18"/>
    </row>
    <row r="410" spans="1:7" ht="15.75" customHeight="1" x14ac:dyDescent="0.25">
      <c r="A410" s="5"/>
      <c r="B410" s="5"/>
      <c r="C410" s="18"/>
      <c r="D410" s="18"/>
      <c r="E410" s="18"/>
      <c r="F410" s="18"/>
      <c r="G410" s="18"/>
    </row>
    <row r="411" spans="1:7" ht="15.75" customHeight="1" x14ac:dyDescent="0.25">
      <c r="A411" s="5"/>
      <c r="B411" s="5"/>
      <c r="C411" s="18"/>
      <c r="D411" s="18"/>
      <c r="E411" s="18"/>
      <c r="F411" s="18"/>
      <c r="G411" s="18"/>
    </row>
    <row r="412" spans="1:7" ht="15.75" customHeight="1" x14ac:dyDescent="0.25">
      <c r="A412" s="5"/>
      <c r="B412" s="5"/>
      <c r="C412" s="18"/>
      <c r="D412" s="18"/>
      <c r="E412" s="18"/>
      <c r="F412" s="18"/>
      <c r="G412" s="18"/>
    </row>
    <row r="413" spans="1:7" ht="15.75" customHeight="1" x14ac:dyDescent="0.25">
      <c r="A413" s="5"/>
      <c r="B413" s="5"/>
      <c r="C413" s="18"/>
      <c r="D413" s="18"/>
      <c r="E413" s="18"/>
      <c r="F413" s="18"/>
      <c r="G413" s="18"/>
    </row>
    <row r="414" spans="1:7" ht="15.75" customHeight="1" x14ac:dyDescent="0.25">
      <c r="A414" s="5"/>
      <c r="B414" s="5"/>
      <c r="C414" s="18"/>
      <c r="D414" s="18"/>
      <c r="E414" s="18"/>
      <c r="F414" s="18"/>
      <c r="G414" s="18"/>
    </row>
    <row r="415" spans="1:7" ht="15.75" customHeight="1" x14ac:dyDescent="0.25">
      <c r="A415" s="5"/>
      <c r="B415" s="5"/>
      <c r="C415" s="18"/>
      <c r="D415" s="18"/>
      <c r="E415" s="18"/>
      <c r="F415" s="18"/>
      <c r="G415" s="18"/>
    </row>
    <row r="416" spans="1:7" ht="15.75" customHeight="1" x14ac:dyDescent="0.25">
      <c r="A416" s="5"/>
      <c r="B416" s="5"/>
      <c r="C416" s="18"/>
      <c r="D416" s="18"/>
      <c r="E416" s="18"/>
      <c r="F416" s="18"/>
      <c r="G416" s="18"/>
    </row>
    <row r="417" spans="1:7" ht="15.75" customHeight="1" x14ac:dyDescent="0.25">
      <c r="A417" s="5"/>
      <c r="B417" s="5"/>
      <c r="C417" s="18"/>
      <c r="D417" s="18"/>
      <c r="E417" s="18"/>
      <c r="F417" s="18"/>
      <c r="G417" s="18"/>
    </row>
    <row r="418" spans="1:7" ht="15.75" customHeight="1" x14ac:dyDescent="0.25">
      <c r="A418" s="5"/>
      <c r="B418" s="5"/>
      <c r="C418" s="18"/>
      <c r="D418" s="18"/>
      <c r="E418" s="18"/>
      <c r="F418" s="18"/>
      <c r="G418" s="18"/>
    </row>
    <row r="419" spans="1:7" ht="15.75" customHeight="1" x14ac:dyDescent="0.25">
      <c r="A419" s="5"/>
      <c r="B419" s="5"/>
      <c r="C419" s="18"/>
      <c r="D419" s="18"/>
      <c r="E419" s="18"/>
      <c r="F419" s="18"/>
      <c r="G419" s="18"/>
    </row>
    <row r="420" spans="1:7" ht="15.75" customHeight="1" x14ac:dyDescent="0.25">
      <c r="A420" s="5"/>
      <c r="B420" s="5"/>
      <c r="C420" s="18"/>
      <c r="D420" s="18"/>
      <c r="E420" s="18"/>
      <c r="F420" s="18"/>
      <c r="G420" s="18"/>
    </row>
    <row r="421" spans="1:7" ht="15.75" customHeight="1" x14ac:dyDescent="0.25">
      <c r="A421" s="5"/>
      <c r="B421" s="5"/>
      <c r="C421" s="18"/>
      <c r="D421" s="18"/>
      <c r="E421" s="18"/>
      <c r="F421" s="18"/>
      <c r="G421" s="18"/>
    </row>
    <row r="422" spans="1:7" ht="15.75" customHeight="1" x14ac:dyDescent="0.25">
      <c r="A422" s="5"/>
      <c r="B422" s="5"/>
      <c r="C422" s="18"/>
      <c r="D422" s="18"/>
      <c r="E422" s="18"/>
      <c r="F422" s="18"/>
      <c r="G422" s="18"/>
    </row>
    <row r="423" spans="1:7" ht="15.75" customHeight="1" x14ac:dyDescent="0.25">
      <c r="A423" s="5"/>
      <c r="B423" s="5"/>
      <c r="C423" s="18"/>
      <c r="D423" s="18"/>
      <c r="E423" s="18"/>
      <c r="F423" s="18"/>
      <c r="G423" s="18"/>
    </row>
    <row r="424" spans="1:7" ht="15.75" customHeight="1" x14ac:dyDescent="0.25">
      <c r="A424" s="5"/>
      <c r="B424" s="5"/>
      <c r="C424" s="18"/>
      <c r="D424" s="18"/>
      <c r="E424" s="18"/>
      <c r="F424" s="18"/>
      <c r="G424" s="18"/>
    </row>
    <row r="425" spans="1:7" ht="15.75" customHeight="1" x14ac:dyDescent="0.25">
      <c r="A425" s="5"/>
      <c r="B425" s="5"/>
      <c r="C425" s="18"/>
      <c r="D425" s="18"/>
      <c r="E425" s="18"/>
      <c r="F425" s="18"/>
      <c r="G425" s="18"/>
    </row>
    <row r="426" spans="1:7" ht="15.75" customHeight="1" x14ac:dyDescent="0.25">
      <c r="A426" s="5"/>
      <c r="B426" s="5"/>
      <c r="C426" s="18"/>
      <c r="D426" s="18"/>
      <c r="E426" s="18"/>
      <c r="F426" s="18"/>
      <c r="G426" s="18"/>
    </row>
    <row r="427" spans="1:7" ht="15.75" customHeight="1" x14ac:dyDescent="0.25">
      <c r="A427" s="5"/>
      <c r="B427" s="5"/>
      <c r="C427" s="18"/>
      <c r="D427" s="18"/>
      <c r="E427" s="18"/>
      <c r="F427" s="18"/>
      <c r="G427" s="18"/>
    </row>
    <row r="428" spans="1:7" ht="15.75" customHeight="1" x14ac:dyDescent="0.25">
      <c r="A428" s="5"/>
      <c r="B428" s="5"/>
      <c r="C428" s="18"/>
      <c r="D428" s="18"/>
      <c r="E428" s="18"/>
      <c r="F428" s="18"/>
      <c r="G428" s="18"/>
    </row>
    <row r="429" spans="1:7" ht="15.75" customHeight="1" x14ac:dyDescent="0.25">
      <c r="A429" s="5"/>
      <c r="B429" s="5"/>
      <c r="C429" s="18"/>
      <c r="D429" s="18"/>
      <c r="E429" s="18"/>
      <c r="F429" s="18"/>
      <c r="G429" s="18"/>
    </row>
    <row r="430" spans="1:7" ht="15.75" customHeight="1" x14ac:dyDescent="0.25">
      <c r="A430" s="5"/>
      <c r="B430" s="5"/>
      <c r="C430" s="18"/>
      <c r="D430" s="18"/>
      <c r="E430" s="18"/>
      <c r="F430" s="18"/>
      <c r="G430" s="18"/>
    </row>
    <row r="431" spans="1:7" ht="15.75" customHeight="1" x14ac:dyDescent="0.25">
      <c r="A431" s="5"/>
      <c r="B431" s="5"/>
      <c r="C431" s="18"/>
      <c r="D431" s="18"/>
      <c r="E431" s="18"/>
      <c r="F431" s="18"/>
      <c r="G431" s="18"/>
    </row>
    <row r="432" spans="1:7" ht="15.75" customHeight="1" x14ac:dyDescent="0.25">
      <c r="A432" s="5"/>
      <c r="B432" s="5"/>
      <c r="C432" s="18"/>
      <c r="D432" s="18"/>
      <c r="E432" s="18"/>
      <c r="F432" s="18"/>
      <c r="G432" s="18"/>
    </row>
    <row r="433" spans="1:7" ht="15.75" customHeight="1" x14ac:dyDescent="0.25">
      <c r="A433" s="5"/>
      <c r="B433" s="5"/>
      <c r="C433" s="18"/>
      <c r="D433" s="18"/>
      <c r="E433" s="18"/>
      <c r="F433" s="18"/>
      <c r="G433" s="18"/>
    </row>
    <row r="434" spans="1:7" ht="15.75" customHeight="1" x14ac:dyDescent="0.25">
      <c r="A434" s="5"/>
      <c r="B434" s="5"/>
      <c r="C434" s="18"/>
      <c r="D434" s="18"/>
      <c r="E434" s="18"/>
      <c r="F434" s="18"/>
      <c r="G434" s="18"/>
    </row>
    <row r="435" spans="1:7" ht="15.75" customHeight="1" x14ac:dyDescent="0.25">
      <c r="A435" s="5"/>
      <c r="B435" s="5"/>
      <c r="C435" s="18"/>
      <c r="D435" s="18"/>
      <c r="E435" s="18"/>
      <c r="F435" s="18"/>
      <c r="G435" s="18"/>
    </row>
    <row r="436" spans="1:7" ht="15.75" customHeight="1" x14ac:dyDescent="0.25">
      <c r="A436" s="5"/>
      <c r="B436" s="5"/>
      <c r="C436" s="18"/>
      <c r="D436" s="18"/>
      <c r="E436" s="18"/>
      <c r="F436" s="18"/>
      <c r="G436" s="18"/>
    </row>
    <row r="437" spans="1:7" ht="15.75" customHeight="1" x14ac:dyDescent="0.25">
      <c r="A437" s="5"/>
      <c r="B437" s="5"/>
      <c r="C437" s="18"/>
      <c r="D437" s="18"/>
      <c r="E437" s="18"/>
      <c r="F437" s="18"/>
      <c r="G437" s="18"/>
    </row>
    <row r="438" spans="1:7" ht="15.75" customHeight="1" x14ac:dyDescent="0.25">
      <c r="A438" s="5"/>
      <c r="B438" s="5"/>
      <c r="C438" s="18"/>
      <c r="D438" s="18"/>
      <c r="E438" s="18"/>
      <c r="F438" s="18"/>
      <c r="G438" s="18"/>
    </row>
    <row r="439" spans="1:7" ht="15.75" customHeight="1" x14ac:dyDescent="0.25">
      <c r="A439" s="5"/>
      <c r="B439" s="5"/>
      <c r="C439" s="18"/>
      <c r="D439" s="18"/>
      <c r="E439" s="18"/>
      <c r="F439" s="18"/>
      <c r="G439" s="18"/>
    </row>
    <row r="440" spans="1:7" ht="15.75" customHeight="1" x14ac:dyDescent="0.25">
      <c r="A440" s="5"/>
      <c r="B440" s="5"/>
      <c r="C440" s="18"/>
      <c r="D440" s="18"/>
      <c r="E440" s="18"/>
      <c r="F440" s="18"/>
      <c r="G440" s="18"/>
    </row>
    <row r="441" spans="1:7" ht="15.75" customHeight="1" x14ac:dyDescent="0.25">
      <c r="A441" s="5"/>
      <c r="B441" s="5"/>
      <c r="C441" s="18"/>
      <c r="D441" s="18"/>
      <c r="E441" s="18"/>
      <c r="F441" s="18"/>
      <c r="G441" s="18"/>
    </row>
    <row r="442" spans="1:7" ht="15.75" customHeight="1" x14ac:dyDescent="0.25">
      <c r="A442" s="5"/>
      <c r="B442" s="5"/>
      <c r="C442" s="18"/>
      <c r="D442" s="18"/>
      <c r="E442" s="18"/>
      <c r="F442" s="18"/>
      <c r="G442" s="18"/>
    </row>
    <row r="443" spans="1:7" ht="15.75" customHeight="1" x14ac:dyDescent="0.25">
      <c r="A443" s="5"/>
      <c r="B443" s="5"/>
      <c r="C443" s="18"/>
      <c r="D443" s="18"/>
      <c r="E443" s="18"/>
      <c r="F443" s="18"/>
      <c r="G443" s="18"/>
    </row>
    <row r="444" spans="1:7" ht="15.75" customHeight="1" x14ac:dyDescent="0.25">
      <c r="A444" s="5"/>
      <c r="B444" s="5"/>
      <c r="C444" s="18"/>
      <c r="D444" s="18"/>
      <c r="E444" s="18"/>
      <c r="F444" s="18"/>
      <c r="G444" s="18"/>
    </row>
    <row r="445" spans="1:7" ht="15.75" customHeight="1" x14ac:dyDescent="0.25">
      <c r="A445" s="5"/>
      <c r="B445" s="5"/>
      <c r="C445" s="18"/>
      <c r="D445" s="18"/>
      <c r="E445" s="18"/>
      <c r="F445" s="18"/>
      <c r="G445" s="18"/>
    </row>
    <row r="446" spans="1:7" ht="15.75" customHeight="1" x14ac:dyDescent="0.25">
      <c r="A446" s="5"/>
      <c r="B446" s="5"/>
      <c r="C446" s="18"/>
      <c r="D446" s="18"/>
      <c r="E446" s="18"/>
      <c r="F446" s="18"/>
      <c r="G446" s="18"/>
    </row>
    <row r="447" spans="1:7" ht="15.75" customHeight="1" x14ac:dyDescent="0.25">
      <c r="A447" s="5"/>
      <c r="B447" s="5"/>
      <c r="C447" s="18"/>
      <c r="D447" s="18"/>
      <c r="E447" s="18"/>
      <c r="F447" s="18"/>
      <c r="G447" s="18"/>
    </row>
    <row r="448" spans="1:7" ht="15.75" customHeight="1" x14ac:dyDescent="0.25">
      <c r="A448" s="5"/>
      <c r="B448" s="5"/>
      <c r="C448" s="18"/>
      <c r="D448" s="18"/>
      <c r="E448" s="18"/>
      <c r="F448" s="18"/>
      <c r="G448" s="18"/>
    </row>
    <row r="449" spans="1:7" ht="15.75" customHeight="1" x14ac:dyDescent="0.25">
      <c r="A449" s="5"/>
      <c r="B449" s="5"/>
      <c r="C449" s="18"/>
      <c r="D449" s="18"/>
      <c r="E449" s="18"/>
      <c r="F449" s="18"/>
      <c r="G449" s="18"/>
    </row>
    <row r="450" spans="1:7" ht="15.75" customHeight="1" x14ac:dyDescent="0.25">
      <c r="A450" s="5"/>
      <c r="B450" s="5"/>
      <c r="C450" s="18"/>
      <c r="D450" s="18"/>
      <c r="E450" s="18"/>
      <c r="F450" s="18"/>
      <c r="G450" s="18"/>
    </row>
    <row r="451" spans="1:7" ht="15.75" customHeight="1" x14ac:dyDescent="0.25">
      <c r="A451" s="5"/>
      <c r="B451" s="5"/>
      <c r="C451" s="18"/>
      <c r="D451" s="18"/>
      <c r="E451" s="18"/>
      <c r="F451" s="18"/>
      <c r="G451" s="18"/>
    </row>
    <row r="452" spans="1:7" ht="15.75" customHeight="1" x14ac:dyDescent="0.25">
      <c r="A452" s="5"/>
      <c r="B452" s="5"/>
      <c r="C452" s="18"/>
      <c r="D452" s="18"/>
      <c r="E452" s="18"/>
      <c r="F452" s="18"/>
      <c r="G452" s="18"/>
    </row>
    <row r="453" spans="1:7" ht="15.75" customHeight="1" x14ac:dyDescent="0.25">
      <c r="A453" s="5"/>
      <c r="B453" s="5"/>
      <c r="C453" s="18"/>
      <c r="D453" s="18"/>
      <c r="E453" s="18"/>
      <c r="F453" s="18"/>
      <c r="G453" s="18"/>
    </row>
    <row r="454" spans="1:7" ht="15.75" customHeight="1" x14ac:dyDescent="0.25">
      <c r="A454" s="5"/>
      <c r="B454" s="5"/>
      <c r="C454" s="18"/>
      <c r="D454" s="18"/>
      <c r="E454" s="18"/>
      <c r="F454" s="18"/>
      <c r="G454" s="18"/>
    </row>
    <row r="455" spans="1:7" ht="15.75" customHeight="1" x14ac:dyDescent="0.25">
      <c r="A455" s="5"/>
      <c r="B455" s="5"/>
      <c r="C455" s="18"/>
      <c r="D455" s="18"/>
      <c r="E455" s="18"/>
      <c r="F455" s="18"/>
      <c r="G455" s="18"/>
    </row>
    <row r="456" spans="1:7" ht="15.75" customHeight="1" x14ac:dyDescent="0.25">
      <c r="A456" s="5"/>
      <c r="B456" s="5"/>
      <c r="C456" s="18"/>
      <c r="D456" s="18"/>
      <c r="E456" s="18"/>
      <c r="F456" s="18"/>
      <c r="G456" s="18"/>
    </row>
    <row r="457" spans="1:7" ht="15.75" customHeight="1" x14ac:dyDescent="0.25">
      <c r="A457" s="5"/>
      <c r="B457" s="5"/>
      <c r="C457" s="18"/>
      <c r="D457" s="18"/>
      <c r="E457" s="18"/>
      <c r="F457" s="18"/>
      <c r="G457" s="18"/>
    </row>
    <row r="458" spans="1:7" ht="15.75" customHeight="1" x14ac:dyDescent="0.25">
      <c r="A458" s="5"/>
      <c r="B458" s="5"/>
      <c r="C458" s="18"/>
      <c r="D458" s="18"/>
      <c r="E458" s="18"/>
      <c r="F458" s="18"/>
      <c r="G458" s="18"/>
    </row>
    <row r="459" spans="1:7" ht="15.75" customHeight="1" x14ac:dyDescent="0.25">
      <c r="A459" s="5"/>
      <c r="B459" s="5"/>
      <c r="C459" s="18"/>
      <c r="D459" s="18"/>
      <c r="E459" s="18"/>
      <c r="F459" s="18"/>
      <c r="G459" s="18"/>
    </row>
    <row r="460" spans="1:7" ht="15.75" customHeight="1" x14ac:dyDescent="0.25">
      <c r="A460" s="5"/>
      <c r="B460" s="5"/>
      <c r="C460" s="18"/>
      <c r="D460" s="18"/>
      <c r="E460" s="18"/>
      <c r="F460" s="18"/>
      <c r="G460" s="18"/>
    </row>
    <row r="461" spans="1:7" ht="15.75" customHeight="1" x14ac:dyDescent="0.25">
      <c r="A461" s="5"/>
      <c r="B461" s="5"/>
      <c r="C461" s="18"/>
      <c r="D461" s="18"/>
      <c r="E461" s="18"/>
      <c r="F461" s="18"/>
      <c r="G461" s="18"/>
    </row>
    <row r="462" spans="1:7" ht="15.75" customHeight="1" x14ac:dyDescent="0.25">
      <c r="A462" s="5"/>
      <c r="B462" s="5"/>
      <c r="C462" s="18"/>
      <c r="D462" s="18"/>
      <c r="E462" s="18"/>
      <c r="F462" s="18"/>
      <c r="G462" s="18"/>
    </row>
    <row r="463" spans="1:7" ht="15.75" customHeight="1" x14ac:dyDescent="0.25">
      <c r="A463" s="5"/>
      <c r="B463" s="5"/>
      <c r="C463" s="18"/>
      <c r="D463" s="18"/>
      <c r="E463" s="18"/>
      <c r="F463" s="18"/>
      <c r="G463" s="18"/>
    </row>
    <row r="464" spans="1:7" ht="15.75" customHeight="1" x14ac:dyDescent="0.25">
      <c r="A464" s="5"/>
      <c r="B464" s="5"/>
      <c r="C464" s="18"/>
      <c r="D464" s="18"/>
      <c r="E464" s="18"/>
      <c r="F464" s="18"/>
      <c r="G464" s="18"/>
    </row>
    <row r="465" spans="1:7" ht="15.75" customHeight="1" x14ac:dyDescent="0.25">
      <c r="A465" s="5"/>
      <c r="B465" s="5"/>
      <c r="C465" s="18"/>
      <c r="D465" s="18"/>
      <c r="E465" s="18"/>
      <c r="F465" s="18"/>
      <c r="G465" s="18"/>
    </row>
    <row r="466" spans="1:7" ht="15.75" customHeight="1" x14ac:dyDescent="0.25">
      <c r="A466" s="5"/>
      <c r="B466" s="5"/>
      <c r="C466" s="18"/>
      <c r="D466" s="18"/>
      <c r="E466" s="18"/>
      <c r="F466" s="18"/>
      <c r="G466" s="18"/>
    </row>
    <row r="467" spans="1:7" ht="15.75" customHeight="1" x14ac:dyDescent="0.25">
      <c r="A467" s="5"/>
      <c r="B467" s="5"/>
      <c r="C467" s="18"/>
      <c r="D467" s="18"/>
      <c r="E467" s="18"/>
      <c r="F467" s="18"/>
      <c r="G467" s="18"/>
    </row>
    <row r="468" spans="1:7" ht="15.75" customHeight="1" x14ac:dyDescent="0.25">
      <c r="A468" s="5"/>
      <c r="B468" s="5"/>
      <c r="C468" s="18"/>
      <c r="D468" s="18"/>
      <c r="E468" s="18"/>
      <c r="F468" s="18"/>
      <c r="G468" s="18"/>
    </row>
    <row r="469" spans="1:7" ht="15.75" customHeight="1" x14ac:dyDescent="0.25">
      <c r="A469" s="5"/>
      <c r="B469" s="5"/>
      <c r="C469" s="18"/>
      <c r="D469" s="18"/>
      <c r="E469" s="18"/>
      <c r="F469" s="18"/>
      <c r="G469" s="18"/>
    </row>
    <row r="470" spans="1:7" ht="15.75" customHeight="1" x14ac:dyDescent="0.25">
      <c r="A470" s="5"/>
      <c r="B470" s="5"/>
      <c r="C470" s="18"/>
      <c r="D470" s="18"/>
      <c r="E470" s="18"/>
      <c r="F470" s="18"/>
      <c r="G470" s="18"/>
    </row>
    <row r="471" spans="1:7" ht="15.75" customHeight="1" x14ac:dyDescent="0.25">
      <c r="A471" s="5"/>
      <c r="B471" s="5"/>
      <c r="C471" s="18"/>
      <c r="D471" s="18"/>
      <c r="E471" s="18"/>
      <c r="F471" s="18"/>
      <c r="G471" s="18"/>
    </row>
    <row r="472" spans="1:7" ht="15.75" customHeight="1" x14ac:dyDescent="0.25">
      <c r="A472" s="5"/>
      <c r="B472" s="5"/>
      <c r="C472" s="18"/>
      <c r="D472" s="18"/>
      <c r="E472" s="18"/>
      <c r="F472" s="18"/>
      <c r="G472" s="18"/>
    </row>
    <row r="473" spans="1:7" ht="15.75" customHeight="1" x14ac:dyDescent="0.25">
      <c r="A473" s="5"/>
      <c r="B473" s="5"/>
      <c r="C473" s="18"/>
      <c r="D473" s="18"/>
      <c r="E473" s="18"/>
      <c r="F473" s="18"/>
      <c r="G473" s="18"/>
    </row>
    <row r="474" spans="1:7" ht="15.75" customHeight="1" x14ac:dyDescent="0.25">
      <c r="A474" s="5"/>
      <c r="B474" s="5"/>
      <c r="C474" s="18"/>
      <c r="D474" s="18"/>
      <c r="E474" s="18"/>
      <c r="F474" s="18"/>
      <c r="G474" s="18"/>
    </row>
    <row r="475" spans="1:7" ht="15.75" customHeight="1" x14ac:dyDescent="0.25">
      <c r="A475" s="5"/>
      <c r="B475" s="5"/>
      <c r="C475" s="18"/>
      <c r="D475" s="18"/>
      <c r="E475" s="18"/>
      <c r="F475" s="18"/>
      <c r="G475" s="18"/>
    </row>
    <row r="476" spans="1:7" ht="15.75" customHeight="1" x14ac:dyDescent="0.25">
      <c r="A476" s="5"/>
      <c r="B476" s="5"/>
      <c r="C476" s="18"/>
      <c r="D476" s="18"/>
      <c r="E476" s="18"/>
      <c r="F476" s="18"/>
      <c r="G476" s="18"/>
    </row>
    <row r="477" spans="1:7" ht="15.75" customHeight="1" x14ac:dyDescent="0.25">
      <c r="A477" s="5"/>
      <c r="B477" s="5"/>
      <c r="C477" s="18"/>
      <c r="D477" s="18"/>
      <c r="E477" s="18"/>
      <c r="F477" s="18"/>
      <c r="G477" s="18"/>
    </row>
    <row r="478" spans="1:7" ht="15.75" customHeight="1" x14ac:dyDescent="0.25">
      <c r="A478" s="5"/>
      <c r="B478" s="5"/>
      <c r="C478" s="18"/>
      <c r="D478" s="18"/>
      <c r="E478" s="18"/>
      <c r="F478" s="18"/>
      <c r="G478" s="18"/>
    </row>
    <row r="479" spans="1:7" ht="15.75" customHeight="1" x14ac:dyDescent="0.25">
      <c r="A479" s="5"/>
      <c r="B479" s="5"/>
      <c r="C479" s="18"/>
      <c r="D479" s="18"/>
      <c r="E479" s="18"/>
      <c r="F479" s="18"/>
      <c r="G479" s="18"/>
    </row>
    <row r="480" spans="1:7" ht="15.75" customHeight="1" x14ac:dyDescent="0.25">
      <c r="A480" s="5"/>
      <c r="B480" s="5"/>
      <c r="C480" s="18"/>
      <c r="D480" s="18"/>
      <c r="E480" s="18"/>
      <c r="F480" s="18"/>
      <c r="G480" s="18"/>
    </row>
    <row r="481" spans="1:7" ht="15.75" customHeight="1" x14ac:dyDescent="0.25">
      <c r="A481" s="5"/>
      <c r="B481" s="5"/>
      <c r="C481" s="18"/>
      <c r="D481" s="18"/>
      <c r="E481" s="18"/>
      <c r="F481" s="18"/>
      <c r="G481" s="18"/>
    </row>
    <row r="482" spans="1:7" ht="15.75" customHeight="1" x14ac:dyDescent="0.25">
      <c r="A482" s="5"/>
      <c r="B482" s="5"/>
      <c r="C482" s="18"/>
      <c r="D482" s="18"/>
      <c r="E482" s="18"/>
      <c r="F482" s="18"/>
      <c r="G482" s="18"/>
    </row>
    <row r="483" spans="1:7" ht="15.75" customHeight="1" x14ac:dyDescent="0.25">
      <c r="A483" s="5"/>
      <c r="B483" s="5"/>
      <c r="C483" s="18"/>
      <c r="D483" s="18"/>
      <c r="E483" s="18"/>
      <c r="F483" s="18"/>
      <c r="G483" s="18"/>
    </row>
    <row r="484" spans="1:7" ht="15.75" customHeight="1" x14ac:dyDescent="0.25">
      <c r="A484" s="5"/>
      <c r="B484" s="5"/>
      <c r="C484" s="18"/>
      <c r="D484" s="18"/>
      <c r="E484" s="18"/>
      <c r="F484" s="18"/>
      <c r="G484" s="18"/>
    </row>
    <row r="485" spans="1:7" ht="15.75" customHeight="1" x14ac:dyDescent="0.25">
      <c r="A485" s="5"/>
      <c r="B485" s="5"/>
      <c r="C485" s="18"/>
      <c r="D485" s="18"/>
      <c r="E485" s="18"/>
      <c r="F485" s="18"/>
      <c r="G485" s="18"/>
    </row>
    <row r="486" spans="1:7" ht="15.75" customHeight="1" x14ac:dyDescent="0.25">
      <c r="A486" s="5"/>
      <c r="B486" s="5"/>
      <c r="C486" s="18"/>
      <c r="D486" s="18"/>
      <c r="E486" s="18"/>
      <c r="F486" s="18"/>
      <c r="G486" s="18"/>
    </row>
    <row r="487" spans="1:7" ht="15.75" customHeight="1" x14ac:dyDescent="0.25">
      <c r="A487" s="5"/>
      <c r="B487" s="5"/>
      <c r="C487" s="18"/>
      <c r="D487" s="18"/>
      <c r="E487" s="18"/>
      <c r="F487" s="18"/>
      <c r="G487" s="18"/>
    </row>
    <row r="488" spans="1:7" ht="15.75" customHeight="1" x14ac:dyDescent="0.25">
      <c r="A488" s="5"/>
      <c r="B488" s="5"/>
      <c r="C488" s="18"/>
      <c r="D488" s="18"/>
      <c r="E488" s="18"/>
      <c r="F488" s="18"/>
      <c r="G488" s="18"/>
    </row>
    <row r="489" spans="1:7" ht="15.75" customHeight="1" x14ac:dyDescent="0.25">
      <c r="A489" s="5"/>
      <c r="B489" s="5"/>
      <c r="C489" s="18"/>
      <c r="D489" s="18"/>
      <c r="E489" s="18"/>
      <c r="F489" s="18"/>
      <c r="G489" s="18"/>
    </row>
    <row r="490" spans="1:7" ht="15.75" customHeight="1" x14ac:dyDescent="0.25">
      <c r="A490" s="5"/>
      <c r="B490" s="5"/>
      <c r="C490" s="18"/>
      <c r="D490" s="18"/>
      <c r="E490" s="18"/>
      <c r="F490" s="18"/>
      <c r="G490" s="18"/>
    </row>
    <row r="491" spans="1:7" ht="15.75" customHeight="1" x14ac:dyDescent="0.25">
      <c r="A491" s="5"/>
      <c r="B491" s="5"/>
      <c r="C491" s="18"/>
      <c r="D491" s="18"/>
      <c r="E491" s="18"/>
      <c r="F491" s="18"/>
      <c r="G491" s="18"/>
    </row>
    <row r="492" spans="1:7" ht="15.75" customHeight="1" x14ac:dyDescent="0.25">
      <c r="A492" s="5"/>
      <c r="B492" s="5"/>
      <c r="C492" s="18"/>
      <c r="D492" s="18"/>
      <c r="E492" s="18"/>
      <c r="F492" s="18"/>
      <c r="G492" s="18"/>
    </row>
    <row r="493" spans="1:7" ht="15.75" customHeight="1" x14ac:dyDescent="0.25">
      <c r="A493" s="5"/>
      <c r="B493" s="5"/>
      <c r="C493" s="18"/>
      <c r="D493" s="18"/>
      <c r="E493" s="18"/>
      <c r="F493" s="18"/>
      <c r="G493" s="18"/>
    </row>
    <row r="494" spans="1:7" ht="15.75" customHeight="1" x14ac:dyDescent="0.25">
      <c r="A494" s="5"/>
      <c r="B494" s="5"/>
      <c r="C494" s="18"/>
      <c r="D494" s="18"/>
      <c r="E494" s="18"/>
      <c r="F494" s="18"/>
      <c r="G494" s="18"/>
    </row>
    <row r="495" spans="1:7" ht="15.75" customHeight="1" x14ac:dyDescent="0.25">
      <c r="A495" s="5"/>
      <c r="B495" s="5"/>
      <c r="C495" s="18"/>
      <c r="D495" s="18"/>
      <c r="E495" s="18"/>
      <c r="F495" s="18"/>
      <c r="G495" s="18"/>
    </row>
    <row r="496" spans="1:7" ht="15.75" customHeight="1" x14ac:dyDescent="0.25">
      <c r="A496" s="5"/>
      <c r="B496" s="5"/>
      <c r="C496" s="18"/>
      <c r="D496" s="18"/>
      <c r="E496" s="18"/>
      <c r="F496" s="18"/>
      <c r="G496" s="18"/>
    </row>
    <row r="497" spans="1:7" ht="15.75" customHeight="1" x14ac:dyDescent="0.25">
      <c r="A497" s="5"/>
      <c r="B497" s="5"/>
      <c r="C497" s="18"/>
      <c r="D497" s="18"/>
      <c r="E497" s="18"/>
      <c r="F497" s="18"/>
      <c r="G497" s="18"/>
    </row>
    <row r="498" spans="1:7" ht="15.75" customHeight="1" x14ac:dyDescent="0.25">
      <c r="A498" s="5"/>
      <c r="B498" s="5"/>
      <c r="C498" s="18"/>
      <c r="D498" s="18"/>
      <c r="E498" s="18"/>
      <c r="F498" s="18"/>
      <c r="G498" s="18"/>
    </row>
    <row r="499" spans="1:7" ht="15.75" customHeight="1" x14ac:dyDescent="0.25">
      <c r="A499" s="5"/>
      <c r="B499" s="5"/>
      <c r="C499" s="18"/>
      <c r="D499" s="18"/>
      <c r="E499" s="18"/>
      <c r="F499" s="18"/>
      <c r="G499" s="18"/>
    </row>
    <row r="500" spans="1:7" ht="15.75" customHeight="1" x14ac:dyDescent="0.25">
      <c r="A500" s="5"/>
      <c r="B500" s="5"/>
      <c r="C500" s="18"/>
      <c r="D500" s="18"/>
      <c r="E500" s="18"/>
      <c r="F500" s="18"/>
      <c r="G500" s="18"/>
    </row>
    <row r="501" spans="1:7" ht="15.75" customHeight="1" x14ac:dyDescent="0.25">
      <c r="A501" s="5"/>
      <c r="B501" s="5"/>
      <c r="C501" s="18"/>
      <c r="D501" s="18"/>
      <c r="E501" s="18"/>
      <c r="F501" s="18"/>
      <c r="G501" s="18"/>
    </row>
    <row r="502" spans="1:7" ht="15.75" customHeight="1" x14ac:dyDescent="0.25">
      <c r="A502" s="5"/>
      <c r="B502" s="5"/>
      <c r="C502" s="18"/>
      <c r="D502" s="18"/>
      <c r="E502" s="18"/>
      <c r="F502" s="18"/>
      <c r="G502" s="18"/>
    </row>
    <row r="503" spans="1:7" ht="15.75" customHeight="1" x14ac:dyDescent="0.25">
      <c r="A503" s="5"/>
      <c r="B503" s="5"/>
      <c r="C503" s="18"/>
      <c r="D503" s="18"/>
      <c r="E503" s="18"/>
      <c r="F503" s="18"/>
      <c r="G503" s="18"/>
    </row>
    <row r="504" spans="1:7" ht="15.75" customHeight="1" x14ac:dyDescent="0.25">
      <c r="A504" s="5"/>
      <c r="B504" s="5"/>
      <c r="C504" s="18"/>
      <c r="D504" s="18"/>
      <c r="E504" s="18"/>
      <c r="F504" s="18"/>
      <c r="G504" s="18"/>
    </row>
    <row r="505" spans="1:7" ht="15.75" customHeight="1" x14ac:dyDescent="0.25">
      <c r="A505" s="5"/>
      <c r="B505" s="5"/>
      <c r="C505" s="18"/>
      <c r="D505" s="18"/>
      <c r="E505" s="18"/>
      <c r="F505" s="18"/>
      <c r="G505" s="18"/>
    </row>
    <row r="506" spans="1:7" ht="15.75" customHeight="1" x14ac:dyDescent="0.25">
      <c r="A506" s="5"/>
      <c r="B506" s="5"/>
      <c r="C506" s="18"/>
      <c r="D506" s="18"/>
      <c r="E506" s="18"/>
      <c r="F506" s="18"/>
      <c r="G506" s="18"/>
    </row>
    <row r="507" spans="1:7" ht="15.75" customHeight="1" x14ac:dyDescent="0.25">
      <c r="A507" s="5"/>
      <c r="B507" s="5"/>
      <c r="C507" s="18"/>
      <c r="D507" s="18"/>
      <c r="E507" s="18"/>
      <c r="F507" s="18"/>
      <c r="G507" s="18"/>
    </row>
    <row r="508" spans="1:7" ht="15.75" customHeight="1" x14ac:dyDescent="0.25">
      <c r="A508" s="5"/>
      <c r="B508" s="5"/>
      <c r="C508" s="18"/>
      <c r="D508" s="18"/>
      <c r="E508" s="18"/>
      <c r="F508" s="18"/>
      <c r="G508" s="18"/>
    </row>
    <row r="509" spans="1:7" ht="15.75" customHeight="1" x14ac:dyDescent="0.25">
      <c r="A509" s="5"/>
      <c r="B509" s="5"/>
      <c r="C509" s="18"/>
      <c r="D509" s="18"/>
      <c r="E509" s="18"/>
      <c r="F509" s="18"/>
      <c r="G509" s="18"/>
    </row>
    <row r="510" spans="1:7" ht="15.75" customHeight="1" x14ac:dyDescent="0.25">
      <c r="A510" s="5"/>
      <c r="B510" s="5"/>
      <c r="C510" s="18"/>
      <c r="D510" s="18"/>
      <c r="E510" s="18"/>
      <c r="F510" s="18"/>
      <c r="G510" s="18"/>
    </row>
    <row r="511" spans="1:7" ht="15.75" customHeight="1" x14ac:dyDescent="0.25">
      <c r="A511" s="5"/>
      <c r="B511" s="5"/>
      <c r="C511" s="18"/>
      <c r="D511" s="18"/>
      <c r="E511" s="18"/>
      <c r="F511" s="18"/>
      <c r="G511" s="18"/>
    </row>
    <row r="512" spans="1:7" ht="15.75" customHeight="1" x14ac:dyDescent="0.25">
      <c r="A512" s="5"/>
      <c r="B512" s="5"/>
      <c r="C512" s="18"/>
      <c r="D512" s="18"/>
      <c r="E512" s="18"/>
      <c r="F512" s="18"/>
      <c r="G512" s="18"/>
    </row>
    <row r="513" spans="1:7" ht="15.75" customHeight="1" x14ac:dyDescent="0.25">
      <c r="A513" s="5"/>
      <c r="B513" s="5"/>
      <c r="C513" s="18"/>
      <c r="D513" s="18"/>
      <c r="E513" s="18"/>
      <c r="F513" s="18"/>
      <c r="G513" s="18"/>
    </row>
    <row r="514" spans="1:7" ht="15.75" customHeight="1" x14ac:dyDescent="0.25">
      <c r="A514" s="5"/>
      <c r="B514" s="5"/>
      <c r="C514" s="18"/>
      <c r="D514" s="18"/>
      <c r="E514" s="18"/>
      <c r="F514" s="18"/>
      <c r="G514" s="18"/>
    </row>
    <row r="515" spans="1:7" ht="15.75" customHeight="1" x14ac:dyDescent="0.25">
      <c r="A515" s="5"/>
      <c r="B515" s="5"/>
      <c r="C515" s="18"/>
      <c r="D515" s="18"/>
      <c r="E515" s="18"/>
      <c r="F515" s="18"/>
      <c r="G515" s="18"/>
    </row>
    <row r="516" spans="1:7" ht="15.75" customHeight="1" x14ac:dyDescent="0.25">
      <c r="A516" s="5"/>
      <c r="B516" s="5"/>
      <c r="C516" s="18"/>
      <c r="D516" s="18"/>
      <c r="E516" s="18"/>
      <c r="F516" s="18"/>
      <c r="G516" s="18"/>
    </row>
    <row r="517" spans="1:7" ht="15.75" customHeight="1" x14ac:dyDescent="0.25">
      <c r="A517" s="5"/>
      <c r="B517" s="5"/>
      <c r="C517" s="18"/>
      <c r="D517" s="18"/>
      <c r="E517" s="18"/>
      <c r="F517" s="18"/>
      <c r="G517" s="18"/>
    </row>
    <row r="518" spans="1:7" ht="15.75" customHeight="1" x14ac:dyDescent="0.25">
      <c r="A518" s="5"/>
      <c r="B518" s="5"/>
      <c r="C518" s="18"/>
      <c r="D518" s="18"/>
      <c r="E518" s="18"/>
      <c r="F518" s="18"/>
      <c r="G518" s="18"/>
    </row>
    <row r="519" spans="1:7" ht="15.75" customHeight="1" x14ac:dyDescent="0.25">
      <c r="A519" s="5"/>
      <c r="B519" s="5"/>
      <c r="C519" s="18"/>
      <c r="D519" s="18"/>
      <c r="E519" s="18"/>
      <c r="F519" s="18"/>
      <c r="G519" s="18"/>
    </row>
    <row r="520" spans="1:7" ht="15.75" customHeight="1" x14ac:dyDescent="0.25">
      <c r="A520" s="5"/>
      <c r="B520" s="5"/>
      <c r="C520" s="18"/>
      <c r="D520" s="18"/>
      <c r="E520" s="18"/>
      <c r="F520" s="18"/>
      <c r="G520" s="18"/>
    </row>
    <row r="521" spans="1:7" ht="15.75" customHeight="1" x14ac:dyDescent="0.25">
      <c r="A521" s="5"/>
      <c r="B521" s="5"/>
      <c r="C521" s="18"/>
      <c r="D521" s="18"/>
      <c r="E521" s="18"/>
      <c r="F521" s="18"/>
      <c r="G521" s="18"/>
    </row>
    <row r="522" spans="1:7" ht="15.75" customHeight="1" x14ac:dyDescent="0.25">
      <c r="A522" s="5"/>
      <c r="B522" s="5"/>
      <c r="C522" s="18"/>
      <c r="D522" s="18"/>
      <c r="E522" s="18"/>
      <c r="F522" s="18"/>
      <c r="G522" s="18"/>
    </row>
    <row r="523" spans="1:7" ht="15.75" customHeight="1" x14ac:dyDescent="0.25">
      <c r="A523" s="5"/>
      <c r="B523" s="5"/>
      <c r="C523" s="18"/>
      <c r="D523" s="18"/>
      <c r="E523" s="18"/>
      <c r="F523" s="18"/>
      <c r="G523" s="18"/>
    </row>
    <row r="524" spans="1:7" ht="15.75" customHeight="1" x14ac:dyDescent="0.25">
      <c r="A524" s="5"/>
      <c r="B524" s="5"/>
      <c r="C524" s="18"/>
      <c r="D524" s="18"/>
      <c r="E524" s="18"/>
      <c r="F524" s="18"/>
      <c r="G524" s="18"/>
    </row>
    <row r="525" spans="1:7" ht="15.75" customHeight="1" x14ac:dyDescent="0.25">
      <c r="A525" s="5"/>
      <c r="B525" s="5"/>
      <c r="C525" s="18"/>
      <c r="D525" s="18"/>
      <c r="E525" s="18"/>
      <c r="F525" s="18"/>
      <c r="G525" s="18"/>
    </row>
    <row r="526" spans="1:7" ht="15.75" customHeight="1" x14ac:dyDescent="0.25">
      <c r="A526" s="5"/>
      <c r="B526" s="5"/>
      <c r="C526" s="18"/>
      <c r="D526" s="18"/>
      <c r="E526" s="18"/>
      <c r="F526" s="18"/>
      <c r="G526" s="18"/>
    </row>
    <row r="527" spans="1:7" ht="15.75" customHeight="1" x14ac:dyDescent="0.25">
      <c r="A527" s="5"/>
      <c r="B527" s="5"/>
      <c r="C527" s="18"/>
      <c r="D527" s="18"/>
      <c r="E527" s="18"/>
      <c r="F527" s="18"/>
      <c r="G527" s="18"/>
    </row>
    <row r="528" spans="1:7" ht="15.75" customHeight="1" x14ac:dyDescent="0.25">
      <c r="A528" s="5"/>
      <c r="B528" s="5"/>
      <c r="C528" s="18"/>
      <c r="D528" s="18"/>
      <c r="E528" s="18"/>
      <c r="F528" s="18"/>
      <c r="G528" s="18"/>
    </row>
    <row r="529" spans="1:7" ht="15.75" customHeight="1" x14ac:dyDescent="0.25">
      <c r="A529" s="5"/>
      <c r="B529" s="5"/>
      <c r="C529" s="18"/>
      <c r="D529" s="18"/>
      <c r="E529" s="18"/>
      <c r="F529" s="18"/>
      <c r="G529" s="18"/>
    </row>
    <row r="530" spans="1:7" ht="15.75" customHeight="1" x14ac:dyDescent="0.25">
      <c r="A530" s="5"/>
      <c r="B530" s="5"/>
      <c r="C530" s="18"/>
      <c r="D530" s="18"/>
      <c r="E530" s="18"/>
      <c r="F530" s="18"/>
      <c r="G530" s="18"/>
    </row>
    <row r="531" spans="1:7" ht="15.75" customHeight="1" x14ac:dyDescent="0.25">
      <c r="A531" s="5"/>
      <c r="B531" s="5"/>
      <c r="C531" s="18"/>
      <c r="D531" s="18"/>
      <c r="E531" s="18"/>
      <c r="F531" s="18"/>
      <c r="G531" s="18"/>
    </row>
    <row r="532" spans="1:7" ht="15.75" customHeight="1" x14ac:dyDescent="0.25">
      <c r="A532" s="5"/>
      <c r="B532" s="5"/>
      <c r="C532" s="18"/>
      <c r="D532" s="18"/>
      <c r="E532" s="18"/>
      <c r="F532" s="18"/>
      <c r="G532" s="18"/>
    </row>
    <row r="533" spans="1:7" ht="15.75" customHeight="1" x14ac:dyDescent="0.25">
      <c r="A533" s="5"/>
      <c r="B533" s="5"/>
      <c r="C533" s="18"/>
      <c r="D533" s="18"/>
      <c r="E533" s="18"/>
      <c r="F533" s="18"/>
      <c r="G533" s="18"/>
    </row>
    <row r="534" spans="1:7" ht="15.75" customHeight="1" x14ac:dyDescent="0.25">
      <c r="A534" s="5"/>
      <c r="B534" s="5"/>
      <c r="C534" s="18"/>
      <c r="D534" s="18"/>
      <c r="E534" s="18"/>
      <c r="F534" s="18"/>
      <c r="G534" s="18"/>
    </row>
    <row r="535" spans="1:7" ht="15.75" customHeight="1" x14ac:dyDescent="0.25">
      <c r="A535" s="5"/>
      <c r="B535" s="5"/>
      <c r="C535" s="18"/>
      <c r="D535" s="18"/>
      <c r="E535" s="18"/>
      <c r="F535" s="18"/>
      <c r="G535" s="18"/>
    </row>
    <row r="536" spans="1:7" ht="15.75" customHeight="1" x14ac:dyDescent="0.25">
      <c r="A536" s="5"/>
      <c r="B536" s="5"/>
      <c r="C536" s="18"/>
      <c r="D536" s="18"/>
      <c r="E536" s="18"/>
      <c r="F536" s="18"/>
      <c r="G536" s="18"/>
    </row>
    <row r="537" spans="1:7" ht="15.75" customHeight="1" x14ac:dyDescent="0.25">
      <c r="A537" s="5"/>
      <c r="B537" s="5"/>
      <c r="C537" s="18"/>
      <c r="D537" s="18"/>
      <c r="E537" s="18"/>
      <c r="F537" s="18"/>
      <c r="G537" s="18"/>
    </row>
    <row r="538" spans="1:7" ht="15.75" customHeight="1" x14ac:dyDescent="0.25">
      <c r="A538" s="5"/>
      <c r="B538" s="5"/>
      <c r="C538" s="18"/>
      <c r="D538" s="18"/>
      <c r="E538" s="18"/>
      <c r="F538" s="18"/>
      <c r="G538" s="18"/>
    </row>
    <row r="539" spans="1:7" ht="15.75" customHeight="1" x14ac:dyDescent="0.25">
      <c r="A539" s="5"/>
      <c r="B539" s="5"/>
      <c r="C539" s="18"/>
      <c r="D539" s="18"/>
      <c r="E539" s="18"/>
      <c r="F539" s="18"/>
      <c r="G539" s="18"/>
    </row>
    <row r="540" spans="1:7" ht="15.75" customHeight="1" x14ac:dyDescent="0.25">
      <c r="A540" s="5"/>
      <c r="B540" s="5"/>
      <c r="C540" s="18"/>
      <c r="D540" s="18"/>
      <c r="E540" s="18"/>
      <c r="F540" s="18"/>
      <c r="G540" s="18"/>
    </row>
    <row r="541" spans="1:7" ht="15.75" customHeight="1" x14ac:dyDescent="0.25">
      <c r="A541" s="5"/>
      <c r="B541" s="5"/>
      <c r="C541" s="18"/>
      <c r="D541" s="18"/>
      <c r="E541" s="18"/>
      <c r="F541" s="18"/>
      <c r="G541" s="18"/>
    </row>
    <row r="542" spans="1:7" ht="15.75" customHeight="1" x14ac:dyDescent="0.25">
      <c r="A542" s="5"/>
      <c r="B542" s="5"/>
      <c r="C542" s="18"/>
      <c r="D542" s="18"/>
      <c r="E542" s="18"/>
      <c r="F542" s="18"/>
      <c r="G542" s="18"/>
    </row>
    <row r="543" spans="1:7" ht="15.75" customHeight="1" x14ac:dyDescent="0.25">
      <c r="A543" s="5"/>
      <c r="B543" s="5"/>
      <c r="C543" s="18"/>
      <c r="D543" s="18"/>
      <c r="E543" s="18"/>
      <c r="F543" s="18"/>
      <c r="G543" s="18"/>
    </row>
    <row r="544" spans="1:7" ht="15.75" customHeight="1" x14ac:dyDescent="0.25">
      <c r="A544" s="5"/>
      <c r="B544" s="5"/>
      <c r="C544" s="18"/>
      <c r="D544" s="18"/>
      <c r="E544" s="18"/>
      <c r="F544" s="18"/>
      <c r="G544" s="18"/>
    </row>
    <row r="545" spans="1:7" ht="15.75" customHeight="1" x14ac:dyDescent="0.25">
      <c r="A545" s="5"/>
      <c r="B545" s="5"/>
      <c r="C545" s="18"/>
      <c r="D545" s="18"/>
      <c r="E545" s="18"/>
      <c r="F545" s="18"/>
      <c r="G545" s="18"/>
    </row>
    <row r="546" spans="1:7" ht="15.75" customHeight="1" x14ac:dyDescent="0.25">
      <c r="A546" s="5"/>
      <c r="B546" s="5"/>
      <c r="C546" s="18"/>
      <c r="D546" s="18"/>
      <c r="E546" s="18"/>
      <c r="F546" s="18"/>
      <c r="G546" s="18"/>
    </row>
    <row r="547" spans="1:7" ht="15.75" customHeight="1" x14ac:dyDescent="0.25">
      <c r="A547" s="5"/>
      <c r="B547" s="5"/>
      <c r="C547" s="18"/>
      <c r="D547" s="18"/>
      <c r="E547" s="18"/>
      <c r="F547" s="18"/>
      <c r="G547" s="18"/>
    </row>
    <row r="548" spans="1:7" ht="15.75" customHeight="1" x14ac:dyDescent="0.25">
      <c r="A548" s="5"/>
      <c r="B548" s="5"/>
      <c r="C548" s="18"/>
      <c r="D548" s="18"/>
      <c r="E548" s="18"/>
      <c r="F548" s="18"/>
      <c r="G548" s="18"/>
    </row>
    <row r="549" spans="1:7" ht="15.75" customHeight="1" x14ac:dyDescent="0.25">
      <c r="A549" s="5"/>
      <c r="B549" s="5"/>
      <c r="C549" s="18"/>
      <c r="D549" s="18"/>
      <c r="E549" s="18"/>
      <c r="F549" s="18"/>
      <c r="G549" s="18"/>
    </row>
    <row r="550" spans="1:7" ht="15.75" customHeight="1" x14ac:dyDescent="0.25">
      <c r="A550" s="5"/>
      <c r="B550" s="5"/>
      <c r="C550" s="18"/>
      <c r="D550" s="18"/>
      <c r="E550" s="18"/>
      <c r="F550" s="18"/>
      <c r="G550" s="18"/>
    </row>
    <row r="551" spans="1:7" ht="15.75" customHeight="1" x14ac:dyDescent="0.25">
      <c r="A551" s="5"/>
      <c r="B551" s="5"/>
      <c r="C551" s="18"/>
      <c r="D551" s="18"/>
      <c r="E551" s="18"/>
      <c r="F551" s="18"/>
      <c r="G551" s="18"/>
    </row>
    <row r="552" spans="1:7" ht="15.75" customHeight="1" x14ac:dyDescent="0.25">
      <c r="A552" s="5"/>
      <c r="B552" s="5"/>
      <c r="C552" s="18"/>
      <c r="D552" s="18"/>
      <c r="E552" s="18"/>
      <c r="F552" s="18"/>
      <c r="G552" s="18"/>
    </row>
    <row r="553" spans="1:7" ht="15.75" customHeight="1" x14ac:dyDescent="0.25">
      <c r="A553" s="5"/>
      <c r="B553" s="5"/>
      <c r="C553" s="18"/>
      <c r="D553" s="18"/>
      <c r="E553" s="18"/>
      <c r="F553" s="18"/>
      <c r="G553" s="18"/>
    </row>
    <row r="554" spans="1:7" ht="15.75" customHeight="1" x14ac:dyDescent="0.25">
      <c r="A554" s="5"/>
      <c r="B554" s="5"/>
      <c r="C554" s="18"/>
      <c r="D554" s="18"/>
      <c r="E554" s="18"/>
      <c r="F554" s="18"/>
      <c r="G554" s="18"/>
    </row>
    <row r="555" spans="1:7" ht="15.75" customHeight="1" x14ac:dyDescent="0.25">
      <c r="A555" s="5"/>
      <c r="B555" s="5"/>
      <c r="C555" s="18"/>
      <c r="D555" s="18"/>
      <c r="E555" s="18"/>
      <c r="F555" s="18"/>
      <c r="G555" s="18"/>
    </row>
    <row r="556" spans="1:7" ht="15.75" customHeight="1" x14ac:dyDescent="0.25">
      <c r="A556" s="5"/>
      <c r="B556" s="5"/>
      <c r="C556" s="18"/>
      <c r="D556" s="18"/>
      <c r="E556" s="18"/>
      <c r="F556" s="18"/>
      <c r="G556" s="18"/>
    </row>
    <row r="557" spans="1:7" ht="15.75" customHeight="1" x14ac:dyDescent="0.25">
      <c r="A557" s="5"/>
      <c r="B557" s="5"/>
      <c r="C557" s="18"/>
      <c r="D557" s="18"/>
      <c r="E557" s="18"/>
      <c r="F557" s="18"/>
      <c r="G557" s="18"/>
    </row>
    <row r="558" spans="1:7" ht="15.75" customHeight="1" x14ac:dyDescent="0.25">
      <c r="A558" s="5"/>
      <c r="B558" s="5"/>
      <c r="C558" s="18"/>
      <c r="D558" s="18"/>
      <c r="E558" s="18"/>
      <c r="F558" s="18"/>
      <c r="G558" s="18"/>
    </row>
    <row r="559" spans="1:7" ht="15.75" customHeight="1" x14ac:dyDescent="0.25">
      <c r="A559" s="5"/>
      <c r="B559" s="5"/>
      <c r="C559" s="18"/>
      <c r="D559" s="18"/>
      <c r="E559" s="18"/>
      <c r="F559" s="18"/>
      <c r="G559" s="18"/>
    </row>
    <row r="560" spans="1:7" ht="15.75" customHeight="1" x14ac:dyDescent="0.25">
      <c r="A560" s="5"/>
      <c r="B560" s="5"/>
      <c r="C560" s="18"/>
      <c r="D560" s="18"/>
      <c r="E560" s="18"/>
      <c r="F560" s="18"/>
      <c r="G560" s="18"/>
    </row>
    <row r="561" spans="1:7" ht="15.75" customHeight="1" x14ac:dyDescent="0.25">
      <c r="A561" s="5"/>
      <c r="B561" s="5"/>
      <c r="C561" s="18"/>
      <c r="D561" s="18"/>
      <c r="E561" s="18"/>
      <c r="F561" s="18"/>
      <c r="G561" s="18"/>
    </row>
    <row r="562" spans="1:7" ht="15.75" customHeight="1" x14ac:dyDescent="0.25">
      <c r="A562" s="5"/>
      <c r="B562" s="5"/>
      <c r="C562" s="18"/>
      <c r="D562" s="18"/>
      <c r="E562" s="18"/>
      <c r="F562" s="18"/>
      <c r="G562" s="18"/>
    </row>
    <row r="563" spans="1:7" ht="15.75" customHeight="1" x14ac:dyDescent="0.25">
      <c r="A563" s="5"/>
      <c r="B563" s="5"/>
      <c r="C563" s="18"/>
      <c r="D563" s="18"/>
      <c r="E563" s="18"/>
      <c r="F563" s="18"/>
      <c r="G563" s="18"/>
    </row>
    <row r="564" spans="1:7" ht="15.75" customHeight="1" x14ac:dyDescent="0.25">
      <c r="A564" s="5"/>
      <c r="B564" s="5"/>
      <c r="C564" s="18"/>
      <c r="D564" s="18"/>
      <c r="E564" s="18"/>
      <c r="F564" s="18"/>
      <c r="G564" s="18"/>
    </row>
    <row r="565" spans="1:7" ht="15.75" customHeight="1" x14ac:dyDescent="0.25">
      <c r="A565" s="5"/>
      <c r="B565" s="5"/>
      <c r="C565" s="18"/>
      <c r="D565" s="18"/>
      <c r="E565" s="18"/>
      <c r="F565" s="18"/>
      <c r="G565" s="18"/>
    </row>
    <row r="566" spans="1:7" ht="15.75" customHeight="1" x14ac:dyDescent="0.25">
      <c r="A566" s="5"/>
      <c r="B566" s="5"/>
      <c r="C566" s="18"/>
      <c r="D566" s="18"/>
      <c r="E566" s="18"/>
      <c r="F566" s="18"/>
      <c r="G566" s="18"/>
    </row>
    <row r="567" spans="1:7" ht="15.75" customHeight="1" x14ac:dyDescent="0.25">
      <c r="A567" s="5"/>
      <c r="B567" s="5"/>
      <c r="C567" s="18"/>
      <c r="D567" s="18"/>
      <c r="E567" s="18"/>
      <c r="F567" s="18"/>
      <c r="G567" s="18"/>
    </row>
    <row r="568" spans="1:7" ht="15.75" customHeight="1" x14ac:dyDescent="0.25">
      <c r="A568" s="5"/>
      <c r="B568" s="5"/>
      <c r="C568" s="18"/>
      <c r="D568" s="18"/>
      <c r="E568" s="18"/>
      <c r="F568" s="18"/>
      <c r="G568" s="18"/>
    </row>
    <row r="569" spans="1:7" ht="15.75" customHeight="1" x14ac:dyDescent="0.25">
      <c r="A569" s="5"/>
      <c r="B569" s="5"/>
      <c r="C569" s="18"/>
      <c r="D569" s="18"/>
      <c r="E569" s="18"/>
      <c r="F569" s="18"/>
      <c r="G569" s="18"/>
    </row>
    <row r="570" spans="1:7" ht="15.75" customHeight="1" x14ac:dyDescent="0.25">
      <c r="A570" s="5"/>
      <c r="B570" s="5"/>
      <c r="C570" s="18"/>
      <c r="D570" s="18"/>
      <c r="E570" s="18"/>
      <c r="F570" s="18"/>
      <c r="G570" s="18"/>
    </row>
    <row r="571" spans="1:7" ht="15.75" customHeight="1" x14ac:dyDescent="0.25">
      <c r="A571" s="5"/>
      <c r="B571" s="5"/>
      <c r="C571" s="18"/>
      <c r="D571" s="18"/>
      <c r="E571" s="18"/>
      <c r="F571" s="18"/>
      <c r="G571" s="18"/>
    </row>
    <row r="572" spans="1:7" ht="15.75" customHeight="1" x14ac:dyDescent="0.25">
      <c r="A572" s="5"/>
      <c r="B572" s="5"/>
      <c r="C572" s="18"/>
      <c r="D572" s="18"/>
      <c r="E572" s="18"/>
      <c r="F572" s="18"/>
      <c r="G572" s="18"/>
    </row>
    <row r="573" spans="1:7" ht="15.75" customHeight="1" x14ac:dyDescent="0.25">
      <c r="A573" s="5"/>
      <c r="B573" s="5"/>
      <c r="C573" s="18"/>
      <c r="D573" s="18"/>
      <c r="E573" s="18"/>
      <c r="F573" s="18"/>
      <c r="G573" s="18"/>
    </row>
    <row r="574" spans="1:7" ht="15.75" customHeight="1" x14ac:dyDescent="0.25">
      <c r="A574" s="5"/>
      <c r="B574" s="5"/>
      <c r="C574" s="18"/>
      <c r="D574" s="18"/>
      <c r="E574" s="18"/>
      <c r="F574" s="18"/>
      <c r="G574" s="18"/>
    </row>
    <row r="575" spans="1:7" ht="15.75" customHeight="1" x14ac:dyDescent="0.25">
      <c r="A575" s="5"/>
      <c r="B575" s="5"/>
      <c r="C575" s="18"/>
      <c r="D575" s="18"/>
      <c r="E575" s="18"/>
      <c r="F575" s="18"/>
      <c r="G575" s="18"/>
    </row>
    <row r="576" spans="1:7" ht="15.75" customHeight="1" x14ac:dyDescent="0.25">
      <c r="A576" s="5"/>
      <c r="B576" s="5"/>
      <c r="C576" s="18"/>
      <c r="D576" s="18"/>
      <c r="E576" s="18"/>
      <c r="F576" s="18"/>
      <c r="G576" s="18"/>
    </row>
    <row r="577" spans="1:7" ht="15.75" customHeight="1" x14ac:dyDescent="0.25">
      <c r="A577" s="5"/>
      <c r="B577" s="5"/>
      <c r="C577" s="18"/>
      <c r="D577" s="18"/>
      <c r="E577" s="18"/>
      <c r="F577" s="18"/>
      <c r="G577" s="18"/>
    </row>
    <row r="578" spans="1:7" ht="15.75" customHeight="1" x14ac:dyDescent="0.25">
      <c r="A578" s="5"/>
      <c r="B578" s="5"/>
      <c r="C578" s="18"/>
      <c r="D578" s="18"/>
      <c r="E578" s="18"/>
      <c r="F578" s="18"/>
      <c r="G578" s="18"/>
    </row>
    <row r="579" spans="1:7" ht="15.75" customHeight="1" x14ac:dyDescent="0.25">
      <c r="A579" s="5"/>
      <c r="B579" s="5"/>
      <c r="C579" s="18"/>
      <c r="D579" s="18"/>
      <c r="E579" s="18"/>
      <c r="F579" s="18"/>
      <c r="G579" s="18"/>
    </row>
    <row r="580" spans="1:7" ht="15.75" customHeight="1" x14ac:dyDescent="0.25">
      <c r="A580" s="5"/>
      <c r="B580" s="5"/>
      <c r="C580" s="18"/>
      <c r="D580" s="18"/>
      <c r="E580" s="18"/>
      <c r="F580" s="18"/>
      <c r="G580" s="18"/>
    </row>
    <row r="581" spans="1:7" ht="15.75" customHeight="1" x14ac:dyDescent="0.25">
      <c r="A581" s="5"/>
      <c r="B581" s="5"/>
      <c r="C581" s="18"/>
      <c r="D581" s="18"/>
      <c r="E581" s="18"/>
      <c r="F581" s="18"/>
      <c r="G581" s="18"/>
    </row>
    <row r="582" spans="1:7" ht="15.75" customHeight="1" x14ac:dyDescent="0.25">
      <c r="A582" s="5"/>
      <c r="B582" s="5"/>
      <c r="C582" s="18"/>
      <c r="D582" s="18"/>
      <c r="E582" s="18"/>
      <c r="F582" s="18"/>
      <c r="G582" s="18"/>
    </row>
    <row r="583" spans="1:7" ht="15.75" customHeight="1" x14ac:dyDescent="0.25">
      <c r="A583" s="5"/>
      <c r="B583" s="5"/>
      <c r="C583" s="18"/>
      <c r="D583" s="18"/>
      <c r="E583" s="18"/>
      <c r="F583" s="18"/>
      <c r="G583" s="18"/>
    </row>
    <row r="584" spans="1:7" ht="15.75" customHeight="1" x14ac:dyDescent="0.25">
      <c r="A584" s="5"/>
      <c r="B584" s="5"/>
      <c r="C584" s="18"/>
      <c r="D584" s="18"/>
      <c r="E584" s="18"/>
      <c r="F584" s="18"/>
      <c r="G584" s="18"/>
    </row>
    <row r="585" spans="1:7" ht="15.75" customHeight="1" x14ac:dyDescent="0.25">
      <c r="A585" s="5"/>
      <c r="B585" s="5"/>
      <c r="C585" s="18"/>
      <c r="D585" s="18"/>
      <c r="E585" s="18"/>
      <c r="F585" s="18"/>
      <c r="G585" s="18"/>
    </row>
    <row r="586" spans="1:7" ht="15.75" customHeight="1" x14ac:dyDescent="0.25">
      <c r="A586" s="5"/>
      <c r="B586" s="5"/>
      <c r="C586" s="18"/>
      <c r="D586" s="18"/>
      <c r="E586" s="18"/>
      <c r="F586" s="18"/>
      <c r="G586" s="18"/>
    </row>
    <row r="587" spans="1:7" ht="15.75" customHeight="1" x14ac:dyDescent="0.25">
      <c r="A587" s="5"/>
      <c r="B587" s="5"/>
      <c r="C587" s="18"/>
      <c r="D587" s="18"/>
      <c r="E587" s="18"/>
      <c r="F587" s="18"/>
      <c r="G587" s="18"/>
    </row>
    <row r="588" spans="1:7" ht="15.75" customHeight="1" x14ac:dyDescent="0.25">
      <c r="A588" s="5"/>
      <c r="B588" s="5"/>
      <c r="C588" s="18"/>
      <c r="D588" s="18"/>
      <c r="E588" s="18"/>
      <c r="F588" s="18"/>
      <c r="G588" s="18"/>
    </row>
    <row r="589" spans="1:7" ht="15.75" customHeight="1" x14ac:dyDescent="0.25">
      <c r="A589" s="5"/>
      <c r="B589" s="5"/>
      <c r="C589" s="18"/>
      <c r="D589" s="18"/>
      <c r="E589" s="18"/>
      <c r="F589" s="18"/>
      <c r="G589" s="18"/>
    </row>
    <row r="590" spans="1:7" ht="15.75" customHeight="1" x14ac:dyDescent="0.25">
      <c r="A590" s="5"/>
      <c r="B590" s="5"/>
      <c r="C590" s="18"/>
      <c r="D590" s="18"/>
      <c r="E590" s="18"/>
      <c r="F590" s="18"/>
      <c r="G590" s="18"/>
    </row>
    <row r="591" spans="1:7" ht="15.75" customHeight="1" x14ac:dyDescent="0.25">
      <c r="A591" s="5"/>
      <c r="B591" s="5"/>
      <c r="C591" s="18"/>
      <c r="D591" s="18"/>
      <c r="E591" s="18"/>
      <c r="F591" s="18"/>
      <c r="G591" s="18"/>
    </row>
    <row r="592" spans="1:7" ht="15.75" customHeight="1" x14ac:dyDescent="0.25">
      <c r="A592" s="5"/>
      <c r="B592" s="5"/>
      <c r="C592" s="18"/>
      <c r="D592" s="18"/>
      <c r="E592" s="18"/>
      <c r="F592" s="18"/>
      <c r="G592" s="18"/>
    </row>
    <row r="593" spans="1:7" ht="15.75" customHeight="1" x14ac:dyDescent="0.25">
      <c r="A593" s="5"/>
      <c r="B593" s="5"/>
      <c r="C593" s="18"/>
      <c r="D593" s="18"/>
      <c r="E593" s="18"/>
      <c r="F593" s="18"/>
      <c r="G593" s="18"/>
    </row>
    <row r="594" spans="1:7" ht="15.75" customHeight="1" x14ac:dyDescent="0.25">
      <c r="A594" s="5"/>
      <c r="B594" s="5"/>
      <c r="C594" s="18"/>
      <c r="D594" s="18"/>
      <c r="E594" s="18"/>
      <c r="F594" s="18"/>
      <c r="G594" s="18"/>
    </row>
    <row r="595" spans="1:7" ht="15.75" customHeight="1" x14ac:dyDescent="0.25">
      <c r="A595" s="5"/>
      <c r="B595" s="5"/>
      <c r="C595" s="18"/>
      <c r="D595" s="18"/>
      <c r="E595" s="18"/>
      <c r="F595" s="18"/>
      <c r="G595" s="18"/>
    </row>
    <row r="596" spans="1:7" ht="15.75" customHeight="1" x14ac:dyDescent="0.25">
      <c r="A596" s="5"/>
      <c r="B596" s="5"/>
      <c r="C596" s="18"/>
      <c r="D596" s="18"/>
      <c r="E596" s="18"/>
      <c r="F596" s="18"/>
      <c r="G596" s="18"/>
    </row>
    <row r="597" spans="1:7" ht="15.75" customHeight="1" x14ac:dyDescent="0.25">
      <c r="A597" s="5"/>
      <c r="B597" s="5"/>
      <c r="C597" s="18"/>
      <c r="D597" s="18"/>
      <c r="E597" s="18"/>
      <c r="F597" s="18"/>
      <c r="G597" s="18"/>
    </row>
    <row r="598" spans="1:7" ht="15.75" customHeight="1" x14ac:dyDescent="0.25">
      <c r="A598" s="5"/>
      <c r="B598" s="5"/>
      <c r="C598" s="18"/>
      <c r="D598" s="18"/>
      <c r="E598" s="18"/>
      <c r="F598" s="18"/>
      <c r="G598" s="18"/>
    </row>
    <row r="599" spans="1:7" ht="15.75" customHeight="1" x14ac:dyDescent="0.25">
      <c r="A599" s="5"/>
      <c r="B599" s="5"/>
      <c r="C599" s="18"/>
      <c r="D599" s="18"/>
      <c r="E599" s="18"/>
      <c r="F599" s="18"/>
      <c r="G599" s="18"/>
    </row>
    <row r="600" spans="1:7" ht="15.75" customHeight="1" x14ac:dyDescent="0.25">
      <c r="A600" s="5"/>
      <c r="B600" s="5"/>
      <c r="C600" s="18"/>
      <c r="D600" s="18"/>
      <c r="E600" s="18"/>
      <c r="F600" s="18"/>
      <c r="G600" s="18"/>
    </row>
    <row r="601" spans="1:7" ht="15.75" customHeight="1" x14ac:dyDescent="0.25">
      <c r="A601" s="5"/>
      <c r="B601" s="5"/>
      <c r="C601" s="18"/>
      <c r="D601" s="18"/>
      <c r="E601" s="18"/>
      <c r="F601" s="18"/>
      <c r="G601" s="18"/>
    </row>
    <row r="602" spans="1:7" ht="15.75" customHeight="1" x14ac:dyDescent="0.25">
      <c r="A602" s="5"/>
      <c r="B602" s="5"/>
      <c r="C602" s="18"/>
      <c r="D602" s="18"/>
      <c r="E602" s="18"/>
      <c r="F602" s="18"/>
      <c r="G602" s="18"/>
    </row>
    <row r="603" spans="1:7" ht="15.75" customHeight="1" x14ac:dyDescent="0.25">
      <c r="A603" s="5"/>
      <c r="B603" s="5"/>
      <c r="C603" s="18"/>
      <c r="D603" s="18"/>
      <c r="E603" s="18"/>
      <c r="F603" s="18"/>
      <c r="G603" s="18"/>
    </row>
    <row r="604" spans="1:7" ht="15.75" customHeight="1" x14ac:dyDescent="0.25">
      <c r="A604" s="5"/>
      <c r="B604" s="5"/>
      <c r="C604" s="18"/>
      <c r="D604" s="18"/>
      <c r="E604" s="18"/>
      <c r="F604" s="18"/>
      <c r="G604" s="18"/>
    </row>
    <row r="605" spans="1:7" ht="15.75" customHeight="1" x14ac:dyDescent="0.25">
      <c r="A605" s="5"/>
      <c r="B605" s="5"/>
      <c r="C605" s="18"/>
      <c r="D605" s="18"/>
      <c r="E605" s="18"/>
      <c r="F605" s="18"/>
      <c r="G605" s="18"/>
    </row>
    <row r="606" spans="1:7" ht="15.75" customHeight="1" x14ac:dyDescent="0.25">
      <c r="A606" s="5"/>
      <c r="B606" s="5"/>
      <c r="C606" s="18"/>
      <c r="D606" s="18"/>
      <c r="E606" s="18"/>
      <c r="F606" s="18"/>
      <c r="G606" s="18"/>
    </row>
    <row r="607" spans="1:7" ht="15.75" customHeight="1" x14ac:dyDescent="0.25">
      <c r="A607" s="5"/>
      <c r="B607" s="5"/>
      <c r="C607" s="18"/>
      <c r="D607" s="18"/>
      <c r="E607" s="18"/>
      <c r="F607" s="18"/>
      <c r="G607" s="18"/>
    </row>
    <row r="608" spans="1:7" ht="15.75" customHeight="1" x14ac:dyDescent="0.25">
      <c r="A608" s="5"/>
      <c r="B608" s="5"/>
      <c r="C608" s="18"/>
      <c r="D608" s="18"/>
      <c r="E608" s="18"/>
      <c r="F608" s="18"/>
      <c r="G608" s="18"/>
    </row>
    <row r="609" spans="1:7" ht="15.75" customHeight="1" x14ac:dyDescent="0.25">
      <c r="A609" s="5"/>
      <c r="B609" s="5"/>
      <c r="C609" s="18"/>
      <c r="D609" s="18"/>
      <c r="E609" s="18"/>
      <c r="F609" s="18"/>
      <c r="G609" s="18"/>
    </row>
    <row r="610" spans="1:7" ht="15.75" customHeight="1" x14ac:dyDescent="0.25">
      <c r="A610" s="5"/>
      <c r="B610" s="5"/>
      <c r="C610" s="18"/>
      <c r="D610" s="18"/>
      <c r="E610" s="18"/>
      <c r="F610" s="18"/>
      <c r="G610" s="18"/>
    </row>
    <row r="611" spans="1:7" ht="15.75" customHeight="1" x14ac:dyDescent="0.25">
      <c r="A611" s="5"/>
      <c r="B611" s="5"/>
      <c r="C611" s="18"/>
      <c r="D611" s="18"/>
      <c r="E611" s="18"/>
      <c r="F611" s="18"/>
      <c r="G611" s="18"/>
    </row>
    <row r="612" spans="1:7" ht="15.75" customHeight="1" x14ac:dyDescent="0.25">
      <c r="A612" s="5"/>
      <c r="B612" s="5"/>
      <c r="C612" s="18"/>
      <c r="D612" s="18"/>
      <c r="E612" s="18"/>
      <c r="F612" s="18"/>
      <c r="G612" s="18"/>
    </row>
    <row r="613" spans="1:7" ht="15.75" customHeight="1" x14ac:dyDescent="0.25">
      <c r="A613" s="5"/>
      <c r="B613" s="5"/>
      <c r="C613" s="18"/>
      <c r="D613" s="18"/>
      <c r="E613" s="18"/>
      <c r="F613" s="18"/>
      <c r="G613" s="18"/>
    </row>
    <row r="614" spans="1:7" ht="15.75" customHeight="1" x14ac:dyDescent="0.25">
      <c r="A614" s="5"/>
      <c r="B614" s="5"/>
      <c r="C614" s="18"/>
      <c r="D614" s="18"/>
      <c r="E614" s="18"/>
      <c r="F614" s="18"/>
      <c r="G614" s="18"/>
    </row>
    <row r="615" spans="1:7" ht="15.75" customHeight="1" x14ac:dyDescent="0.25">
      <c r="A615" s="5"/>
      <c r="B615" s="5"/>
      <c r="C615" s="18"/>
      <c r="D615" s="18"/>
      <c r="E615" s="18"/>
      <c r="F615" s="18"/>
      <c r="G615" s="18"/>
    </row>
    <row r="616" spans="1:7" ht="15.75" customHeight="1" x14ac:dyDescent="0.25">
      <c r="A616" s="5"/>
      <c r="B616" s="5"/>
      <c r="C616" s="18"/>
      <c r="D616" s="18"/>
      <c r="E616" s="18"/>
      <c r="F616" s="18"/>
      <c r="G616" s="18"/>
    </row>
    <row r="617" spans="1:7" ht="15.75" customHeight="1" x14ac:dyDescent="0.25">
      <c r="A617" s="5"/>
      <c r="B617" s="5"/>
      <c r="C617" s="18"/>
      <c r="D617" s="18"/>
      <c r="E617" s="18"/>
      <c r="F617" s="18"/>
      <c r="G617" s="18"/>
    </row>
    <row r="618" spans="1:7" ht="15.75" customHeight="1" x14ac:dyDescent="0.25">
      <c r="A618" s="5"/>
      <c r="B618" s="5"/>
      <c r="C618" s="18"/>
      <c r="D618" s="18"/>
      <c r="E618" s="18"/>
      <c r="F618" s="18"/>
      <c r="G618" s="18"/>
    </row>
    <row r="619" spans="1:7" ht="15.75" customHeight="1" x14ac:dyDescent="0.25">
      <c r="A619" s="5"/>
      <c r="B619" s="5"/>
      <c r="C619" s="18"/>
      <c r="D619" s="18"/>
      <c r="E619" s="18"/>
      <c r="F619" s="18"/>
      <c r="G619" s="18"/>
    </row>
    <row r="620" spans="1:7" ht="15.75" customHeight="1" x14ac:dyDescent="0.25">
      <c r="A620" s="5"/>
      <c r="B620" s="5"/>
      <c r="C620" s="18"/>
      <c r="D620" s="18"/>
      <c r="E620" s="18"/>
      <c r="F620" s="18"/>
      <c r="G620" s="18"/>
    </row>
    <row r="621" spans="1:7" ht="15.75" customHeight="1" x14ac:dyDescent="0.25">
      <c r="A621" s="5"/>
      <c r="B621" s="5"/>
      <c r="C621" s="18"/>
      <c r="D621" s="18"/>
      <c r="E621" s="18"/>
      <c r="F621" s="18"/>
      <c r="G621" s="18"/>
    </row>
    <row r="622" spans="1:7" ht="15.75" customHeight="1" x14ac:dyDescent="0.25">
      <c r="A622" s="5"/>
      <c r="B622" s="5"/>
      <c r="C622" s="18"/>
      <c r="D622" s="18"/>
      <c r="E622" s="18"/>
      <c r="F622" s="18"/>
      <c r="G622" s="18"/>
    </row>
    <row r="623" spans="1:7" ht="15.75" customHeight="1" x14ac:dyDescent="0.25">
      <c r="A623" s="5"/>
      <c r="B623" s="5"/>
      <c r="C623" s="18"/>
      <c r="D623" s="18"/>
      <c r="E623" s="18"/>
      <c r="F623" s="18"/>
      <c r="G623" s="18"/>
    </row>
    <row r="624" spans="1:7" ht="15.75" customHeight="1" x14ac:dyDescent="0.25">
      <c r="A624" s="5"/>
      <c r="B624" s="5"/>
      <c r="C624" s="18"/>
      <c r="D624" s="18"/>
      <c r="E624" s="18"/>
      <c r="F624" s="18"/>
      <c r="G624" s="18"/>
    </row>
    <row r="625" spans="1:7" ht="15.75" customHeight="1" x14ac:dyDescent="0.25">
      <c r="A625" s="5"/>
      <c r="B625" s="5"/>
      <c r="C625" s="18"/>
      <c r="D625" s="18"/>
      <c r="E625" s="18"/>
      <c r="F625" s="18"/>
      <c r="G625" s="18"/>
    </row>
    <row r="626" spans="1:7" ht="15.75" customHeight="1" x14ac:dyDescent="0.25">
      <c r="A626" s="5"/>
      <c r="B626" s="5"/>
      <c r="C626" s="18"/>
      <c r="D626" s="18"/>
      <c r="E626" s="18"/>
      <c r="F626" s="18"/>
      <c r="G626" s="18"/>
    </row>
    <row r="627" spans="1:7" ht="15.75" customHeight="1" x14ac:dyDescent="0.25">
      <c r="A627" s="5"/>
      <c r="B627" s="5"/>
      <c r="C627" s="18"/>
      <c r="D627" s="18"/>
      <c r="E627" s="18"/>
      <c r="F627" s="18"/>
      <c r="G627" s="18"/>
    </row>
    <row r="628" spans="1:7" ht="15.75" customHeight="1" x14ac:dyDescent="0.25">
      <c r="A628" s="5"/>
      <c r="B628" s="5"/>
      <c r="C628" s="18"/>
      <c r="D628" s="18"/>
      <c r="E628" s="18"/>
      <c r="F628" s="18"/>
      <c r="G628" s="18"/>
    </row>
    <row r="629" spans="1:7" ht="15.75" customHeight="1" x14ac:dyDescent="0.25">
      <c r="A629" s="5"/>
      <c r="B629" s="5"/>
      <c r="C629" s="18"/>
      <c r="D629" s="18"/>
      <c r="E629" s="18"/>
      <c r="F629" s="18"/>
      <c r="G629" s="18"/>
    </row>
    <row r="630" spans="1:7" ht="15.75" customHeight="1" x14ac:dyDescent="0.25">
      <c r="A630" s="5"/>
      <c r="B630" s="5"/>
      <c r="C630" s="18"/>
      <c r="D630" s="18"/>
      <c r="E630" s="18"/>
      <c r="F630" s="18"/>
      <c r="G630" s="18"/>
    </row>
    <row r="631" spans="1:7" ht="15.75" customHeight="1" x14ac:dyDescent="0.25">
      <c r="A631" s="5"/>
      <c r="B631" s="5"/>
      <c r="C631" s="18"/>
      <c r="D631" s="18"/>
      <c r="E631" s="18"/>
      <c r="F631" s="18"/>
      <c r="G631" s="18"/>
    </row>
    <row r="632" spans="1:7" ht="15.75" customHeight="1" x14ac:dyDescent="0.25">
      <c r="A632" s="5"/>
      <c r="B632" s="5"/>
      <c r="C632" s="18"/>
      <c r="D632" s="18"/>
      <c r="E632" s="18"/>
      <c r="F632" s="18"/>
      <c r="G632" s="18"/>
    </row>
    <row r="633" spans="1:7" ht="15.75" customHeight="1" x14ac:dyDescent="0.25">
      <c r="A633" s="5"/>
      <c r="B633" s="5"/>
      <c r="C633" s="18"/>
      <c r="D633" s="18"/>
      <c r="E633" s="18"/>
      <c r="F633" s="18"/>
      <c r="G633" s="18"/>
    </row>
    <row r="634" spans="1:7" ht="15.75" customHeight="1" x14ac:dyDescent="0.25">
      <c r="A634" s="5"/>
      <c r="B634" s="5"/>
      <c r="C634" s="18"/>
      <c r="D634" s="18"/>
      <c r="E634" s="18"/>
      <c r="F634" s="18"/>
      <c r="G634" s="18"/>
    </row>
    <row r="635" spans="1:7" ht="15.75" customHeight="1" x14ac:dyDescent="0.25">
      <c r="A635" s="5"/>
      <c r="B635" s="5"/>
      <c r="C635" s="18"/>
      <c r="D635" s="18"/>
      <c r="E635" s="18"/>
      <c r="F635" s="18"/>
      <c r="G635" s="18"/>
    </row>
    <row r="636" spans="1:7" ht="15.75" customHeight="1" x14ac:dyDescent="0.25">
      <c r="A636" s="5"/>
      <c r="B636" s="5"/>
      <c r="C636" s="18"/>
      <c r="D636" s="18"/>
      <c r="E636" s="18"/>
      <c r="F636" s="18"/>
      <c r="G636" s="18"/>
    </row>
    <row r="637" spans="1:7" ht="15.75" customHeight="1" x14ac:dyDescent="0.25">
      <c r="A637" s="5"/>
      <c r="B637" s="5"/>
      <c r="C637" s="18"/>
      <c r="D637" s="18"/>
      <c r="E637" s="18"/>
      <c r="F637" s="18"/>
      <c r="G637" s="18"/>
    </row>
    <row r="638" spans="1:7" ht="15.75" customHeight="1" x14ac:dyDescent="0.25">
      <c r="A638" s="5"/>
      <c r="B638" s="5"/>
      <c r="C638" s="18"/>
      <c r="D638" s="18"/>
      <c r="E638" s="18"/>
      <c r="F638" s="18"/>
      <c r="G638" s="18"/>
    </row>
    <row r="639" spans="1:7" ht="15.75" customHeight="1" x14ac:dyDescent="0.25">
      <c r="A639" s="5"/>
      <c r="B639" s="5"/>
      <c r="C639" s="18"/>
      <c r="D639" s="18"/>
      <c r="E639" s="18"/>
      <c r="F639" s="18"/>
      <c r="G639" s="18"/>
    </row>
    <row r="640" spans="1:7" ht="15.75" customHeight="1" x14ac:dyDescent="0.25">
      <c r="A640" s="5"/>
      <c r="B640" s="5"/>
      <c r="C640" s="18"/>
      <c r="D640" s="18"/>
      <c r="E640" s="18"/>
      <c r="F640" s="18"/>
      <c r="G640" s="18"/>
    </row>
    <row r="641" spans="1:7" ht="15.75" customHeight="1" x14ac:dyDescent="0.25">
      <c r="A641" s="5"/>
      <c r="B641" s="5"/>
      <c r="C641" s="18"/>
      <c r="D641" s="18"/>
      <c r="E641" s="18"/>
      <c r="F641" s="18"/>
      <c r="G641" s="18"/>
    </row>
    <row r="642" spans="1:7" ht="15.75" customHeight="1" x14ac:dyDescent="0.25">
      <c r="A642" s="5"/>
      <c r="B642" s="5"/>
      <c r="C642" s="18"/>
      <c r="D642" s="18"/>
      <c r="E642" s="18"/>
      <c r="F642" s="18"/>
      <c r="G642" s="18"/>
    </row>
    <row r="643" spans="1:7" ht="15.75" customHeight="1" x14ac:dyDescent="0.25">
      <c r="A643" s="5"/>
      <c r="B643" s="5"/>
      <c r="C643" s="18"/>
      <c r="D643" s="18"/>
      <c r="E643" s="18"/>
      <c r="F643" s="18"/>
      <c r="G643" s="18"/>
    </row>
    <row r="644" spans="1:7" ht="15.75" customHeight="1" x14ac:dyDescent="0.25">
      <c r="A644" s="5"/>
      <c r="B644" s="5"/>
      <c r="C644" s="18"/>
      <c r="D644" s="18"/>
      <c r="E644" s="18"/>
      <c r="F644" s="18"/>
      <c r="G644" s="18"/>
    </row>
    <row r="645" spans="1:7" ht="15.75" customHeight="1" x14ac:dyDescent="0.25">
      <c r="A645" s="5"/>
      <c r="B645" s="5"/>
      <c r="C645" s="18"/>
      <c r="D645" s="18"/>
      <c r="E645" s="18"/>
      <c r="F645" s="18"/>
      <c r="G645" s="18"/>
    </row>
    <row r="646" spans="1:7" ht="15.75" customHeight="1" x14ac:dyDescent="0.25">
      <c r="A646" s="5"/>
      <c r="B646" s="5"/>
      <c r="C646" s="18"/>
      <c r="D646" s="18"/>
      <c r="E646" s="18"/>
      <c r="F646" s="18"/>
      <c r="G646" s="18"/>
    </row>
    <row r="647" spans="1:7" ht="15.75" customHeight="1" x14ac:dyDescent="0.25">
      <c r="A647" s="5"/>
      <c r="B647" s="5"/>
      <c r="C647" s="18"/>
      <c r="D647" s="18"/>
      <c r="E647" s="18"/>
      <c r="F647" s="18"/>
      <c r="G647" s="18"/>
    </row>
    <row r="648" spans="1:7" ht="15.75" customHeight="1" x14ac:dyDescent="0.25">
      <c r="A648" s="5"/>
      <c r="B648" s="5"/>
      <c r="C648" s="18"/>
      <c r="D648" s="18"/>
      <c r="E648" s="18"/>
      <c r="F648" s="18"/>
      <c r="G648" s="18"/>
    </row>
    <row r="649" spans="1:7" ht="15.75" customHeight="1" x14ac:dyDescent="0.25">
      <c r="A649" s="5"/>
      <c r="B649" s="5"/>
      <c r="C649" s="18"/>
      <c r="D649" s="18"/>
      <c r="E649" s="18"/>
      <c r="F649" s="18"/>
      <c r="G649" s="18"/>
    </row>
    <row r="650" spans="1:7" ht="15.75" customHeight="1" x14ac:dyDescent="0.25">
      <c r="A650" s="5"/>
      <c r="B650" s="5"/>
      <c r="C650" s="18"/>
      <c r="D650" s="18"/>
      <c r="E650" s="18"/>
      <c r="F650" s="18"/>
      <c r="G650" s="18"/>
    </row>
    <row r="651" spans="1:7" ht="15.75" customHeight="1" x14ac:dyDescent="0.25">
      <c r="A651" s="5"/>
      <c r="B651" s="5"/>
      <c r="C651" s="18"/>
      <c r="D651" s="18"/>
      <c r="E651" s="18"/>
      <c r="F651" s="18"/>
      <c r="G651" s="18"/>
    </row>
    <row r="652" spans="1:7" ht="15.75" customHeight="1" x14ac:dyDescent="0.25">
      <c r="A652" s="5"/>
      <c r="B652" s="5"/>
      <c r="C652" s="18"/>
      <c r="D652" s="18"/>
      <c r="E652" s="18"/>
      <c r="F652" s="18"/>
      <c r="G652" s="18"/>
    </row>
    <row r="653" spans="1:7" ht="15.75" customHeight="1" x14ac:dyDescent="0.25">
      <c r="A653" s="5"/>
      <c r="B653" s="5"/>
      <c r="C653" s="18"/>
      <c r="D653" s="18"/>
      <c r="E653" s="18"/>
      <c r="F653" s="18"/>
      <c r="G653" s="18"/>
    </row>
    <row r="654" spans="1:7" ht="15.75" customHeight="1" x14ac:dyDescent="0.25">
      <c r="A654" s="5"/>
      <c r="B654" s="5"/>
      <c r="C654" s="18"/>
      <c r="D654" s="18"/>
      <c r="E654" s="18"/>
      <c r="F654" s="18"/>
      <c r="G654" s="18"/>
    </row>
    <row r="655" spans="1:7" ht="15.75" customHeight="1" x14ac:dyDescent="0.25">
      <c r="A655" s="5"/>
      <c r="B655" s="5"/>
      <c r="C655" s="18"/>
      <c r="D655" s="18"/>
      <c r="E655" s="18"/>
      <c r="F655" s="18"/>
      <c r="G655" s="18"/>
    </row>
    <row r="656" spans="1:7" ht="15.75" customHeight="1" x14ac:dyDescent="0.25">
      <c r="A656" s="5"/>
      <c r="B656" s="5"/>
      <c r="C656" s="18"/>
      <c r="D656" s="18"/>
      <c r="E656" s="18"/>
      <c r="F656" s="18"/>
      <c r="G656" s="18"/>
    </row>
    <row r="657" spans="1:7" ht="15.75" customHeight="1" x14ac:dyDescent="0.25">
      <c r="A657" s="5"/>
      <c r="B657" s="5"/>
      <c r="C657" s="18"/>
      <c r="D657" s="18"/>
      <c r="E657" s="18"/>
      <c r="F657" s="18"/>
      <c r="G657" s="18"/>
    </row>
    <row r="658" spans="1:7" ht="15.75" customHeight="1" x14ac:dyDescent="0.25">
      <c r="A658" s="5"/>
      <c r="B658" s="5"/>
      <c r="C658" s="18"/>
      <c r="D658" s="18"/>
      <c r="E658" s="18"/>
      <c r="F658" s="18"/>
      <c r="G658" s="18"/>
    </row>
    <row r="659" spans="1:7" ht="15.75" customHeight="1" x14ac:dyDescent="0.25">
      <c r="A659" s="5"/>
      <c r="B659" s="5"/>
      <c r="C659" s="18"/>
      <c r="D659" s="18"/>
      <c r="E659" s="18"/>
      <c r="F659" s="18"/>
      <c r="G659" s="18"/>
    </row>
    <row r="660" spans="1:7" ht="15.75" customHeight="1" x14ac:dyDescent="0.25">
      <c r="A660" s="5"/>
      <c r="B660" s="5"/>
      <c r="C660" s="18"/>
      <c r="D660" s="18"/>
      <c r="E660" s="18"/>
      <c r="F660" s="18"/>
      <c r="G660" s="18"/>
    </row>
    <row r="661" spans="1:7" ht="15.75" customHeight="1" x14ac:dyDescent="0.25">
      <c r="A661" s="5"/>
      <c r="B661" s="5"/>
      <c r="C661" s="18"/>
      <c r="D661" s="18"/>
      <c r="E661" s="18"/>
      <c r="F661" s="18"/>
      <c r="G661" s="18"/>
    </row>
    <row r="662" spans="1:7" ht="15.75" customHeight="1" x14ac:dyDescent="0.25">
      <c r="A662" s="5"/>
      <c r="B662" s="5"/>
      <c r="C662" s="18"/>
      <c r="D662" s="18"/>
      <c r="E662" s="18"/>
      <c r="F662" s="18"/>
      <c r="G662" s="18"/>
    </row>
    <row r="663" spans="1:7" ht="15.75" customHeight="1" x14ac:dyDescent="0.25">
      <c r="A663" s="5"/>
      <c r="B663" s="5"/>
      <c r="C663" s="18"/>
      <c r="D663" s="18"/>
      <c r="E663" s="18"/>
      <c r="F663" s="18"/>
      <c r="G663" s="18"/>
    </row>
    <row r="664" spans="1:7" ht="15.75" customHeight="1" x14ac:dyDescent="0.25">
      <c r="A664" s="5"/>
      <c r="B664" s="5"/>
      <c r="C664" s="18"/>
      <c r="D664" s="18"/>
      <c r="E664" s="18"/>
      <c r="F664" s="18"/>
      <c r="G664" s="18"/>
    </row>
    <row r="665" spans="1:7" ht="15.75" customHeight="1" x14ac:dyDescent="0.25">
      <c r="A665" s="5"/>
      <c r="B665" s="5"/>
      <c r="C665" s="18"/>
      <c r="D665" s="18"/>
      <c r="E665" s="18"/>
      <c r="F665" s="18"/>
      <c r="G665" s="18"/>
    </row>
    <row r="666" spans="1:7" ht="15.75" customHeight="1" x14ac:dyDescent="0.25">
      <c r="A666" s="5"/>
      <c r="B666" s="5"/>
      <c r="C666" s="18"/>
      <c r="D666" s="18"/>
      <c r="E666" s="18"/>
      <c r="F666" s="18"/>
      <c r="G666" s="18"/>
    </row>
    <row r="667" spans="1:7" ht="15.75" customHeight="1" x14ac:dyDescent="0.25">
      <c r="A667" s="5"/>
      <c r="B667" s="5"/>
      <c r="C667" s="18"/>
      <c r="D667" s="18"/>
      <c r="E667" s="18"/>
      <c r="F667" s="18"/>
      <c r="G667" s="18"/>
    </row>
    <row r="668" spans="1:7" ht="15.75" customHeight="1" x14ac:dyDescent="0.25">
      <c r="A668" s="5"/>
      <c r="B668" s="5"/>
      <c r="C668" s="18"/>
      <c r="D668" s="18"/>
      <c r="E668" s="18"/>
      <c r="F668" s="18"/>
      <c r="G668" s="18"/>
    </row>
    <row r="669" spans="1:7" ht="15.75" customHeight="1" x14ac:dyDescent="0.25">
      <c r="A669" s="5"/>
      <c r="B669" s="5"/>
      <c r="C669" s="18"/>
      <c r="D669" s="18"/>
      <c r="E669" s="18"/>
      <c r="F669" s="18"/>
      <c r="G669" s="18"/>
    </row>
    <row r="670" spans="1:7" ht="15.75" customHeight="1" x14ac:dyDescent="0.25">
      <c r="A670" s="5"/>
      <c r="B670" s="5"/>
      <c r="C670" s="18"/>
      <c r="D670" s="18"/>
      <c r="E670" s="18"/>
      <c r="F670" s="18"/>
      <c r="G670" s="18"/>
    </row>
    <row r="671" spans="1:7" ht="15.75" customHeight="1" x14ac:dyDescent="0.25">
      <c r="A671" s="5"/>
      <c r="B671" s="5"/>
      <c r="C671" s="18"/>
      <c r="D671" s="18"/>
      <c r="E671" s="18"/>
      <c r="F671" s="18"/>
      <c r="G671" s="18"/>
    </row>
    <row r="672" spans="1:7" ht="15.75" customHeight="1" x14ac:dyDescent="0.25">
      <c r="A672" s="5"/>
      <c r="B672" s="5"/>
      <c r="C672" s="18"/>
      <c r="D672" s="18"/>
      <c r="E672" s="18"/>
      <c r="F672" s="18"/>
      <c r="G672" s="18"/>
    </row>
    <row r="673" spans="1:7" ht="15.75" customHeight="1" x14ac:dyDescent="0.25">
      <c r="A673" s="5"/>
      <c r="B673" s="5"/>
      <c r="C673" s="18"/>
      <c r="D673" s="18"/>
      <c r="E673" s="18"/>
      <c r="F673" s="18"/>
      <c r="G673" s="18"/>
    </row>
    <row r="674" spans="1:7" ht="15.75" customHeight="1" x14ac:dyDescent="0.25">
      <c r="A674" s="5"/>
      <c r="B674" s="5"/>
      <c r="C674" s="18"/>
      <c r="D674" s="18"/>
      <c r="E674" s="18"/>
      <c r="F674" s="18"/>
      <c r="G674" s="18"/>
    </row>
    <row r="675" spans="1:7" ht="15.75" customHeight="1" x14ac:dyDescent="0.25">
      <c r="A675" s="5"/>
      <c r="B675" s="5"/>
      <c r="C675" s="18"/>
      <c r="D675" s="18"/>
      <c r="E675" s="18"/>
      <c r="F675" s="18"/>
      <c r="G675" s="18"/>
    </row>
    <row r="676" spans="1:7" ht="15.75" customHeight="1" x14ac:dyDescent="0.25">
      <c r="A676" s="5"/>
      <c r="B676" s="5"/>
      <c r="C676" s="18"/>
      <c r="D676" s="18"/>
      <c r="E676" s="18"/>
      <c r="F676" s="18"/>
      <c r="G676" s="18"/>
    </row>
    <row r="677" spans="1:7" ht="15.75" customHeight="1" x14ac:dyDescent="0.25">
      <c r="A677" s="5"/>
      <c r="B677" s="5"/>
      <c r="C677" s="18"/>
      <c r="D677" s="18"/>
      <c r="E677" s="18"/>
      <c r="F677" s="18"/>
      <c r="G677" s="18"/>
    </row>
    <row r="678" spans="1:7" ht="15.75" customHeight="1" x14ac:dyDescent="0.25">
      <c r="A678" s="5"/>
      <c r="B678" s="5"/>
      <c r="C678" s="18"/>
      <c r="D678" s="18"/>
      <c r="E678" s="18"/>
      <c r="F678" s="18"/>
      <c r="G678" s="18"/>
    </row>
    <row r="679" spans="1:7" ht="15.75" customHeight="1" x14ac:dyDescent="0.25">
      <c r="A679" s="5"/>
      <c r="B679" s="5"/>
      <c r="C679" s="18"/>
      <c r="D679" s="18"/>
      <c r="E679" s="18"/>
      <c r="F679" s="18"/>
      <c r="G679" s="18"/>
    </row>
    <row r="680" spans="1:7" ht="15.75" customHeight="1" x14ac:dyDescent="0.25">
      <c r="A680" s="5"/>
      <c r="B680" s="5"/>
      <c r="C680" s="18"/>
      <c r="D680" s="18"/>
      <c r="E680" s="18"/>
      <c r="F680" s="18"/>
      <c r="G680" s="18"/>
    </row>
    <row r="681" spans="1:7" ht="15.75" customHeight="1" x14ac:dyDescent="0.25">
      <c r="A681" s="5"/>
      <c r="B681" s="5"/>
      <c r="C681" s="18"/>
      <c r="D681" s="18"/>
      <c r="E681" s="18"/>
      <c r="F681" s="18"/>
      <c r="G681" s="18"/>
    </row>
    <row r="682" spans="1:7" ht="15.75" customHeight="1" x14ac:dyDescent="0.25">
      <c r="A682" s="5"/>
      <c r="B682" s="5"/>
      <c r="C682" s="18"/>
      <c r="D682" s="18"/>
      <c r="E682" s="18"/>
      <c r="F682" s="18"/>
      <c r="G682" s="18"/>
    </row>
    <row r="683" spans="1:7" ht="15.75" customHeight="1" x14ac:dyDescent="0.25">
      <c r="A683" s="5"/>
      <c r="B683" s="5"/>
      <c r="C683" s="18"/>
      <c r="D683" s="18"/>
      <c r="E683" s="18"/>
      <c r="F683" s="18"/>
      <c r="G683" s="18"/>
    </row>
    <row r="684" spans="1:7" ht="15.75" customHeight="1" x14ac:dyDescent="0.25">
      <c r="A684" s="5"/>
      <c r="B684" s="5"/>
      <c r="C684" s="18"/>
      <c r="D684" s="18"/>
      <c r="E684" s="18"/>
      <c r="F684" s="18"/>
      <c r="G684" s="18"/>
    </row>
    <row r="685" spans="1:7" ht="15.75" customHeight="1" x14ac:dyDescent="0.25">
      <c r="A685" s="5"/>
      <c r="B685" s="5"/>
      <c r="C685" s="18"/>
      <c r="D685" s="18"/>
      <c r="E685" s="18"/>
      <c r="F685" s="18"/>
      <c r="G685" s="18"/>
    </row>
    <row r="686" spans="1:7" ht="15.75" customHeight="1" x14ac:dyDescent="0.25">
      <c r="A686" s="5"/>
      <c r="B686" s="5"/>
      <c r="C686" s="18"/>
      <c r="D686" s="18"/>
      <c r="E686" s="18"/>
      <c r="F686" s="18"/>
      <c r="G686" s="18"/>
    </row>
    <row r="687" spans="1:7" ht="15.75" customHeight="1" x14ac:dyDescent="0.25">
      <c r="A687" s="5"/>
      <c r="B687" s="5"/>
      <c r="C687" s="18"/>
      <c r="D687" s="18"/>
      <c r="E687" s="18"/>
      <c r="F687" s="18"/>
      <c r="G687" s="18"/>
    </row>
    <row r="688" spans="1:7" ht="15.75" customHeight="1" x14ac:dyDescent="0.25">
      <c r="A688" s="5"/>
      <c r="B688" s="5"/>
      <c r="C688" s="18"/>
      <c r="D688" s="18"/>
      <c r="E688" s="18"/>
      <c r="F688" s="18"/>
      <c r="G688" s="18"/>
    </row>
    <row r="689" spans="1:7" ht="15.75" customHeight="1" x14ac:dyDescent="0.25">
      <c r="A689" s="5"/>
      <c r="B689" s="5"/>
      <c r="C689" s="18"/>
      <c r="D689" s="18"/>
      <c r="E689" s="18"/>
      <c r="F689" s="18"/>
      <c r="G689" s="18"/>
    </row>
    <row r="690" spans="1:7" ht="15.75" customHeight="1" x14ac:dyDescent="0.25">
      <c r="A690" s="5"/>
      <c r="B690" s="5"/>
      <c r="C690" s="18"/>
      <c r="D690" s="18"/>
      <c r="E690" s="18"/>
      <c r="F690" s="18"/>
      <c r="G690" s="18"/>
    </row>
    <row r="691" spans="1:7" ht="15.75" customHeight="1" x14ac:dyDescent="0.25">
      <c r="A691" s="5"/>
      <c r="B691" s="5"/>
      <c r="C691" s="18"/>
      <c r="D691" s="18"/>
      <c r="E691" s="18"/>
      <c r="F691" s="18"/>
      <c r="G691" s="18"/>
    </row>
    <row r="692" spans="1:7" ht="15.75" customHeight="1" x14ac:dyDescent="0.25">
      <c r="A692" s="5"/>
      <c r="B692" s="5"/>
      <c r="C692" s="18"/>
      <c r="D692" s="18"/>
      <c r="E692" s="18"/>
      <c r="F692" s="18"/>
      <c r="G692" s="18"/>
    </row>
    <row r="693" spans="1:7" ht="15.75" customHeight="1" x14ac:dyDescent="0.25">
      <c r="A693" s="5"/>
      <c r="B693" s="5"/>
      <c r="C693" s="18"/>
      <c r="D693" s="18"/>
      <c r="E693" s="18"/>
      <c r="F693" s="18"/>
      <c r="G693" s="18"/>
    </row>
    <row r="694" spans="1:7" ht="15.75" customHeight="1" x14ac:dyDescent="0.25">
      <c r="A694" s="5"/>
      <c r="B694" s="5"/>
      <c r="C694" s="18"/>
      <c r="D694" s="18"/>
      <c r="E694" s="18"/>
      <c r="F694" s="18"/>
      <c r="G694" s="18"/>
    </row>
    <row r="695" spans="1:7" ht="15.75" customHeight="1" x14ac:dyDescent="0.25">
      <c r="A695" s="5"/>
      <c r="B695" s="5"/>
      <c r="C695" s="18"/>
      <c r="D695" s="18"/>
      <c r="E695" s="18"/>
      <c r="F695" s="18"/>
      <c r="G695" s="18"/>
    </row>
    <row r="696" spans="1:7" ht="15.75" customHeight="1" x14ac:dyDescent="0.25">
      <c r="A696" s="5"/>
      <c r="B696" s="5"/>
      <c r="C696" s="18"/>
      <c r="D696" s="18"/>
      <c r="E696" s="18"/>
      <c r="F696" s="18"/>
      <c r="G696" s="18"/>
    </row>
    <row r="697" spans="1:7" ht="15.75" customHeight="1" x14ac:dyDescent="0.25">
      <c r="A697" s="5"/>
      <c r="B697" s="5"/>
      <c r="C697" s="18"/>
      <c r="D697" s="18"/>
      <c r="E697" s="18"/>
      <c r="F697" s="18"/>
      <c r="G697" s="18"/>
    </row>
    <row r="698" spans="1:7" ht="15.75" customHeight="1" x14ac:dyDescent="0.25">
      <c r="A698" s="5"/>
      <c r="B698" s="5"/>
      <c r="C698" s="18"/>
      <c r="D698" s="18"/>
      <c r="E698" s="18"/>
      <c r="F698" s="18"/>
      <c r="G698" s="18"/>
    </row>
    <row r="699" spans="1:7" ht="15.75" customHeight="1" x14ac:dyDescent="0.25">
      <c r="A699" s="5"/>
      <c r="B699" s="5"/>
      <c r="C699" s="18"/>
      <c r="D699" s="18"/>
      <c r="E699" s="18"/>
      <c r="F699" s="18"/>
      <c r="G699" s="18"/>
    </row>
    <row r="700" spans="1:7" ht="15.75" customHeight="1" x14ac:dyDescent="0.25">
      <c r="A700" s="5"/>
      <c r="B700" s="5"/>
      <c r="C700" s="18"/>
      <c r="D700" s="18"/>
      <c r="E700" s="18"/>
      <c r="F700" s="18"/>
      <c r="G700" s="18"/>
    </row>
    <row r="701" spans="1:7" ht="15.75" customHeight="1" x14ac:dyDescent="0.25">
      <c r="A701" s="5"/>
      <c r="B701" s="5"/>
      <c r="C701" s="18"/>
      <c r="D701" s="18"/>
      <c r="E701" s="18"/>
      <c r="F701" s="18"/>
      <c r="G701" s="18"/>
    </row>
    <row r="702" spans="1:7" ht="15.75" customHeight="1" x14ac:dyDescent="0.25">
      <c r="A702" s="5"/>
      <c r="B702" s="5"/>
      <c r="C702" s="18"/>
      <c r="D702" s="18"/>
      <c r="E702" s="18"/>
      <c r="F702" s="18"/>
      <c r="G702" s="18"/>
    </row>
    <row r="703" spans="1:7" ht="15.75" customHeight="1" x14ac:dyDescent="0.25">
      <c r="A703" s="5"/>
      <c r="B703" s="5"/>
      <c r="C703" s="18"/>
      <c r="D703" s="18"/>
      <c r="E703" s="18"/>
      <c r="F703" s="18"/>
      <c r="G703" s="18"/>
    </row>
    <row r="704" spans="1:7" ht="15.75" customHeight="1" x14ac:dyDescent="0.25">
      <c r="A704" s="5"/>
      <c r="B704" s="5"/>
      <c r="C704" s="18"/>
      <c r="D704" s="18"/>
      <c r="E704" s="18"/>
      <c r="F704" s="18"/>
      <c r="G704" s="18"/>
    </row>
    <row r="705" spans="1:7" ht="15.75" customHeight="1" x14ac:dyDescent="0.25">
      <c r="A705" s="5"/>
      <c r="B705" s="5"/>
      <c r="C705" s="18"/>
      <c r="D705" s="18"/>
      <c r="E705" s="18"/>
      <c r="F705" s="18"/>
      <c r="G705" s="18"/>
    </row>
    <row r="706" spans="1:7" ht="15.75" customHeight="1" x14ac:dyDescent="0.25">
      <c r="A706" s="5"/>
      <c r="B706" s="5"/>
      <c r="C706" s="18"/>
      <c r="D706" s="18"/>
      <c r="E706" s="18"/>
      <c r="F706" s="18"/>
      <c r="G706" s="18"/>
    </row>
    <row r="707" spans="1:7" ht="15.75" customHeight="1" x14ac:dyDescent="0.25">
      <c r="A707" s="5"/>
      <c r="B707" s="5"/>
      <c r="C707" s="18"/>
      <c r="D707" s="18"/>
      <c r="E707" s="18"/>
      <c r="F707" s="18"/>
      <c r="G707" s="18"/>
    </row>
    <row r="708" spans="1:7" ht="15.75" customHeight="1" x14ac:dyDescent="0.25">
      <c r="A708" s="5"/>
      <c r="B708" s="5"/>
      <c r="C708" s="18"/>
      <c r="D708" s="18"/>
      <c r="E708" s="18"/>
      <c r="F708" s="18"/>
      <c r="G708" s="18"/>
    </row>
    <row r="709" spans="1:7" ht="15.75" customHeight="1" x14ac:dyDescent="0.25">
      <c r="A709" s="5"/>
      <c r="B709" s="5"/>
      <c r="C709" s="18"/>
      <c r="D709" s="18"/>
      <c r="E709" s="18"/>
      <c r="F709" s="18"/>
      <c r="G709" s="18"/>
    </row>
    <row r="710" spans="1:7" ht="15.75" customHeight="1" x14ac:dyDescent="0.25">
      <c r="A710" s="5"/>
      <c r="B710" s="5"/>
      <c r="C710" s="18"/>
      <c r="D710" s="18"/>
      <c r="E710" s="18"/>
      <c r="F710" s="18"/>
      <c r="G710" s="18"/>
    </row>
    <row r="711" spans="1:7" ht="15.75" customHeight="1" x14ac:dyDescent="0.25">
      <c r="A711" s="5"/>
      <c r="B711" s="5"/>
      <c r="C711" s="18"/>
      <c r="D711" s="18"/>
      <c r="E711" s="18"/>
      <c r="F711" s="18"/>
      <c r="G711" s="18"/>
    </row>
    <row r="712" spans="1:7" ht="15.75" customHeight="1" x14ac:dyDescent="0.25">
      <c r="A712" s="5"/>
      <c r="B712" s="5"/>
      <c r="C712" s="18"/>
      <c r="D712" s="18"/>
      <c r="E712" s="18"/>
      <c r="F712" s="18"/>
      <c r="G712" s="18"/>
    </row>
    <row r="713" spans="1:7" ht="15.75" customHeight="1" x14ac:dyDescent="0.25">
      <c r="A713" s="5"/>
      <c r="B713" s="5"/>
      <c r="C713" s="18"/>
      <c r="D713" s="18"/>
      <c r="E713" s="18"/>
      <c r="F713" s="18"/>
      <c r="G713" s="18"/>
    </row>
    <row r="714" spans="1:7" ht="15.75" customHeight="1" x14ac:dyDescent="0.25">
      <c r="A714" s="5"/>
      <c r="B714" s="5"/>
      <c r="C714" s="18"/>
      <c r="D714" s="18"/>
      <c r="E714" s="18"/>
      <c r="F714" s="18"/>
      <c r="G714" s="18"/>
    </row>
    <row r="715" spans="1:7" ht="15.75" customHeight="1" x14ac:dyDescent="0.25">
      <c r="A715" s="5"/>
      <c r="B715" s="5"/>
      <c r="C715" s="18"/>
      <c r="D715" s="18"/>
      <c r="E715" s="18"/>
      <c r="F715" s="18"/>
      <c r="G715" s="18"/>
    </row>
    <row r="716" spans="1:7" ht="15.75" customHeight="1" x14ac:dyDescent="0.25">
      <c r="A716" s="5"/>
      <c r="B716" s="5"/>
      <c r="C716" s="18"/>
      <c r="D716" s="18"/>
      <c r="E716" s="18"/>
      <c r="F716" s="18"/>
      <c r="G716" s="18"/>
    </row>
    <row r="717" spans="1:7" ht="15.75" customHeight="1" x14ac:dyDescent="0.25">
      <c r="A717" s="5"/>
      <c r="B717" s="5"/>
      <c r="C717" s="18"/>
      <c r="D717" s="18"/>
      <c r="E717" s="18"/>
      <c r="F717" s="18"/>
      <c r="G717" s="18"/>
    </row>
    <row r="718" spans="1:7" ht="15.75" customHeight="1" x14ac:dyDescent="0.25">
      <c r="A718" s="5"/>
      <c r="B718" s="5"/>
      <c r="C718" s="18"/>
      <c r="D718" s="18"/>
      <c r="E718" s="18"/>
      <c r="F718" s="18"/>
      <c r="G718" s="18"/>
    </row>
    <row r="719" spans="1:7" ht="15.75" customHeight="1" x14ac:dyDescent="0.25">
      <c r="A719" s="5"/>
      <c r="B719" s="5"/>
      <c r="C719" s="18"/>
      <c r="D719" s="18"/>
      <c r="E719" s="18"/>
      <c r="F719" s="18"/>
      <c r="G719" s="18"/>
    </row>
    <row r="720" spans="1:7" ht="15.75" customHeight="1" x14ac:dyDescent="0.25">
      <c r="A720" s="5"/>
      <c r="B720" s="5"/>
      <c r="C720" s="18"/>
      <c r="D720" s="18"/>
      <c r="E720" s="18"/>
      <c r="F720" s="18"/>
      <c r="G720" s="18"/>
    </row>
    <row r="721" spans="1:7" ht="15.75" customHeight="1" x14ac:dyDescent="0.25">
      <c r="A721" s="5"/>
      <c r="B721" s="5"/>
      <c r="C721" s="18"/>
      <c r="D721" s="18"/>
      <c r="E721" s="18"/>
      <c r="F721" s="18"/>
      <c r="G721" s="18"/>
    </row>
    <row r="722" spans="1:7" ht="15.75" customHeight="1" x14ac:dyDescent="0.25">
      <c r="A722" s="5"/>
      <c r="B722" s="5"/>
      <c r="C722" s="18"/>
      <c r="D722" s="18"/>
      <c r="E722" s="18"/>
      <c r="F722" s="18"/>
      <c r="G722" s="18"/>
    </row>
    <row r="723" spans="1:7" ht="15.75" customHeight="1" x14ac:dyDescent="0.25">
      <c r="A723" s="5"/>
      <c r="B723" s="5"/>
      <c r="C723" s="18"/>
      <c r="D723" s="18"/>
      <c r="E723" s="18"/>
      <c r="F723" s="18"/>
      <c r="G723" s="18"/>
    </row>
    <row r="724" spans="1:7" ht="15.75" customHeight="1" x14ac:dyDescent="0.25">
      <c r="A724" s="5"/>
      <c r="B724" s="5"/>
      <c r="C724" s="18"/>
      <c r="D724" s="18"/>
      <c r="E724" s="18"/>
      <c r="F724" s="18"/>
      <c r="G724" s="18"/>
    </row>
    <row r="725" spans="1:7" ht="15.75" customHeight="1" x14ac:dyDescent="0.25">
      <c r="A725" s="5"/>
      <c r="B725" s="5"/>
      <c r="C725" s="18"/>
      <c r="D725" s="18"/>
      <c r="E725" s="18"/>
      <c r="F725" s="18"/>
      <c r="G725" s="18"/>
    </row>
    <row r="726" spans="1:7" ht="15.75" customHeight="1" x14ac:dyDescent="0.25">
      <c r="A726" s="5"/>
      <c r="B726" s="5"/>
      <c r="C726" s="18"/>
      <c r="D726" s="18"/>
      <c r="E726" s="18"/>
      <c r="F726" s="18"/>
      <c r="G726" s="18"/>
    </row>
    <row r="727" spans="1:7" ht="15.75" customHeight="1" x14ac:dyDescent="0.25">
      <c r="A727" s="5"/>
      <c r="B727" s="5"/>
      <c r="C727" s="18"/>
      <c r="D727" s="18"/>
      <c r="E727" s="18"/>
      <c r="F727" s="18"/>
      <c r="G727" s="18"/>
    </row>
    <row r="728" spans="1:7" ht="15.75" customHeight="1" x14ac:dyDescent="0.25">
      <c r="A728" s="5"/>
      <c r="B728" s="5"/>
      <c r="C728" s="18"/>
      <c r="D728" s="18"/>
      <c r="E728" s="18"/>
      <c r="F728" s="18"/>
      <c r="G728" s="18"/>
    </row>
    <row r="729" spans="1:7" ht="15.75" customHeight="1" x14ac:dyDescent="0.25">
      <c r="A729" s="5"/>
      <c r="B729" s="5"/>
      <c r="C729" s="18"/>
      <c r="D729" s="18"/>
      <c r="E729" s="18"/>
      <c r="F729" s="18"/>
      <c r="G729" s="18"/>
    </row>
    <row r="730" spans="1:7" ht="15.75" customHeight="1" x14ac:dyDescent="0.25">
      <c r="A730" s="5"/>
      <c r="B730" s="5"/>
      <c r="C730" s="18"/>
      <c r="D730" s="18"/>
      <c r="E730" s="18"/>
      <c r="F730" s="18"/>
      <c r="G730" s="18"/>
    </row>
    <row r="731" spans="1:7" ht="15.75" customHeight="1" x14ac:dyDescent="0.25">
      <c r="A731" s="5"/>
      <c r="B731" s="5"/>
      <c r="C731" s="18"/>
      <c r="D731" s="18"/>
      <c r="E731" s="18"/>
      <c r="F731" s="18"/>
      <c r="G731" s="18"/>
    </row>
    <row r="732" spans="1:7" ht="15.75" customHeight="1" x14ac:dyDescent="0.25">
      <c r="A732" s="5"/>
      <c r="B732" s="5"/>
      <c r="C732" s="18"/>
      <c r="D732" s="18"/>
      <c r="E732" s="18"/>
      <c r="F732" s="18"/>
      <c r="G732" s="18"/>
    </row>
    <row r="733" spans="1:7" ht="15.75" customHeight="1" x14ac:dyDescent="0.25">
      <c r="A733" s="5"/>
      <c r="B733" s="5"/>
      <c r="C733" s="18"/>
      <c r="D733" s="18"/>
      <c r="E733" s="18"/>
      <c r="F733" s="18"/>
      <c r="G733" s="18"/>
    </row>
    <row r="734" spans="1:7" ht="15.75" customHeight="1" x14ac:dyDescent="0.25">
      <c r="A734" s="5"/>
      <c r="B734" s="5"/>
      <c r="C734" s="18"/>
      <c r="D734" s="18"/>
      <c r="E734" s="18"/>
      <c r="F734" s="18"/>
      <c r="G734" s="18"/>
    </row>
    <row r="735" spans="1:7" ht="15.75" customHeight="1" x14ac:dyDescent="0.25">
      <c r="A735" s="5"/>
      <c r="B735" s="5"/>
      <c r="C735" s="18"/>
      <c r="D735" s="18"/>
      <c r="E735" s="18"/>
      <c r="F735" s="18"/>
      <c r="G735" s="18"/>
    </row>
    <row r="736" spans="1:7" ht="15.75" customHeight="1" x14ac:dyDescent="0.25">
      <c r="A736" s="5"/>
      <c r="B736" s="5"/>
      <c r="C736" s="18"/>
      <c r="D736" s="18"/>
      <c r="E736" s="18"/>
      <c r="F736" s="18"/>
      <c r="G736" s="18"/>
    </row>
    <row r="737" spans="1:7" ht="15.75" customHeight="1" x14ac:dyDescent="0.25">
      <c r="A737" s="5"/>
      <c r="B737" s="5"/>
      <c r="C737" s="18"/>
      <c r="D737" s="18"/>
      <c r="E737" s="18"/>
      <c r="F737" s="18"/>
      <c r="G737" s="18"/>
    </row>
    <row r="738" spans="1:7" ht="15.75" customHeight="1" x14ac:dyDescent="0.25">
      <c r="A738" s="5"/>
      <c r="B738" s="5"/>
      <c r="C738" s="18"/>
      <c r="D738" s="18"/>
      <c r="E738" s="18"/>
      <c r="F738" s="18"/>
      <c r="G738" s="18"/>
    </row>
    <row r="739" spans="1:7" ht="15.75" customHeight="1" x14ac:dyDescent="0.25">
      <c r="A739" s="5"/>
      <c r="B739" s="5"/>
      <c r="C739" s="18"/>
      <c r="D739" s="18"/>
      <c r="E739" s="18"/>
      <c r="F739" s="18"/>
      <c r="G739" s="18"/>
    </row>
    <row r="740" spans="1:7" ht="15.75" customHeight="1" x14ac:dyDescent="0.25">
      <c r="A740" s="5"/>
      <c r="B740" s="5"/>
      <c r="C740" s="18"/>
      <c r="D740" s="18"/>
      <c r="E740" s="18"/>
      <c r="F740" s="18"/>
      <c r="G740" s="18"/>
    </row>
    <row r="741" spans="1:7" ht="15.75" customHeight="1" x14ac:dyDescent="0.25">
      <c r="A741" s="5"/>
      <c r="B741" s="5"/>
      <c r="C741" s="18"/>
      <c r="D741" s="18"/>
      <c r="E741" s="18"/>
      <c r="F741" s="18"/>
      <c r="G741" s="18"/>
    </row>
    <row r="742" spans="1:7" ht="15.75" customHeight="1" x14ac:dyDescent="0.25">
      <c r="A742" s="5"/>
      <c r="B742" s="5"/>
      <c r="C742" s="18"/>
      <c r="D742" s="18"/>
      <c r="E742" s="18"/>
      <c r="F742" s="18"/>
      <c r="G742" s="18"/>
    </row>
    <row r="743" spans="1:7" ht="15.75" customHeight="1" x14ac:dyDescent="0.25">
      <c r="A743" s="5"/>
      <c r="B743" s="5"/>
      <c r="C743" s="18"/>
      <c r="D743" s="18"/>
      <c r="E743" s="18"/>
      <c r="F743" s="18"/>
      <c r="G743" s="18"/>
    </row>
    <row r="744" spans="1:7" ht="15.75" customHeight="1" x14ac:dyDescent="0.25">
      <c r="A744" s="5"/>
      <c r="B744" s="5"/>
      <c r="C744" s="18"/>
      <c r="D744" s="18"/>
      <c r="E744" s="18"/>
      <c r="F744" s="18"/>
      <c r="G744" s="18"/>
    </row>
    <row r="745" spans="1:7" ht="15.75" customHeight="1" x14ac:dyDescent="0.25">
      <c r="A745" s="5"/>
      <c r="B745" s="5"/>
      <c r="C745" s="18"/>
      <c r="D745" s="18"/>
      <c r="E745" s="18"/>
      <c r="F745" s="18"/>
      <c r="G745" s="18"/>
    </row>
    <row r="746" spans="1:7" ht="15.75" customHeight="1" x14ac:dyDescent="0.25">
      <c r="A746" s="5"/>
      <c r="B746" s="5"/>
      <c r="C746" s="18"/>
      <c r="D746" s="18"/>
      <c r="E746" s="18"/>
      <c r="F746" s="18"/>
      <c r="G746" s="18"/>
    </row>
    <row r="747" spans="1:7" ht="15.75" customHeight="1" x14ac:dyDescent="0.25">
      <c r="A747" s="5"/>
      <c r="B747" s="5"/>
      <c r="C747" s="18"/>
      <c r="D747" s="18"/>
      <c r="E747" s="18"/>
      <c r="F747" s="18"/>
      <c r="G747" s="18"/>
    </row>
    <row r="748" spans="1:7" ht="15.75" customHeight="1" x14ac:dyDescent="0.25">
      <c r="A748" s="5"/>
      <c r="B748" s="5"/>
      <c r="C748" s="18"/>
      <c r="D748" s="18"/>
      <c r="E748" s="18"/>
      <c r="F748" s="18"/>
      <c r="G748" s="18"/>
    </row>
    <row r="749" spans="1:7" ht="15.75" customHeight="1" x14ac:dyDescent="0.25">
      <c r="A749" s="5"/>
      <c r="B749" s="5"/>
      <c r="C749" s="18"/>
      <c r="D749" s="18"/>
      <c r="E749" s="18"/>
      <c r="F749" s="18"/>
      <c r="G749" s="18"/>
    </row>
    <row r="750" spans="1:7" ht="15.75" customHeight="1" x14ac:dyDescent="0.25">
      <c r="A750" s="5"/>
      <c r="B750" s="5"/>
      <c r="C750" s="18"/>
      <c r="D750" s="18"/>
      <c r="E750" s="18"/>
      <c r="F750" s="18"/>
      <c r="G750" s="18"/>
    </row>
    <row r="751" spans="1:7" ht="15.75" customHeight="1" x14ac:dyDescent="0.25">
      <c r="A751" s="5"/>
      <c r="B751" s="5"/>
      <c r="C751" s="18"/>
      <c r="D751" s="18"/>
      <c r="E751" s="18"/>
      <c r="F751" s="18"/>
      <c r="G751" s="18"/>
    </row>
    <row r="752" spans="1:7" ht="15.75" customHeight="1" x14ac:dyDescent="0.25">
      <c r="A752" s="5"/>
      <c r="B752" s="5"/>
      <c r="C752" s="18"/>
      <c r="D752" s="18"/>
      <c r="E752" s="18"/>
      <c r="F752" s="18"/>
      <c r="G752" s="18"/>
    </row>
    <row r="753" spans="1:7" ht="15.75" customHeight="1" x14ac:dyDescent="0.25">
      <c r="A753" s="5"/>
      <c r="B753" s="5"/>
      <c r="C753" s="18"/>
      <c r="D753" s="18"/>
      <c r="E753" s="18"/>
      <c r="F753" s="18"/>
      <c r="G753" s="18"/>
    </row>
    <row r="754" spans="1:7" ht="15.75" customHeight="1" x14ac:dyDescent="0.25">
      <c r="A754" s="5"/>
      <c r="B754" s="5"/>
      <c r="C754" s="18"/>
      <c r="D754" s="18"/>
      <c r="E754" s="18"/>
      <c r="F754" s="18"/>
      <c r="G754" s="18"/>
    </row>
    <row r="755" spans="1:7" ht="15.75" customHeight="1" x14ac:dyDescent="0.25">
      <c r="A755" s="5"/>
      <c r="B755" s="5"/>
      <c r="C755" s="18"/>
      <c r="D755" s="18"/>
      <c r="E755" s="18"/>
      <c r="F755" s="18"/>
      <c r="G755" s="18"/>
    </row>
    <row r="756" spans="1:7" ht="15.75" customHeight="1" x14ac:dyDescent="0.25">
      <c r="A756" s="5"/>
      <c r="B756" s="5"/>
      <c r="C756" s="18"/>
      <c r="D756" s="18"/>
      <c r="E756" s="18"/>
      <c r="F756" s="18"/>
      <c r="G756" s="18"/>
    </row>
    <row r="757" spans="1:7" ht="15.75" customHeight="1" x14ac:dyDescent="0.25">
      <c r="A757" s="5"/>
      <c r="B757" s="5"/>
      <c r="C757" s="18"/>
      <c r="D757" s="18"/>
      <c r="E757" s="18"/>
      <c r="F757" s="18"/>
      <c r="G757" s="18"/>
    </row>
    <row r="758" spans="1:7" ht="15.75" customHeight="1" x14ac:dyDescent="0.25">
      <c r="A758" s="5"/>
      <c r="B758" s="5"/>
      <c r="C758" s="18"/>
      <c r="D758" s="18"/>
      <c r="E758" s="18"/>
      <c r="F758" s="18"/>
      <c r="G758" s="18"/>
    </row>
    <row r="759" spans="1:7" ht="15.75" customHeight="1" x14ac:dyDescent="0.25">
      <c r="A759" s="5"/>
      <c r="B759" s="5"/>
      <c r="C759" s="18"/>
      <c r="D759" s="18"/>
      <c r="E759" s="18"/>
      <c r="F759" s="18"/>
      <c r="G759" s="18"/>
    </row>
    <row r="760" spans="1:7" ht="15.75" customHeight="1" x14ac:dyDescent="0.25">
      <c r="A760" s="5"/>
      <c r="B760" s="5"/>
      <c r="C760" s="18"/>
      <c r="D760" s="18"/>
      <c r="E760" s="18"/>
      <c r="F760" s="18"/>
      <c r="G760" s="18"/>
    </row>
    <row r="761" spans="1:7" ht="15.75" customHeight="1" x14ac:dyDescent="0.25">
      <c r="A761" s="5"/>
      <c r="B761" s="5"/>
      <c r="C761" s="18"/>
      <c r="D761" s="18"/>
      <c r="E761" s="18"/>
      <c r="F761" s="18"/>
      <c r="G761" s="18"/>
    </row>
    <row r="762" spans="1:7" ht="15.75" customHeight="1" x14ac:dyDescent="0.25">
      <c r="A762" s="5"/>
      <c r="B762" s="5"/>
      <c r="C762" s="18"/>
      <c r="D762" s="18"/>
      <c r="E762" s="18"/>
      <c r="F762" s="18"/>
      <c r="G762" s="18"/>
    </row>
    <row r="763" spans="1:7" ht="15.75" customHeight="1" x14ac:dyDescent="0.25">
      <c r="A763" s="5"/>
      <c r="B763" s="5"/>
      <c r="C763" s="18"/>
      <c r="D763" s="18"/>
      <c r="E763" s="18"/>
      <c r="F763" s="18"/>
      <c r="G763" s="18"/>
    </row>
    <row r="764" spans="1:7" ht="15.75" customHeight="1" x14ac:dyDescent="0.25">
      <c r="A764" s="5"/>
      <c r="B764" s="5"/>
      <c r="C764" s="18"/>
      <c r="D764" s="18"/>
      <c r="E764" s="18"/>
      <c r="F764" s="18"/>
      <c r="G764" s="18"/>
    </row>
    <row r="765" spans="1:7" ht="15.75" customHeight="1" x14ac:dyDescent="0.25">
      <c r="A765" s="5"/>
      <c r="B765" s="5"/>
      <c r="C765" s="18"/>
      <c r="D765" s="18"/>
      <c r="E765" s="18"/>
      <c r="F765" s="18"/>
      <c r="G765" s="18"/>
    </row>
    <row r="766" spans="1:7" ht="15.75" customHeight="1" x14ac:dyDescent="0.25">
      <c r="A766" s="5"/>
      <c r="B766" s="5"/>
      <c r="C766" s="18"/>
      <c r="D766" s="18"/>
      <c r="E766" s="18"/>
      <c r="F766" s="18"/>
      <c r="G766" s="18"/>
    </row>
    <row r="767" spans="1:7" ht="15.75" customHeight="1" x14ac:dyDescent="0.25">
      <c r="A767" s="5"/>
      <c r="B767" s="5"/>
      <c r="C767" s="18"/>
      <c r="D767" s="18"/>
      <c r="E767" s="18"/>
      <c r="F767" s="18"/>
      <c r="G767" s="18"/>
    </row>
    <row r="768" spans="1:7" ht="15.75" customHeight="1" x14ac:dyDescent="0.25">
      <c r="A768" s="5"/>
      <c r="B768" s="5"/>
      <c r="C768" s="18"/>
      <c r="D768" s="18"/>
      <c r="E768" s="18"/>
      <c r="F768" s="18"/>
      <c r="G768" s="18"/>
    </row>
    <row r="769" spans="1:7" ht="15.75" customHeight="1" x14ac:dyDescent="0.25">
      <c r="A769" s="5"/>
      <c r="B769" s="5"/>
      <c r="C769" s="18"/>
      <c r="D769" s="18"/>
      <c r="E769" s="18"/>
      <c r="F769" s="18"/>
      <c r="G769" s="18"/>
    </row>
    <row r="770" spans="1:7" ht="15.75" customHeight="1" x14ac:dyDescent="0.25">
      <c r="A770" s="5"/>
      <c r="B770" s="5"/>
      <c r="C770" s="18"/>
      <c r="D770" s="18"/>
      <c r="E770" s="18"/>
      <c r="F770" s="18"/>
      <c r="G770" s="18"/>
    </row>
    <row r="771" spans="1:7" ht="15.75" customHeight="1" x14ac:dyDescent="0.25">
      <c r="A771" s="5"/>
      <c r="B771" s="5"/>
      <c r="C771" s="18"/>
      <c r="D771" s="18"/>
      <c r="E771" s="18"/>
      <c r="F771" s="18"/>
      <c r="G771" s="18"/>
    </row>
    <row r="772" spans="1:7" ht="15.75" customHeight="1" x14ac:dyDescent="0.25">
      <c r="A772" s="5"/>
      <c r="B772" s="5"/>
      <c r="C772" s="18"/>
      <c r="D772" s="18"/>
      <c r="E772" s="18"/>
      <c r="F772" s="18"/>
      <c r="G772" s="18"/>
    </row>
    <row r="773" spans="1:7" ht="15.75" customHeight="1" x14ac:dyDescent="0.25">
      <c r="A773" s="5"/>
      <c r="B773" s="5"/>
      <c r="C773" s="18"/>
      <c r="D773" s="18"/>
      <c r="E773" s="18"/>
      <c r="F773" s="18"/>
      <c r="G773" s="18"/>
    </row>
    <row r="774" spans="1:7" ht="15.75" customHeight="1" x14ac:dyDescent="0.25">
      <c r="A774" s="5"/>
      <c r="B774" s="5"/>
      <c r="C774" s="18"/>
      <c r="D774" s="18"/>
      <c r="E774" s="18"/>
      <c r="F774" s="18"/>
      <c r="G774" s="18"/>
    </row>
    <row r="775" spans="1:7" ht="15.75" customHeight="1" x14ac:dyDescent="0.25">
      <c r="A775" s="5"/>
      <c r="B775" s="5"/>
      <c r="C775" s="18"/>
      <c r="D775" s="18"/>
      <c r="E775" s="18"/>
      <c r="F775" s="18"/>
      <c r="G775" s="18"/>
    </row>
    <row r="776" spans="1:7" ht="15.75" customHeight="1" x14ac:dyDescent="0.25">
      <c r="A776" s="5"/>
      <c r="B776" s="5"/>
      <c r="C776" s="18"/>
      <c r="D776" s="18"/>
      <c r="E776" s="18"/>
      <c r="F776" s="18"/>
      <c r="G776" s="18"/>
    </row>
    <row r="777" spans="1:7" ht="15.75" customHeight="1" x14ac:dyDescent="0.25">
      <c r="A777" s="5"/>
      <c r="B777" s="5"/>
      <c r="C777" s="18"/>
      <c r="D777" s="18"/>
      <c r="E777" s="18"/>
      <c r="F777" s="18"/>
      <c r="G777" s="18"/>
    </row>
    <row r="778" spans="1:7" ht="15.75" customHeight="1" x14ac:dyDescent="0.25">
      <c r="A778" s="5"/>
      <c r="B778" s="5"/>
      <c r="C778" s="18"/>
      <c r="D778" s="18"/>
      <c r="E778" s="18"/>
      <c r="F778" s="18"/>
      <c r="G778" s="18"/>
    </row>
    <row r="779" spans="1:7" ht="15.75" customHeight="1" x14ac:dyDescent="0.25">
      <c r="A779" s="5"/>
      <c r="B779" s="5"/>
      <c r="C779" s="18"/>
      <c r="D779" s="18"/>
      <c r="E779" s="18"/>
      <c r="F779" s="18"/>
      <c r="G779" s="18"/>
    </row>
    <row r="780" spans="1:7" ht="15.75" customHeight="1" x14ac:dyDescent="0.25">
      <c r="A780" s="5"/>
      <c r="B780" s="5"/>
      <c r="C780" s="18"/>
      <c r="D780" s="18"/>
      <c r="E780" s="18"/>
      <c r="F780" s="18"/>
      <c r="G780" s="18"/>
    </row>
    <row r="781" spans="1:7" ht="15.75" customHeight="1" x14ac:dyDescent="0.25">
      <c r="A781" s="5"/>
      <c r="B781" s="5"/>
      <c r="C781" s="18"/>
      <c r="D781" s="18"/>
      <c r="E781" s="18"/>
      <c r="F781" s="18"/>
      <c r="G781" s="18"/>
    </row>
    <row r="782" spans="1:7" ht="15.75" customHeight="1" x14ac:dyDescent="0.25">
      <c r="A782" s="5"/>
      <c r="B782" s="5"/>
      <c r="C782" s="18"/>
      <c r="D782" s="18"/>
      <c r="E782" s="18"/>
      <c r="F782" s="18"/>
      <c r="G782" s="18"/>
    </row>
    <row r="783" spans="1:7" ht="15.75" customHeight="1" x14ac:dyDescent="0.25">
      <c r="A783" s="5"/>
      <c r="B783" s="5"/>
      <c r="C783" s="18"/>
      <c r="D783" s="18"/>
      <c r="E783" s="18"/>
      <c r="F783" s="18"/>
      <c r="G783" s="18"/>
    </row>
    <row r="784" spans="1:7" ht="15.75" customHeight="1" x14ac:dyDescent="0.25">
      <c r="A784" s="5"/>
      <c r="B784" s="5"/>
      <c r="C784" s="18"/>
      <c r="D784" s="18"/>
      <c r="E784" s="18"/>
      <c r="F784" s="18"/>
      <c r="G784" s="18"/>
    </row>
    <row r="785" spans="1:7" ht="15.75" customHeight="1" x14ac:dyDescent="0.25">
      <c r="A785" s="5"/>
      <c r="B785" s="5"/>
      <c r="C785" s="18"/>
      <c r="D785" s="18"/>
      <c r="E785" s="18"/>
      <c r="F785" s="18"/>
      <c r="G785" s="18"/>
    </row>
    <row r="786" spans="1:7" ht="15.75" customHeight="1" x14ac:dyDescent="0.25">
      <c r="A786" s="5"/>
      <c r="B786" s="5"/>
      <c r="C786" s="18"/>
      <c r="D786" s="18"/>
      <c r="E786" s="18"/>
      <c r="F786" s="18"/>
      <c r="G786" s="18"/>
    </row>
    <row r="787" spans="1:7" ht="15.75" customHeight="1" x14ac:dyDescent="0.25">
      <c r="A787" s="5"/>
      <c r="B787" s="5"/>
      <c r="C787" s="18"/>
      <c r="D787" s="18"/>
      <c r="E787" s="18"/>
      <c r="F787" s="18"/>
      <c r="G787" s="18"/>
    </row>
    <row r="788" spans="1:7" ht="15.75" customHeight="1" x14ac:dyDescent="0.25">
      <c r="A788" s="5"/>
      <c r="B788" s="5"/>
      <c r="C788" s="18"/>
      <c r="D788" s="18"/>
      <c r="E788" s="18"/>
      <c r="F788" s="18"/>
      <c r="G788" s="18"/>
    </row>
    <row r="789" spans="1:7" ht="15.75" customHeight="1" x14ac:dyDescent="0.25">
      <c r="A789" s="5"/>
      <c r="B789" s="5"/>
      <c r="C789" s="18"/>
      <c r="D789" s="18"/>
      <c r="E789" s="18"/>
      <c r="F789" s="18"/>
      <c r="G789" s="18"/>
    </row>
    <row r="790" spans="1:7" ht="15.75" customHeight="1" x14ac:dyDescent="0.25">
      <c r="A790" s="5"/>
      <c r="B790" s="5"/>
      <c r="C790" s="18"/>
      <c r="D790" s="18"/>
      <c r="E790" s="18"/>
      <c r="F790" s="18"/>
      <c r="G790" s="18"/>
    </row>
    <row r="791" spans="1:7" ht="15.75" customHeight="1" x14ac:dyDescent="0.25">
      <c r="A791" s="5"/>
      <c r="B791" s="5"/>
      <c r="C791" s="18"/>
      <c r="D791" s="18"/>
      <c r="E791" s="18"/>
      <c r="F791" s="18"/>
      <c r="G791" s="18"/>
    </row>
    <row r="792" spans="1:7" ht="15.75" customHeight="1" x14ac:dyDescent="0.25">
      <c r="A792" s="5"/>
      <c r="B792" s="5"/>
      <c r="C792" s="18"/>
      <c r="D792" s="18"/>
      <c r="E792" s="18"/>
      <c r="F792" s="18"/>
      <c r="G792" s="18"/>
    </row>
    <row r="793" spans="1:7" ht="15.75" customHeight="1" x14ac:dyDescent="0.25">
      <c r="A793" s="5"/>
      <c r="B793" s="5"/>
      <c r="C793" s="18"/>
      <c r="D793" s="18"/>
      <c r="E793" s="18"/>
      <c r="F793" s="18"/>
      <c r="G793" s="18"/>
    </row>
    <row r="794" spans="1:7" ht="15.75" customHeight="1" x14ac:dyDescent="0.25">
      <c r="A794" s="5"/>
      <c r="B794" s="5"/>
      <c r="C794" s="18"/>
      <c r="D794" s="18"/>
      <c r="E794" s="18"/>
      <c r="F794" s="18"/>
      <c r="G794" s="18"/>
    </row>
    <row r="795" spans="1:7" ht="15.75" customHeight="1" x14ac:dyDescent="0.25">
      <c r="A795" s="5"/>
      <c r="B795" s="5"/>
      <c r="C795" s="18"/>
      <c r="D795" s="18"/>
      <c r="E795" s="18"/>
      <c r="F795" s="18"/>
      <c r="G795" s="18"/>
    </row>
    <row r="796" spans="1:7" ht="15.75" customHeight="1" x14ac:dyDescent="0.25">
      <c r="A796" s="5"/>
      <c r="B796" s="5"/>
      <c r="C796" s="18"/>
      <c r="D796" s="18"/>
      <c r="E796" s="18"/>
      <c r="F796" s="18"/>
      <c r="G796" s="18"/>
    </row>
    <row r="797" spans="1:7" ht="15.75" customHeight="1" x14ac:dyDescent="0.25">
      <c r="A797" s="5"/>
      <c r="B797" s="5"/>
      <c r="C797" s="18"/>
      <c r="D797" s="18"/>
      <c r="E797" s="18"/>
      <c r="F797" s="18"/>
      <c r="G797" s="18"/>
    </row>
    <row r="798" spans="1:7" ht="15.75" customHeight="1" x14ac:dyDescent="0.25">
      <c r="A798" s="5"/>
      <c r="B798" s="5"/>
      <c r="C798" s="18"/>
      <c r="D798" s="18"/>
      <c r="E798" s="18"/>
      <c r="F798" s="18"/>
      <c r="G798" s="18"/>
    </row>
    <row r="799" spans="1:7" ht="15.75" customHeight="1" x14ac:dyDescent="0.25">
      <c r="A799" s="5"/>
      <c r="B799" s="5"/>
      <c r="C799" s="18"/>
      <c r="D799" s="18"/>
      <c r="E799" s="18"/>
      <c r="F799" s="18"/>
      <c r="G799" s="18"/>
    </row>
    <row r="800" spans="1:7" ht="15.75" customHeight="1" x14ac:dyDescent="0.25">
      <c r="A800" s="5"/>
      <c r="B800" s="5"/>
      <c r="C800" s="18"/>
      <c r="D800" s="18"/>
      <c r="E800" s="18"/>
      <c r="F800" s="18"/>
      <c r="G800" s="18"/>
    </row>
    <row r="801" spans="1:7" ht="15.75" customHeight="1" x14ac:dyDescent="0.25">
      <c r="A801" s="5"/>
      <c r="B801" s="5"/>
      <c r="C801" s="18"/>
      <c r="D801" s="18"/>
      <c r="E801" s="18"/>
      <c r="F801" s="18"/>
      <c r="G801" s="18"/>
    </row>
    <row r="802" spans="1:7" ht="15.75" customHeight="1" x14ac:dyDescent="0.25">
      <c r="A802" s="5"/>
      <c r="B802" s="5"/>
      <c r="C802" s="18"/>
      <c r="D802" s="18"/>
      <c r="E802" s="18"/>
      <c r="F802" s="18"/>
      <c r="G802" s="18"/>
    </row>
    <row r="803" spans="1:7" ht="15.75" customHeight="1" x14ac:dyDescent="0.25">
      <c r="A803" s="5"/>
      <c r="B803" s="5"/>
      <c r="C803" s="18"/>
      <c r="D803" s="18"/>
      <c r="E803" s="18"/>
      <c r="F803" s="18"/>
      <c r="G803" s="18"/>
    </row>
    <row r="804" spans="1:7" ht="15.75" customHeight="1" x14ac:dyDescent="0.25">
      <c r="A804" s="5"/>
      <c r="B804" s="5"/>
      <c r="C804" s="18"/>
      <c r="D804" s="18"/>
      <c r="E804" s="18"/>
      <c r="F804" s="18"/>
      <c r="G804" s="18"/>
    </row>
    <row r="805" spans="1:7" ht="15.75" customHeight="1" x14ac:dyDescent="0.25">
      <c r="A805" s="5"/>
      <c r="B805" s="5"/>
      <c r="C805" s="18"/>
      <c r="D805" s="18"/>
      <c r="E805" s="18"/>
      <c r="F805" s="18"/>
      <c r="G805" s="18"/>
    </row>
    <row r="806" spans="1:7" ht="15.75" customHeight="1" x14ac:dyDescent="0.25">
      <c r="A806" s="5"/>
      <c r="B806" s="5"/>
      <c r="C806" s="18"/>
      <c r="D806" s="18"/>
      <c r="E806" s="18"/>
      <c r="F806" s="18"/>
      <c r="G806" s="18"/>
    </row>
    <row r="807" spans="1:7" ht="15.75" customHeight="1" x14ac:dyDescent="0.25">
      <c r="A807" s="5"/>
      <c r="B807" s="5"/>
      <c r="C807" s="18"/>
      <c r="D807" s="18"/>
      <c r="E807" s="18"/>
      <c r="F807" s="18"/>
      <c r="G807" s="18"/>
    </row>
    <row r="808" spans="1:7" ht="15.75" customHeight="1" x14ac:dyDescent="0.25">
      <c r="A808" s="5"/>
      <c r="B808" s="5"/>
      <c r="C808" s="18"/>
      <c r="D808" s="18"/>
      <c r="E808" s="18"/>
      <c r="F808" s="18"/>
      <c r="G808" s="18"/>
    </row>
    <row r="809" spans="1:7" ht="15.75" customHeight="1" x14ac:dyDescent="0.25">
      <c r="A809" s="5"/>
      <c r="B809" s="5"/>
      <c r="C809" s="18"/>
      <c r="D809" s="18"/>
      <c r="E809" s="18"/>
      <c r="F809" s="18"/>
      <c r="G809" s="18"/>
    </row>
    <row r="810" spans="1:7" ht="15.75" customHeight="1" x14ac:dyDescent="0.25">
      <c r="A810" s="5"/>
      <c r="B810" s="5"/>
      <c r="C810" s="18"/>
      <c r="D810" s="18"/>
      <c r="E810" s="18"/>
      <c r="F810" s="18"/>
      <c r="G810" s="18"/>
    </row>
    <row r="811" spans="1:7" ht="15.75" customHeight="1" x14ac:dyDescent="0.25">
      <c r="A811" s="5"/>
      <c r="B811" s="5"/>
      <c r="C811" s="18"/>
      <c r="D811" s="18"/>
      <c r="E811" s="18"/>
      <c r="F811" s="18"/>
      <c r="G811" s="18"/>
    </row>
    <row r="812" spans="1:7" ht="15.75" customHeight="1" x14ac:dyDescent="0.25">
      <c r="A812" s="5"/>
      <c r="B812" s="5"/>
      <c r="C812" s="18"/>
      <c r="D812" s="18"/>
      <c r="E812" s="18"/>
      <c r="F812" s="18"/>
      <c r="G812" s="18"/>
    </row>
    <row r="813" spans="1:7" ht="15.75" customHeight="1" x14ac:dyDescent="0.25">
      <c r="A813" s="5"/>
      <c r="B813" s="5"/>
      <c r="C813" s="18"/>
      <c r="D813" s="18"/>
      <c r="E813" s="18"/>
      <c r="F813" s="18"/>
      <c r="G813" s="18"/>
    </row>
    <row r="814" spans="1:7" ht="15.75" customHeight="1" x14ac:dyDescent="0.25">
      <c r="A814" s="5"/>
      <c r="B814" s="5"/>
      <c r="C814" s="18"/>
      <c r="D814" s="18"/>
      <c r="E814" s="18"/>
      <c r="F814" s="18"/>
      <c r="G814" s="18"/>
    </row>
    <row r="815" spans="1:7" ht="15.75" customHeight="1" x14ac:dyDescent="0.25">
      <c r="A815" s="5"/>
      <c r="B815" s="5"/>
      <c r="C815" s="18"/>
      <c r="D815" s="18"/>
      <c r="E815" s="18"/>
      <c r="F815" s="18"/>
      <c r="G815" s="18"/>
    </row>
    <row r="816" spans="1:7" ht="15.75" customHeight="1" x14ac:dyDescent="0.25">
      <c r="A816" s="5"/>
      <c r="B816" s="5"/>
      <c r="C816" s="18"/>
      <c r="D816" s="18"/>
      <c r="E816" s="18"/>
      <c r="F816" s="18"/>
      <c r="G816" s="18"/>
    </row>
    <row r="817" spans="1:7" ht="15.75" customHeight="1" x14ac:dyDescent="0.25">
      <c r="A817" s="5"/>
      <c r="B817" s="5"/>
      <c r="C817" s="18"/>
      <c r="D817" s="18"/>
      <c r="E817" s="18"/>
      <c r="F817" s="18"/>
      <c r="G817" s="18"/>
    </row>
    <row r="818" spans="1:7" ht="15.75" customHeight="1" x14ac:dyDescent="0.25">
      <c r="A818" s="5"/>
      <c r="B818" s="5"/>
      <c r="C818" s="18"/>
      <c r="D818" s="18"/>
      <c r="E818" s="18"/>
      <c r="F818" s="18"/>
      <c r="G818" s="18"/>
    </row>
    <row r="819" spans="1:7" ht="15.75" customHeight="1" x14ac:dyDescent="0.25">
      <c r="A819" s="5"/>
      <c r="B819" s="5"/>
      <c r="C819" s="18"/>
      <c r="D819" s="18"/>
      <c r="E819" s="18"/>
      <c r="F819" s="18"/>
      <c r="G819" s="18"/>
    </row>
    <row r="820" spans="1:7" ht="15.75" customHeight="1" x14ac:dyDescent="0.25">
      <c r="A820" s="5"/>
      <c r="B820" s="5"/>
      <c r="C820" s="18"/>
      <c r="D820" s="18"/>
      <c r="E820" s="18"/>
      <c r="F820" s="18"/>
      <c r="G820" s="18"/>
    </row>
    <row r="821" spans="1:7" ht="15.75" customHeight="1" x14ac:dyDescent="0.25">
      <c r="A821" s="5"/>
      <c r="B821" s="5"/>
      <c r="C821" s="18"/>
      <c r="D821" s="18"/>
      <c r="E821" s="18"/>
      <c r="F821" s="18"/>
      <c r="G821" s="18"/>
    </row>
    <row r="822" spans="1:7" ht="15.75" customHeight="1" x14ac:dyDescent="0.25">
      <c r="A822" s="5"/>
      <c r="B822" s="5"/>
      <c r="C822" s="18"/>
      <c r="D822" s="18"/>
      <c r="E822" s="18"/>
      <c r="F822" s="18"/>
      <c r="G822" s="18"/>
    </row>
    <row r="823" spans="1:7" ht="15.75" customHeight="1" x14ac:dyDescent="0.25">
      <c r="A823" s="5"/>
      <c r="B823" s="5"/>
      <c r="C823" s="18"/>
      <c r="D823" s="18"/>
      <c r="E823" s="18"/>
      <c r="F823" s="18"/>
      <c r="G823" s="18"/>
    </row>
    <row r="824" spans="1:7" ht="15.75" customHeight="1" x14ac:dyDescent="0.25">
      <c r="A824" s="5"/>
      <c r="B824" s="5"/>
      <c r="C824" s="18"/>
      <c r="D824" s="18"/>
      <c r="E824" s="18"/>
      <c r="F824" s="18"/>
      <c r="G824" s="18"/>
    </row>
    <row r="825" spans="1:7" ht="15.75" customHeight="1" x14ac:dyDescent="0.25">
      <c r="A825" s="5"/>
      <c r="B825" s="5"/>
      <c r="C825" s="18"/>
      <c r="D825" s="18"/>
      <c r="E825" s="18"/>
      <c r="F825" s="18"/>
      <c r="G825" s="18"/>
    </row>
    <row r="826" spans="1:7" ht="15.75" customHeight="1" x14ac:dyDescent="0.25">
      <c r="A826" s="5"/>
      <c r="B826" s="5"/>
      <c r="C826" s="18"/>
      <c r="D826" s="18"/>
      <c r="E826" s="18"/>
      <c r="F826" s="18"/>
      <c r="G826" s="18"/>
    </row>
    <row r="827" spans="1:7" ht="15.75" customHeight="1" x14ac:dyDescent="0.25">
      <c r="A827" s="5"/>
      <c r="B827" s="5"/>
      <c r="C827" s="18"/>
      <c r="D827" s="18"/>
      <c r="E827" s="18"/>
      <c r="F827" s="18"/>
      <c r="G827" s="18"/>
    </row>
    <row r="828" spans="1:7" ht="15.75" customHeight="1" x14ac:dyDescent="0.25">
      <c r="A828" s="5"/>
      <c r="B828" s="5"/>
      <c r="C828" s="18"/>
      <c r="D828" s="18"/>
      <c r="E828" s="18"/>
      <c r="F828" s="18"/>
      <c r="G828" s="18"/>
    </row>
    <row r="829" spans="1:7" ht="15.75" customHeight="1" x14ac:dyDescent="0.25">
      <c r="A829" s="5"/>
      <c r="B829" s="5"/>
      <c r="C829" s="18"/>
      <c r="D829" s="18"/>
      <c r="E829" s="18"/>
      <c r="F829" s="18"/>
      <c r="G829" s="18"/>
    </row>
    <row r="830" spans="1:7" ht="15.75" customHeight="1" x14ac:dyDescent="0.25">
      <c r="A830" s="5"/>
      <c r="B830" s="5"/>
      <c r="C830" s="18"/>
      <c r="D830" s="18"/>
      <c r="E830" s="18"/>
      <c r="F830" s="18"/>
      <c r="G830" s="18"/>
    </row>
    <row r="831" spans="1:7" ht="15.75" customHeight="1" x14ac:dyDescent="0.25">
      <c r="A831" s="5"/>
      <c r="B831" s="5"/>
      <c r="C831" s="18"/>
      <c r="D831" s="18"/>
      <c r="E831" s="18"/>
      <c r="F831" s="18"/>
      <c r="G831" s="18"/>
    </row>
    <row r="832" spans="1:7" ht="15.75" customHeight="1" x14ac:dyDescent="0.25">
      <c r="A832" s="5"/>
      <c r="B832" s="5"/>
      <c r="C832" s="18"/>
      <c r="D832" s="18"/>
      <c r="E832" s="18"/>
      <c r="F832" s="18"/>
      <c r="G832" s="18"/>
    </row>
    <row r="833" spans="1:7" ht="15.75" customHeight="1" x14ac:dyDescent="0.25">
      <c r="A833" s="5"/>
      <c r="B833" s="5"/>
      <c r="C833" s="18"/>
      <c r="D833" s="18"/>
      <c r="E833" s="18"/>
      <c r="F833" s="18"/>
      <c r="G833" s="18"/>
    </row>
    <row r="834" spans="1:7" ht="15.75" customHeight="1" x14ac:dyDescent="0.25">
      <c r="A834" s="5"/>
      <c r="B834" s="5"/>
      <c r="C834" s="18"/>
      <c r="D834" s="18"/>
      <c r="E834" s="18"/>
      <c r="F834" s="18"/>
      <c r="G834" s="18"/>
    </row>
    <row r="835" spans="1:7" ht="15.75" customHeight="1" x14ac:dyDescent="0.25">
      <c r="A835" s="5"/>
      <c r="B835" s="5"/>
      <c r="C835" s="18"/>
      <c r="D835" s="18"/>
      <c r="E835" s="18"/>
      <c r="F835" s="18"/>
      <c r="G835" s="18"/>
    </row>
    <row r="836" spans="1:7" ht="15.75" customHeight="1" x14ac:dyDescent="0.25">
      <c r="A836" s="5"/>
      <c r="B836" s="5"/>
      <c r="C836" s="18"/>
      <c r="D836" s="18"/>
      <c r="E836" s="18"/>
      <c r="F836" s="18"/>
      <c r="G836" s="18"/>
    </row>
    <row r="837" spans="1:7" ht="15.75" customHeight="1" x14ac:dyDescent="0.25">
      <c r="A837" s="5"/>
      <c r="B837" s="5"/>
      <c r="C837" s="18"/>
      <c r="D837" s="18"/>
      <c r="E837" s="18"/>
      <c r="F837" s="18"/>
      <c r="G837" s="18"/>
    </row>
    <row r="838" spans="1:7" ht="15.75" customHeight="1" x14ac:dyDescent="0.25">
      <c r="A838" s="5"/>
      <c r="B838" s="5"/>
      <c r="C838" s="18"/>
      <c r="D838" s="18"/>
      <c r="E838" s="18"/>
      <c r="F838" s="18"/>
      <c r="G838" s="18"/>
    </row>
    <row r="839" spans="1:7" ht="15.75" customHeight="1" x14ac:dyDescent="0.25">
      <c r="A839" s="5"/>
      <c r="B839" s="5"/>
      <c r="C839" s="18"/>
      <c r="D839" s="18"/>
      <c r="E839" s="18"/>
      <c r="F839" s="18"/>
      <c r="G839" s="18"/>
    </row>
    <row r="840" spans="1:7" ht="15.75" customHeight="1" x14ac:dyDescent="0.25">
      <c r="A840" s="5"/>
      <c r="B840" s="5"/>
      <c r="C840" s="18"/>
      <c r="D840" s="18"/>
      <c r="E840" s="18"/>
      <c r="F840" s="18"/>
      <c r="G840" s="18"/>
    </row>
    <row r="841" spans="1:7" ht="15.75" customHeight="1" x14ac:dyDescent="0.25">
      <c r="A841" s="5"/>
      <c r="B841" s="5"/>
      <c r="C841" s="18"/>
      <c r="D841" s="18"/>
      <c r="E841" s="18"/>
      <c r="F841" s="18"/>
      <c r="G841" s="18"/>
    </row>
    <row r="842" spans="1:7" ht="15.75" customHeight="1" x14ac:dyDescent="0.25">
      <c r="A842" s="5"/>
      <c r="B842" s="5"/>
      <c r="C842" s="18"/>
      <c r="D842" s="18"/>
      <c r="E842" s="18"/>
      <c r="F842" s="18"/>
      <c r="G842" s="18"/>
    </row>
    <row r="843" spans="1:7" ht="15.75" customHeight="1" x14ac:dyDescent="0.25">
      <c r="A843" s="5"/>
      <c r="B843" s="5"/>
      <c r="C843" s="18"/>
      <c r="D843" s="18"/>
      <c r="E843" s="18"/>
      <c r="F843" s="18"/>
      <c r="G843" s="18"/>
    </row>
    <row r="844" spans="1:7" ht="15.75" customHeight="1" x14ac:dyDescent="0.25">
      <c r="A844" s="5"/>
      <c r="B844" s="5"/>
      <c r="C844" s="18"/>
      <c r="D844" s="18"/>
      <c r="E844" s="18"/>
      <c r="F844" s="18"/>
      <c r="G844" s="18"/>
    </row>
    <row r="845" spans="1:7" ht="15.75" customHeight="1" x14ac:dyDescent="0.25">
      <c r="A845" s="5"/>
      <c r="B845" s="5"/>
      <c r="C845" s="18"/>
      <c r="D845" s="18"/>
      <c r="E845" s="18"/>
      <c r="F845" s="18"/>
      <c r="G845" s="18"/>
    </row>
    <row r="846" spans="1:7" ht="15.75" customHeight="1" x14ac:dyDescent="0.25">
      <c r="A846" s="5"/>
      <c r="B846" s="5"/>
      <c r="C846" s="18"/>
      <c r="D846" s="18"/>
      <c r="E846" s="18"/>
      <c r="F846" s="18"/>
      <c r="G846" s="18"/>
    </row>
    <row r="847" spans="1:7" ht="15.75" customHeight="1" x14ac:dyDescent="0.25">
      <c r="A847" s="5"/>
      <c r="B847" s="5"/>
      <c r="C847" s="18"/>
      <c r="D847" s="18"/>
      <c r="E847" s="18"/>
      <c r="F847" s="18"/>
      <c r="G847" s="18"/>
    </row>
    <row r="848" spans="1:7" ht="15.75" customHeight="1" x14ac:dyDescent="0.25">
      <c r="A848" s="5"/>
      <c r="B848" s="5"/>
      <c r="C848" s="18"/>
      <c r="D848" s="18"/>
      <c r="E848" s="18"/>
      <c r="F848" s="18"/>
      <c r="G848" s="18"/>
    </row>
    <row r="849" spans="1:7" ht="15.75" customHeight="1" x14ac:dyDescent="0.25">
      <c r="A849" s="5"/>
      <c r="B849" s="5"/>
      <c r="C849" s="18"/>
      <c r="D849" s="18"/>
      <c r="E849" s="18"/>
      <c r="F849" s="18"/>
      <c r="G849" s="18"/>
    </row>
    <row r="850" spans="1:7" ht="15.75" customHeight="1" x14ac:dyDescent="0.25">
      <c r="A850" s="5"/>
      <c r="B850" s="5"/>
      <c r="C850" s="18"/>
      <c r="D850" s="18"/>
      <c r="E850" s="18"/>
      <c r="F850" s="18"/>
      <c r="G850" s="18"/>
    </row>
    <row r="851" spans="1:7" ht="15.75" customHeight="1" x14ac:dyDescent="0.25">
      <c r="A851" s="5"/>
      <c r="B851" s="5"/>
      <c r="C851" s="18"/>
      <c r="D851" s="18"/>
      <c r="E851" s="18"/>
      <c r="F851" s="18"/>
      <c r="G851" s="18"/>
    </row>
    <row r="852" spans="1:7" ht="15.75" customHeight="1" x14ac:dyDescent="0.25">
      <c r="A852" s="5"/>
      <c r="B852" s="5"/>
      <c r="C852" s="18"/>
      <c r="D852" s="18"/>
      <c r="E852" s="18"/>
      <c r="F852" s="18"/>
      <c r="G852" s="18"/>
    </row>
    <row r="853" spans="1:7" ht="15.75" customHeight="1" x14ac:dyDescent="0.25">
      <c r="A853" s="5"/>
      <c r="B853" s="5"/>
      <c r="C853" s="18"/>
      <c r="D853" s="18"/>
      <c r="E853" s="18"/>
      <c r="F853" s="18"/>
      <c r="G853" s="18"/>
    </row>
    <row r="854" spans="1:7" ht="15.75" customHeight="1" x14ac:dyDescent="0.25">
      <c r="A854" s="5"/>
      <c r="B854" s="5"/>
      <c r="C854" s="18"/>
      <c r="D854" s="18"/>
      <c r="E854" s="18"/>
      <c r="F854" s="18"/>
      <c r="G854" s="18"/>
    </row>
    <row r="855" spans="1:7" ht="15.75" customHeight="1" x14ac:dyDescent="0.25">
      <c r="A855" s="5"/>
      <c r="B855" s="5"/>
      <c r="C855" s="18"/>
      <c r="D855" s="18"/>
      <c r="E855" s="18"/>
      <c r="F855" s="18"/>
      <c r="G855" s="18"/>
    </row>
    <row r="856" spans="1:7" ht="15.75" customHeight="1" x14ac:dyDescent="0.25">
      <c r="A856" s="5"/>
      <c r="B856" s="5"/>
      <c r="C856" s="18"/>
      <c r="D856" s="18"/>
      <c r="E856" s="18"/>
      <c r="F856" s="18"/>
      <c r="G856" s="18"/>
    </row>
    <row r="857" spans="1:7" ht="15.75" customHeight="1" x14ac:dyDescent="0.25">
      <c r="A857" s="5"/>
      <c r="B857" s="5"/>
      <c r="C857" s="18"/>
      <c r="D857" s="18"/>
      <c r="E857" s="18"/>
      <c r="F857" s="18"/>
      <c r="G857" s="18"/>
    </row>
    <row r="858" spans="1:7" ht="15.75" customHeight="1" x14ac:dyDescent="0.25">
      <c r="A858" s="5"/>
      <c r="B858" s="5"/>
      <c r="C858" s="18"/>
      <c r="D858" s="18"/>
      <c r="E858" s="18"/>
      <c r="F858" s="18"/>
      <c r="G858" s="18"/>
    </row>
    <row r="859" spans="1:7" ht="15.75" customHeight="1" x14ac:dyDescent="0.25">
      <c r="A859" s="5"/>
      <c r="B859" s="5"/>
      <c r="C859" s="18"/>
      <c r="D859" s="18"/>
      <c r="E859" s="18"/>
      <c r="F859" s="18"/>
      <c r="G859" s="18"/>
    </row>
    <row r="860" spans="1:7" ht="15.75" customHeight="1" x14ac:dyDescent="0.25">
      <c r="A860" s="5"/>
      <c r="B860" s="5"/>
      <c r="C860" s="18"/>
      <c r="D860" s="18"/>
      <c r="E860" s="18"/>
      <c r="F860" s="18"/>
      <c r="G860" s="18"/>
    </row>
    <row r="861" spans="1:7" ht="15.75" customHeight="1" x14ac:dyDescent="0.25">
      <c r="A861" s="5"/>
      <c r="B861" s="5"/>
      <c r="C861" s="18"/>
      <c r="D861" s="18"/>
      <c r="E861" s="18"/>
      <c r="F861" s="18"/>
      <c r="G861" s="18"/>
    </row>
    <row r="862" spans="1:7" ht="15.75" customHeight="1" x14ac:dyDescent="0.25">
      <c r="A862" s="5"/>
      <c r="B862" s="5"/>
      <c r="C862" s="18"/>
      <c r="D862" s="18"/>
      <c r="E862" s="18"/>
      <c r="F862" s="18"/>
      <c r="G862" s="18"/>
    </row>
    <row r="863" spans="1:7" ht="15.75" customHeight="1" x14ac:dyDescent="0.25">
      <c r="A863" s="5"/>
      <c r="B863" s="5"/>
      <c r="C863" s="18"/>
      <c r="D863" s="18"/>
      <c r="E863" s="18"/>
      <c r="F863" s="18"/>
      <c r="G863" s="18"/>
    </row>
    <row r="864" spans="1:7" ht="15.75" customHeight="1" x14ac:dyDescent="0.25">
      <c r="A864" s="5"/>
      <c r="B864" s="5"/>
      <c r="C864" s="18"/>
      <c r="D864" s="18"/>
      <c r="E864" s="18"/>
      <c r="F864" s="18"/>
      <c r="G864" s="18"/>
    </row>
    <row r="865" spans="1:7" ht="15.75" customHeight="1" x14ac:dyDescent="0.25">
      <c r="A865" s="5"/>
      <c r="B865" s="5"/>
      <c r="C865" s="18"/>
      <c r="D865" s="18"/>
      <c r="E865" s="18"/>
      <c r="F865" s="18"/>
      <c r="G865" s="18"/>
    </row>
    <row r="866" spans="1:7" ht="15.75" customHeight="1" x14ac:dyDescent="0.25">
      <c r="A866" s="5"/>
      <c r="B866" s="5"/>
      <c r="C866" s="18"/>
      <c r="D866" s="18"/>
      <c r="E866" s="18"/>
      <c r="F866" s="18"/>
      <c r="G866" s="18"/>
    </row>
    <row r="867" spans="1:7" ht="15.75" customHeight="1" x14ac:dyDescent="0.25">
      <c r="A867" s="5"/>
      <c r="B867" s="5"/>
      <c r="C867" s="18"/>
      <c r="D867" s="18"/>
      <c r="E867" s="18"/>
      <c r="F867" s="18"/>
      <c r="G867" s="18"/>
    </row>
    <row r="868" spans="1:7" ht="15.75" customHeight="1" x14ac:dyDescent="0.25">
      <c r="A868" s="5"/>
      <c r="B868" s="5"/>
      <c r="C868" s="18"/>
      <c r="D868" s="18"/>
      <c r="E868" s="18"/>
      <c r="F868" s="18"/>
      <c r="G868" s="18"/>
    </row>
    <row r="869" spans="1:7" ht="15.75" customHeight="1" x14ac:dyDescent="0.25">
      <c r="A869" s="5"/>
      <c r="B869" s="5"/>
      <c r="C869" s="18"/>
      <c r="D869" s="18"/>
      <c r="E869" s="18"/>
      <c r="F869" s="18"/>
      <c r="G869" s="18"/>
    </row>
    <row r="870" spans="1:7" ht="15.75" customHeight="1" x14ac:dyDescent="0.25">
      <c r="A870" s="5"/>
      <c r="B870" s="5"/>
      <c r="C870" s="18"/>
      <c r="D870" s="18"/>
      <c r="E870" s="18"/>
      <c r="F870" s="18"/>
      <c r="G870" s="18"/>
    </row>
    <row r="871" spans="1:7" ht="15.75" customHeight="1" x14ac:dyDescent="0.25">
      <c r="A871" s="5"/>
      <c r="B871" s="5"/>
      <c r="C871" s="18"/>
      <c r="D871" s="18"/>
      <c r="E871" s="18"/>
      <c r="F871" s="18"/>
      <c r="G871" s="18"/>
    </row>
    <row r="872" spans="1:7" ht="15.75" customHeight="1" x14ac:dyDescent="0.25">
      <c r="A872" s="5"/>
      <c r="B872" s="5"/>
      <c r="C872" s="18"/>
      <c r="D872" s="18"/>
      <c r="E872" s="18"/>
      <c r="F872" s="18"/>
      <c r="G872" s="18"/>
    </row>
    <row r="873" spans="1:7" ht="15.75" customHeight="1" x14ac:dyDescent="0.25">
      <c r="A873" s="5"/>
      <c r="B873" s="5"/>
      <c r="C873" s="18"/>
      <c r="D873" s="18"/>
      <c r="E873" s="18"/>
      <c r="F873" s="18"/>
      <c r="G873" s="18"/>
    </row>
    <row r="874" spans="1:7" ht="15.75" customHeight="1" x14ac:dyDescent="0.25">
      <c r="A874" s="5"/>
      <c r="B874" s="5"/>
      <c r="C874" s="18"/>
      <c r="D874" s="18"/>
      <c r="E874" s="18"/>
      <c r="F874" s="18"/>
      <c r="G874" s="18"/>
    </row>
    <row r="875" spans="1:7" ht="15.75" customHeight="1" x14ac:dyDescent="0.25">
      <c r="A875" s="5"/>
      <c r="B875" s="5"/>
      <c r="C875" s="18"/>
      <c r="D875" s="18"/>
      <c r="E875" s="18"/>
      <c r="F875" s="18"/>
      <c r="G875" s="18"/>
    </row>
    <row r="876" spans="1:7" ht="15.75" customHeight="1" x14ac:dyDescent="0.25">
      <c r="A876" s="5"/>
      <c r="B876" s="5"/>
      <c r="C876" s="18"/>
      <c r="D876" s="18"/>
      <c r="E876" s="18"/>
      <c r="F876" s="18"/>
      <c r="G876" s="18"/>
    </row>
    <row r="877" spans="1:7" ht="15.75" customHeight="1" x14ac:dyDescent="0.25">
      <c r="A877" s="5"/>
      <c r="B877" s="5"/>
      <c r="C877" s="18"/>
      <c r="D877" s="18"/>
      <c r="E877" s="18"/>
      <c r="F877" s="18"/>
      <c r="G877" s="18"/>
    </row>
    <row r="878" spans="1:7" ht="15.75" customHeight="1" x14ac:dyDescent="0.25">
      <c r="A878" s="5"/>
      <c r="B878" s="5"/>
      <c r="C878" s="18"/>
      <c r="D878" s="18"/>
      <c r="E878" s="18"/>
      <c r="F878" s="18"/>
      <c r="G878" s="18"/>
    </row>
    <row r="879" spans="1:7" ht="15.75" customHeight="1" x14ac:dyDescent="0.25">
      <c r="A879" s="5"/>
      <c r="B879" s="5"/>
      <c r="C879" s="18"/>
      <c r="D879" s="18"/>
      <c r="E879" s="18"/>
      <c r="F879" s="18"/>
      <c r="G879" s="18"/>
    </row>
    <row r="880" spans="1:7" ht="15.75" customHeight="1" x14ac:dyDescent="0.25">
      <c r="A880" s="5"/>
      <c r="B880" s="5"/>
      <c r="C880" s="18"/>
      <c r="D880" s="18"/>
      <c r="E880" s="18"/>
      <c r="F880" s="18"/>
      <c r="G880" s="18"/>
    </row>
    <row r="881" spans="1:7" ht="15.75" customHeight="1" x14ac:dyDescent="0.25">
      <c r="A881" s="5"/>
      <c r="B881" s="5"/>
      <c r="C881" s="18"/>
      <c r="D881" s="18"/>
      <c r="E881" s="18"/>
      <c r="F881" s="18"/>
      <c r="G881" s="18"/>
    </row>
    <row r="882" spans="1:7" ht="15.75" customHeight="1" x14ac:dyDescent="0.25">
      <c r="A882" s="5"/>
      <c r="B882" s="5"/>
      <c r="C882" s="18"/>
      <c r="D882" s="18"/>
      <c r="E882" s="18"/>
      <c r="F882" s="18"/>
      <c r="G882" s="18"/>
    </row>
    <row r="883" spans="1:7" ht="15.75" customHeight="1" x14ac:dyDescent="0.25">
      <c r="A883" s="5"/>
      <c r="B883" s="5"/>
      <c r="C883" s="18"/>
      <c r="D883" s="18"/>
      <c r="E883" s="18"/>
      <c r="F883" s="18"/>
      <c r="G883" s="18"/>
    </row>
    <row r="884" spans="1:7" ht="15.75" customHeight="1" x14ac:dyDescent="0.25">
      <c r="A884" s="5"/>
      <c r="B884" s="5"/>
      <c r="C884" s="18"/>
      <c r="D884" s="18"/>
      <c r="E884" s="18"/>
      <c r="F884" s="18"/>
      <c r="G884" s="18"/>
    </row>
    <row r="885" spans="1:7" ht="15.75" customHeight="1" x14ac:dyDescent="0.25">
      <c r="A885" s="5"/>
      <c r="B885" s="5"/>
      <c r="C885" s="18"/>
      <c r="D885" s="18"/>
      <c r="E885" s="18"/>
      <c r="F885" s="18"/>
      <c r="G885" s="18"/>
    </row>
    <row r="886" spans="1:7" ht="15.75" customHeight="1" x14ac:dyDescent="0.25">
      <c r="A886" s="5"/>
      <c r="B886" s="5"/>
      <c r="C886" s="18"/>
      <c r="D886" s="18"/>
      <c r="E886" s="18"/>
      <c r="F886" s="18"/>
      <c r="G886" s="18"/>
    </row>
    <row r="887" spans="1:7" ht="15.75" customHeight="1" x14ac:dyDescent="0.25">
      <c r="A887" s="5"/>
      <c r="B887" s="5"/>
      <c r="C887" s="18"/>
      <c r="D887" s="18"/>
      <c r="E887" s="18"/>
      <c r="F887" s="18"/>
      <c r="G887" s="18"/>
    </row>
    <row r="888" spans="1:7" ht="15.75" customHeight="1" x14ac:dyDescent="0.25">
      <c r="A888" s="5"/>
      <c r="B888" s="5"/>
      <c r="C888" s="18"/>
      <c r="D888" s="18"/>
      <c r="E888" s="18"/>
      <c r="F888" s="18"/>
      <c r="G888" s="18"/>
    </row>
    <row r="889" spans="1:7" ht="15.75" customHeight="1" x14ac:dyDescent="0.25">
      <c r="A889" s="5"/>
      <c r="B889" s="5"/>
      <c r="C889" s="18"/>
      <c r="D889" s="18"/>
      <c r="E889" s="18"/>
      <c r="F889" s="18"/>
      <c r="G889" s="18"/>
    </row>
    <row r="890" spans="1:7" ht="15.75" customHeight="1" x14ac:dyDescent="0.25">
      <c r="A890" s="5"/>
      <c r="B890" s="5"/>
      <c r="C890" s="18"/>
      <c r="D890" s="18"/>
      <c r="E890" s="18"/>
      <c r="F890" s="18"/>
      <c r="G890" s="18"/>
    </row>
    <row r="891" spans="1:7" ht="15.75" customHeight="1" x14ac:dyDescent="0.25">
      <c r="A891" s="5"/>
      <c r="B891" s="5"/>
      <c r="C891" s="18"/>
      <c r="D891" s="18"/>
      <c r="E891" s="18"/>
      <c r="F891" s="18"/>
      <c r="G891" s="18"/>
    </row>
    <row r="892" spans="1:7" ht="15.75" customHeight="1" x14ac:dyDescent="0.25">
      <c r="A892" s="5"/>
      <c r="B892" s="5"/>
      <c r="C892" s="18"/>
      <c r="D892" s="18"/>
      <c r="E892" s="18"/>
      <c r="F892" s="18"/>
      <c r="G892" s="18"/>
    </row>
    <row r="893" spans="1:7" ht="15.75" customHeight="1" x14ac:dyDescent="0.25">
      <c r="A893" s="5"/>
      <c r="B893" s="5"/>
      <c r="C893" s="18"/>
      <c r="D893" s="18"/>
      <c r="E893" s="18"/>
      <c r="F893" s="18"/>
      <c r="G893" s="18"/>
    </row>
    <row r="894" spans="1:7" ht="15.75" customHeight="1" x14ac:dyDescent="0.25">
      <c r="A894" s="5"/>
      <c r="B894" s="5"/>
      <c r="C894" s="18"/>
      <c r="D894" s="18"/>
      <c r="E894" s="18"/>
      <c r="F894" s="18"/>
      <c r="G894" s="18"/>
    </row>
    <row r="895" spans="1:7" ht="15.75" customHeight="1" x14ac:dyDescent="0.25">
      <c r="A895" s="5"/>
      <c r="B895" s="5"/>
      <c r="C895" s="18"/>
      <c r="D895" s="18"/>
      <c r="E895" s="18"/>
      <c r="F895" s="18"/>
      <c r="G895" s="18"/>
    </row>
    <row r="896" spans="1:7" ht="15.75" customHeight="1" x14ac:dyDescent="0.25">
      <c r="A896" s="5"/>
      <c r="B896" s="5"/>
      <c r="C896" s="18"/>
      <c r="D896" s="18"/>
      <c r="E896" s="18"/>
      <c r="F896" s="18"/>
      <c r="G896" s="18"/>
    </row>
    <row r="897" spans="1:7" ht="15.75" customHeight="1" x14ac:dyDescent="0.25">
      <c r="A897" s="5"/>
      <c r="B897" s="5"/>
      <c r="C897" s="18"/>
      <c r="D897" s="18"/>
      <c r="E897" s="18"/>
      <c r="F897" s="18"/>
      <c r="G897" s="18"/>
    </row>
    <row r="898" spans="1:7" ht="15.75" customHeight="1" x14ac:dyDescent="0.25">
      <c r="A898" s="5"/>
      <c r="B898" s="5"/>
      <c r="C898" s="18"/>
      <c r="D898" s="18"/>
      <c r="E898" s="18"/>
      <c r="F898" s="18"/>
      <c r="G898" s="18"/>
    </row>
    <row r="899" spans="1:7" ht="15.75" customHeight="1" x14ac:dyDescent="0.25">
      <c r="A899" s="5"/>
      <c r="B899" s="5"/>
      <c r="C899" s="18"/>
      <c r="D899" s="18"/>
      <c r="E899" s="18"/>
      <c r="F899" s="18"/>
      <c r="G899" s="18"/>
    </row>
    <row r="900" spans="1:7" ht="15.75" customHeight="1" x14ac:dyDescent="0.25">
      <c r="A900" s="5"/>
      <c r="B900" s="5"/>
      <c r="C900" s="18"/>
      <c r="D900" s="18"/>
      <c r="E900" s="18"/>
      <c r="F900" s="18"/>
      <c r="G900" s="18"/>
    </row>
    <row r="901" spans="1:7" ht="15.75" customHeight="1" x14ac:dyDescent="0.25">
      <c r="A901" s="5"/>
      <c r="B901" s="5"/>
      <c r="C901" s="18"/>
      <c r="D901" s="18"/>
      <c r="E901" s="18"/>
      <c r="F901" s="18"/>
      <c r="G901" s="18"/>
    </row>
    <row r="902" spans="1:7" ht="15.75" customHeight="1" x14ac:dyDescent="0.25">
      <c r="A902" s="5"/>
      <c r="B902" s="5"/>
      <c r="C902" s="18"/>
      <c r="D902" s="18"/>
      <c r="E902" s="18"/>
      <c r="F902" s="18"/>
      <c r="G902" s="18"/>
    </row>
    <row r="903" spans="1:7" ht="15.75" customHeight="1" x14ac:dyDescent="0.25">
      <c r="A903" s="5"/>
      <c r="B903" s="5"/>
      <c r="C903" s="18"/>
      <c r="D903" s="18"/>
      <c r="E903" s="18"/>
      <c r="F903" s="18"/>
      <c r="G903" s="18"/>
    </row>
    <row r="904" spans="1:7" ht="15.75" customHeight="1" x14ac:dyDescent="0.25">
      <c r="A904" s="5"/>
      <c r="B904" s="5"/>
      <c r="C904" s="18"/>
      <c r="D904" s="18"/>
      <c r="E904" s="18"/>
      <c r="F904" s="18"/>
      <c r="G904" s="18"/>
    </row>
    <row r="905" spans="1:7" ht="15.75" customHeight="1" x14ac:dyDescent="0.25">
      <c r="A905" s="5"/>
      <c r="B905" s="5"/>
      <c r="C905" s="18"/>
      <c r="D905" s="18"/>
      <c r="E905" s="18"/>
      <c r="F905" s="18"/>
      <c r="G905" s="18"/>
    </row>
    <row r="906" spans="1:7" ht="15.75" customHeight="1" x14ac:dyDescent="0.25">
      <c r="A906" s="5"/>
      <c r="B906" s="5"/>
      <c r="C906" s="18"/>
      <c r="D906" s="18"/>
      <c r="E906" s="18"/>
      <c r="F906" s="18"/>
      <c r="G906" s="18"/>
    </row>
    <row r="907" spans="1:7" ht="15.75" customHeight="1" x14ac:dyDescent="0.25">
      <c r="A907" s="5"/>
      <c r="B907" s="5"/>
      <c r="C907" s="18"/>
      <c r="D907" s="18"/>
      <c r="E907" s="18"/>
      <c r="F907" s="18"/>
      <c r="G907" s="18"/>
    </row>
    <row r="908" spans="1:7" ht="15.75" customHeight="1" x14ac:dyDescent="0.25">
      <c r="A908" s="5"/>
      <c r="B908" s="5"/>
      <c r="C908" s="18"/>
      <c r="D908" s="18"/>
      <c r="E908" s="18"/>
      <c r="F908" s="18"/>
      <c r="G908" s="18"/>
    </row>
    <row r="909" spans="1:7" ht="15.75" customHeight="1" x14ac:dyDescent="0.25">
      <c r="A909" s="5"/>
      <c r="B909" s="5"/>
      <c r="C909" s="18"/>
      <c r="D909" s="18"/>
      <c r="E909" s="18"/>
      <c r="F909" s="18"/>
      <c r="G909" s="18"/>
    </row>
    <row r="910" spans="1:7" ht="15.75" customHeight="1" x14ac:dyDescent="0.25">
      <c r="A910" s="5"/>
      <c r="B910" s="5"/>
      <c r="C910" s="18"/>
      <c r="D910" s="18"/>
      <c r="E910" s="18"/>
      <c r="F910" s="18"/>
      <c r="G910" s="18"/>
    </row>
    <row r="911" spans="1:7" ht="15.75" customHeight="1" x14ac:dyDescent="0.25">
      <c r="A911" s="5"/>
      <c r="B911" s="5"/>
      <c r="C911" s="18"/>
      <c r="D911" s="18"/>
      <c r="E911" s="18"/>
      <c r="F911" s="18"/>
      <c r="G911" s="18"/>
    </row>
    <row r="912" spans="1:7" ht="15.75" customHeight="1" x14ac:dyDescent="0.25">
      <c r="A912" s="5"/>
      <c r="B912" s="5"/>
      <c r="C912" s="18"/>
      <c r="D912" s="18"/>
      <c r="E912" s="18"/>
      <c r="F912" s="18"/>
      <c r="G912" s="18"/>
    </row>
    <row r="913" spans="1:7" ht="15.75" customHeight="1" x14ac:dyDescent="0.25">
      <c r="A913" s="5"/>
      <c r="B913" s="5"/>
      <c r="C913" s="18"/>
      <c r="D913" s="18"/>
      <c r="E913" s="18"/>
      <c r="F913" s="18"/>
      <c r="G913" s="18"/>
    </row>
    <row r="914" spans="1:7" ht="15.75" customHeight="1" x14ac:dyDescent="0.25">
      <c r="A914" s="5"/>
      <c r="B914" s="5"/>
      <c r="C914" s="18"/>
      <c r="D914" s="18"/>
      <c r="E914" s="18"/>
      <c r="F914" s="18"/>
      <c r="G914" s="18"/>
    </row>
    <row r="915" spans="1:7" ht="15.75" customHeight="1" x14ac:dyDescent="0.25">
      <c r="A915" s="5"/>
      <c r="B915" s="5"/>
      <c r="C915" s="18"/>
      <c r="D915" s="18"/>
      <c r="E915" s="18"/>
      <c r="F915" s="18"/>
      <c r="G915" s="18"/>
    </row>
    <row r="916" spans="1:7" ht="15.75" customHeight="1" x14ac:dyDescent="0.25">
      <c r="A916" s="5"/>
      <c r="B916" s="5"/>
      <c r="C916" s="18"/>
      <c r="D916" s="18"/>
      <c r="E916" s="18"/>
      <c r="F916" s="18"/>
      <c r="G916" s="18"/>
    </row>
    <row r="917" spans="1:7" ht="15.75" customHeight="1" x14ac:dyDescent="0.25">
      <c r="A917" s="5"/>
      <c r="B917" s="5"/>
      <c r="C917" s="18"/>
      <c r="D917" s="18"/>
      <c r="E917" s="18"/>
      <c r="F917" s="18"/>
      <c r="G917" s="18"/>
    </row>
    <row r="918" spans="1:7" ht="15.75" customHeight="1" x14ac:dyDescent="0.25">
      <c r="A918" s="5"/>
      <c r="B918" s="5"/>
      <c r="C918" s="18"/>
      <c r="D918" s="18"/>
      <c r="E918" s="18"/>
      <c r="F918" s="18"/>
      <c r="G918" s="18"/>
    </row>
    <row r="919" spans="1:7" ht="15.75" customHeight="1" x14ac:dyDescent="0.25">
      <c r="A919" s="5"/>
      <c r="B919" s="5"/>
      <c r="C919" s="18"/>
      <c r="D919" s="18"/>
      <c r="E919" s="18"/>
      <c r="F919" s="18"/>
      <c r="G919" s="18"/>
    </row>
    <row r="920" spans="1:7" ht="15.75" customHeight="1" x14ac:dyDescent="0.25">
      <c r="A920" s="5"/>
      <c r="B920" s="5"/>
      <c r="C920" s="18"/>
      <c r="D920" s="18"/>
      <c r="E920" s="18"/>
      <c r="F920" s="18"/>
      <c r="G920" s="18"/>
    </row>
    <row r="921" spans="1:7" ht="15.75" customHeight="1" x14ac:dyDescent="0.25">
      <c r="A921" s="5"/>
      <c r="B921" s="5"/>
      <c r="C921" s="18"/>
      <c r="D921" s="18"/>
      <c r="E921" s="18"/>
      <c r="F921" s="18"/>
      <c r="G921" s="18"/>
    </row>
    <row r="922" spans="1:7" ht="15.75" customHeight="1" x14ac:dyDescent="0.25">
      <c r="A922" s="5"/>
      <c r="B922" s="5"/>
      <c r="C922" s="18"/>
      <c r="D922" s="18"/>
      <c r="E922" s="18"/>
      <c r="F922" s="18"/>
      <c r="G922" s="18"/>
    </row>
    <row r="923" spans="1:7" ht="15.75" customHeight="1" x14ac:dyDescent="0.25">
      <c r="A923" s="5"/>
      <c r="B923" s="5"/>
      <c r="C923" s="18"/>
      <c r="D923" s="18"/>
      <c r="E923" s="18"/>
      <c r="F923" s="18"/>
      <c r="G923" s="18"/>
    </row>
    <row r="924" spans="1:7" ht="15.75" customHeight="1" x14ac:dyDescent="0.25">
      <c r="A924" s="5"/>
      <c r="B924" s="5"/>
      <c r="C924" s="18"/>
      <c r="D924" s="18"/>
      <c r="E924" s="18"/>
      <c r="F924" s="18"/>
      <c r="G924" s="18"/>
    </row>
    <row r="925" spans="1:7" ht="15.75" customHeight="1" x14ac:dyDescent="0.25">
      <c r="A925" s="5"/>
      <c r="B925" s="5"/>
      <c r="C925" s="18"/>
      <c r="D925" s="18"/>
      <c r="E925" s="18"/>
      <c r="F925" s="18"/>
      <c r="G925" s="18"/>
    </row>
    <row r="926" spans="1:7" ht="15.75" customHeight="1" x14ac:dyDescent="0.25">
      <c r="A926" s="5"/>
      <c r="B926" s="5"/>
      <c r="C926" s="18"/>
      <c r="D926" s="18"/>
      <c r="E926" s="18"/>
      <c r="F926" s="18"/>
      <c r="G926" s="18"/>
    </row>
    <row r="927" spans="1:7" ht="15.75" customHeight="1" x14ac:dyDescent="0.25">
      <c r="A927" s="5"/>
      <c r="B927" s="5"/>
      <c r="C927" s="18"/>
      <c r="D927" s="18"/>
      <c r="E927" s="18"/>
      <c r="F927" s="18"/>
      <c r="G927" s="18"/>
    </row>
    <row r="928" spans="1:7" ht="15.75" customHeight="1" x14ac:dyDescent="0.25">
      <c r="A928" s="5"/>
      <c r="B928" s="5"/>
      <c r="C928" s="18"/>
      <c r="D928" s="18"/>
      <c r="E928" s="18"/>
      <c r="F928" s="18"/>
      <c r="G928" s="18"/>
    </row>
    <row r="929" spans="1:7" ht="15.75" customHeight="1" x14ac:dyDescent="0.25">
      <c r="A929" s="5"/>
      <c r="B929" s="5"/>
      <c r="C929" s="18"/>
      <c r="D929" s="18"/>
      <c r="E929" s="18"/>
      <c r="F929" s="18"/>
      <c r="G929" s="18"/>
    </row>
    <row r="930" spans="1:7" ht="15.75" customHeight="1" x14ac:dyDescent="0.25">
      <c r="A930" s="5"/>
      <c r="B930" s="5"/>
      <c r="C930" s="18"/>
      <c r="D930" s="18"/>
      <c r="E930" s="18"/>
      <c r="F930" s="18"/>
      <c r="G930" s="18"/>
    </row>
    <row r="931" spans="1:7" ht="15.75" customHeight="1" x14ac:dyDescent="0.25">
      <c r="A931" s="5"/>
      <c r="B931" s="5"/>
      <c r="C931" s="18"/>
      <c r="D931" s="18"/>
      <c r="E931" s="18"/>
      <c r="F931" s="18"/>
      <c r="G931" s="18"/>
    </row>
    <row r="932" spans="1:7" ht="15.75" customHeight="1" x14ac:dyDescent="0.25">
      <c r="A932" s="5"/>
      <c r="B932" s="5"/>
      <c r="C932" s="18"/>
      <c r="D932" s="18"/>
      <c r="E932" s="18"/>
      <c r="F932" s="18"/>
      <c r="G932" s="18"/>
    </row>
    <row r="933" spans="1:7" ht="15.75" customHeight="1" x14ac:dyDescent="0.25">
      <c r="A933" s="5"/>
      <c r="B933" s="5"/>
      <c r="C933" s="18"/>
      <c r="D933" s="18"/>
      <c r="E933" s="18"/>
      <c r="F933" s="18"/>
      <c r="G933" s="18"/>
    </row>
    <row r="934" spans="1:7" ht="15.75" customHeight="1" x14ac:dyDescent="0.25">
      <c r="A934" s="5"/>
      <c r="B934" s="5"/>
      <c r="C934" s="18"/>
      <c r="D934" s="18"/>
      <c r="E934" s="18"/>
      <c r="F934" s="18"/>
      <c r="G934" s="18"/>
    </row>
    <row r="935" spans="1:7" ht="15.75" customHeight="1" x14ac:dyDescent="0.25">
      <c r="A935" s="5"/>
      <c r="B935" s="5"/>
      <c r="C935" s="18"/>
      <c r="D935" s="18"/>
      <c r="E935" s="18"/>
      <c r="F935" s="18"/>
      <c r="G935" s="18"/>
    </row>
    <row r="936" spans="1:7" ht="15.75" customHeight="1" x14ac:dyDescent="0.25">
      <c r="A936" s="5"/>
      <c r="B936" s="5"/>
      <c r="C936" s="18"/>
      <c r="D936" s="18"/>
      <c r="E936" s="18"/>
      <c r="F936" s="18"/>
      <c r="G936" s="18"/>
    </row>
    <row r="937" spans="1:7" ht="15.75" customHeight="1" x14ac:dyDescent="0.25">
      <c r="A937" s="5"/>
      <c r="B937" s="5"/>
      <c r="C937" s="18"/>
      <c r="D937" s="18"/>
      <c r="E937" s="18"/>
      <c r="F937" s="18"/>
      <c r="G937" s="18"/>
    </row>
    <row r="938" spans="1:7" ht="15.75" customHeight="1" x14ac:dyDescent="0.25">
      <c r="A938" s="5"/>
      <c r="B938" s="5"/>
      <c r="C938" s="18"/>
      <c r="D938" s="18"/>
      <c r="E938" s="18"/>
      <c r="F938" s="18"/>
      <c r="G938" s="18"/>
    </row>
    <row r="939" spans="1:7" ht="15.75" customHeight="1" x14ac:dyDescent="0.25">
      <c r="A939" s="5"/>
      <c r="B939" s="5"/>
      <c r="C939" s="18"/>
      <c r="D939" s="18"/>
      <c r="E939" s="18"/>
      <c r="F939" s="18"/>
      <c r="G939" s="18"/>
    </row>
    <row r="940" spans="1:7" ht="15.75" customHeight="1" x14ac:dyDescent="0.25">
      <c r="A940" s="5"/>
      <c r="B940" s="5"/>
      <c r="C940" s="18"/>
      <c r="D940" s="18"/>
      <c r="E940" s="18"/>
      <c r="F940" s="18"/>
      <c r="G940" s="18"/>
    </row>
    <row r="941" spans="1:7" ht="15.75" customHeight="1" x14ac:dyDescent="0.25">
      <c r="A941" s="5"/>
      <c r="B941" s="5"/>
      <c r="C941" s="18"/>
      <c r="D941" s="18"/>
      <c r="E941" s="18"/>
      <c r="F941" s="18"/>
      <c r="G941" s="18"/>
    </row>
    <row r="942" spans="1:7" ht="15.75" customHeight="1" x14ac:dyDescent="0.25">
      <c r="A942" s="5"/>
      <c r="B942" s="5"/>
      <c r="C942" s="18"/>
      <c r="D942" s="18"/>
      <c r="E942" s="18"/>
      <c r="F942" s="18"/>
      <c r="G942" s="18"/>
    </row>
    <row r="943" spans="1:7" ht="15.75" customHeight="1" x14ac:dyDescent="0.25">
      <c r="A943" s="5"/>
      <c r="B943" s="5"/>
      <c r="C943" s="18"/>
      <c r="D943" s="18"/>
      <c r="E943" s="18"/>
      <c r="F943" s="18"/>
      <c r="G943" s="18"/>
    </row>
    <row r="944" spans="1:7" ht="15.75" customHeight="1" x14ac:dyDescent="0.25">
      <c r="A944" s="5"/>
      <c r="B944" s="5"/>
      <c r="C944" s="18"/>
      <c r="D944" s="18"/>
      <c r="E944" s="18"/>
      <c r="F944" s="18"/>
      <c r="G944" s="18"/>
    </row>
    <row r="945" spans="1:7" ht="15.75" customHeight="1" x14ac:dyDescent="0.25">
      <c r="A945" s="5"/>
      <c r="B945" s="5"/>
      <c r="C945" s="18"/>
      <c r="D945" s="18"/>
      <c r="E945" s="18"/>
      <c r="F945" s="18"/>
      <c r="G945" s="18"/>
    </row>
    <row r="946" spans="1:7" ht="15.75" customHeight="1" x14ac:dyDescent="0.25">
      <c r="A946" s="5"/>
      <c r="B946" s="5"/>
      <c r="C946" s="18"/>
      <c r="D946" s="18"/>
      <c r="E946" s="18"/>
      <c r="F946" s="18"/>
      <c r="G946" s="18"/>
    </row>
    <row r="947" spans="1:7" ht="15.75" customHeight="1" x14ac:dyDescent="0.25">
      <c r="A947" s="5"/>
      <c r="B947" s="5"/>
      <c r="C947" s="18"/>
      <c r="D947" s="18"/>
      <c r="E947" s="18"/>
      <c r="F947" s="18"/>
      <c r="G947" s="18"/>
    </row>
    <row r="948" spans="1:7" ht="15.75" customHeight="1" x14ac:dyDescent="0.25">
      <c r="A948" s="5"/>
      <c r="B948" s="5"/>
      <c r="C948" s="18"/>
      <c r="D948" s="18"/>
      <c r="E948" s="18"/>
      <c r="F948" s="18"/>
      <c r="G948" s="18"/>
    </row>
    <row r="949" spans="1:7" ht="15.75" customHeight="1" x14ac:dyDescent="0.25">
      <c r="A949" s="5"/>
      <c r="B949" s="5"/>
      <c r="C949" s="18"/>
      <c r="D949" s="18"/>
      <c r="E949" s="18"/>
      <c r="F949" s="18"/>
      <c r="G949" s="18"/>
    </row>
    <row r="950" spans="1:7" ht="15.75" customHeight="1" x14ac:dyDescent="0.25">
      <c r="A950" s="5"/>
      <c r="B950" s="5"/>
      <c r="C950" s="18"/>
      <c r="D950" s="18"/>
      <c r="E950" s="18"/>
      <c r="F950" s="18"/>
      <c r="G950" s="18"/>
    </row>
    <row r="951" spans="1:7" ht="15.75" customHeight="1" x14ac:dyDescent="0.25">
      <c r="A951" s="5"/>
      <c r="B951" s="5"/>
      <c r="C951" s="18"/>
      <c r="D951" s="18"/>
      <c r="E951" s="18"/>
      <c r="F951" s="18"/>
      <c r="G951" s="18"/>
    </row>
    <row r="952" spans="1:7" ht="15.75" customHeight="1" x14ac:dyDescent="0.25">
      <c r="A952" s="5"/>
      <c r="B952" s="5"/>
      <c r="C952" s="18"/>
      <c r="D952" s="18"/>
      <c r="E952" s="18"/>
      <c r="F952" s="18"/>
      <c r="G952" s="18"/>
    </row>
    <row r="953" spans="1:7" ht="15.75" customHeight="1" x14ac:dyDescent="0.25">
      <c r="A953" s="5"/>
      <c r="B953" s="5"/>
      <c r="C953" s="18"/>
      <c r="D953" s="18"/>
      <c r="E953" s="18"/>
      <c r="F953" s="18"/>
      <c r="G953" s="18"/>
    </row>
    <row r="954" spans="1:7" ht="15.75" customHeight="1" x14ac:dyDescent="0.25">
      <c r="A954" s="5"/>
      <c r="B954" s="5"/>
      <c r="C954" s="18"/>
      <c r="D954" s="18"/>
      <c r="E954" s="18"/>
      <c r="F954" s="18"/>
      <c r="G954" s="18"/>
    </row>
    <row r="955" spans="1:7" ht="15.75" customHeight="1" x14ac:dyDescent="0.25">
      <c r="A955" s="5"/>
      <c r="B955" s="5"/>
      <c r="C955" s="18"/>
      <c r="D955" s="18"/>
      <c r="E955" s="18"/>
      <c r="F955" s="18"/>
      <c r="G955" s="18"/>
    </row>
    <row r="956" spans="1:7" ht="15.75" customHeight="1" x14ac:dyDescent="0.25">
      <c r="A956" s="5"/>
      <c r="B956" s="5"/>
      <c r="C956" s="18"/>
      <c r="D956" s="18"/>
      <c r="E956" s="18"/>
      <c r="F956" s="18"/>
      <c r="G956" s="18"/>
    </row>
    <row r="957" spans="1:7" ht="15.75" customHeight="1" x14ac:dyDescent="0.25">
      <c r="A957" s="5"/>
      <c r="B957" s="5"/>
      <c r="C957" s="18"/>
      <c r="D957" s="18"/>
      <c r="E957" s="18"/>
      <c r="F957" s="18"/>
      <c r="G957" s="18"/>
    </row>
    <row r="958" spans="1:7" ht="15.75" customHeight="1" x14ac:dyDescent="0.25">
      <c r="A958" s="5"/>
      <c r="B958" s="5"/>
      <c r="C958" s="18"/>
      <c r="D958" s="18"/>
      <c r="E958" s="18"/>
      <c r="F958" s="18"/>
      <c r="G958" s="18"/>
    </row>
    <row r="959" spans="1:7" ht="15.75" customHeight="1" x14ac:dyDescent="0.25">
      <c r="A959" s="5"/>
      <c r="B959" s="5"/>
      <c r="C959" s="18"/>
      <c r="D959" s="18"/>
      <c r="E959" s="18"/>
      <c r="F959" s="18"/>
      <c r="G959" s="18"/>
    </row>
    <row r="960" spans="1:7" ht="15.75" customHeight="1" x14ac:dyDescent="0.25">
      <c r="A960" s="5"/>
      <c r="B960" s="5"/>
      <c r="C960" s="18"/>
      <c r="D960" s="18"/>
      <c r="E960" s="18"/>
      <c r="F960" s="18"/>
      <c r="G960" s="18"/>
    </row>
    <row r="961" spans="1:7" ht="15.75" customHeight="1" x14ac:dyDescent="0.25">
      <c r="A961" s="5"/>
      <c r="B961" s="5"/>
      <c r="C961" s="18"/>
      <c r="D961" s="18"/>
      <c r="E961" s="18"/>
      <c r="F961" s="18"/>
      <c r="G961" s="18"/>
    </row>
    <row r="962" spans="1:7" ht="15.75" customHeight="1" x14ac:dyDescent="0.25">
      <c r="A962" s="5"/>
      <c r="B962" s="5"/>
      <c r="C962" s="18"/>
      <c r="D962" s="18"/>
      <c r="E962" s="18"/>
      <c r="F962" s="18"/>
      <c r="G962" s="18"/>
    </row>
    <row r="963" spans="1:7" ht="15.75" customHeight="1" x14ac:dyDescent="0.25">
      <c r="A963" s="5"/>
      <c r="B963" s="5"/>
      <c r="C963" s="18"/>
      <c r="D963" s="18"/>
      <c r="E963" s="18"/>
      <c r="F963" s="18"/>
      <c r="G963" s="18"/>
    </row>
    <row r="964" spans="1:7" ht="15.75" customHeight="1" x14ac:dyDescent="0.25">
      <c r="A964" s="5"/>
      <c r="B964" s="5"/>
      <c r="C964" s="18"/>
      <c r="D964" s="18"/>
      <c r="E964" s="18"/>
      <c r="F964" s="18"/>
      <c r="G964" s="18"/>
    </row>
    <row r="965" spans="1:7" ht="15.75" customHeight="1" x14ac:dyDescent="0.25">
      <c r="A965" s="5"/>
      <c r="B965" s="5"/>
      <c r="C965" s="18"/>
      <c r="D965" s="18"/>
      <c r="E965" s="18"/>
      <c r="F965" s="18"/>
      <c r="G965" s="18"/>
    </row>
    <row r="966" spans="1:7" ht="15.75" customHeight="1" x14ac:dyDescent="0.25">
      <c r="A966" s="5"/>
      <c r="B966" s="5"/>
      <c r="C966" s="18"/>
      <c r="D966" s="18"/>
      <c r="E966" s="18"/>
      <c r="F966" s="18"/>
      <c r="G966" s="18"/>
    </row>
    <row r="967" spans="1:7" ht="15.75" customHeight="1" x14ac:dyDescent="0.25">
      <c r="A967" s="5"/>
      <c r="B967" s="5"/>
      <c r="C967" s="18"/>
      <c r="D967" s="18"/>
      <c r="E967" s="18"/>
      <c r="F967" s="18"/>
      <c r="G967" s="18"/>
    </row>
    <row r="968" spans="1:7" ht="15.75" customHeight="1" x14ac:dyDescent="0.25">
      <c r="A968" s="5"/>
      <c r="B968" s="5"/>
      <c r="C968" s="18"/>
      <c r="D968" s="18"/>
      <c r="E968" s="18"/>
      <c r="F968" s="18"/>
      <c r="G968" s="18"/>
    </row>
    <row r="969" spans="1:7" ht="15.75" customHeight="1" x14ac:dyDescent="0.25">
      <c r="A969" s="5"/>
      <c r="B969" s="5"/>
      <c r="C969" s="18"/>
      <c r="D969" s="18"/>
      <c r="E969" s="18"/>
      <c r="F969" s="18"/>
      <c r="G969" s="18"/>
    </row>
    <row r="970" spans="1:7" ht="15.75" customHeight="1" x14ac:dyDescent="0.25">
      <c r="A970" s="5"/>
      <c r="B970" s="5"/>
      <c r="C970" s="18"/>
      <c r="D970" s="18"/>
      <c r="E970" s="18"/>
      <c r="F970" s="18"/>
      <c r="G970" s="18"/>
    </row>
    <row r="971" spans="1:7" ht="15.75" customHeight="1" x14ac:dyDescent="0.25">
      <c r="A971" s="5"/>
      <c r="B971" s="5"/>
      <c r="C971" s="18"/>
      <c r="D971" s="18"/>
      <c r="E971" s="18"/>
      <c r="F971" s="18"/>
      <c r="G971" s="18"/>
    </row>
    <row r="972" spans="1:7" ht="15.75" customHeight="1" x14ac:dyDescent="0.25">
      <c r="A972" s="5"/>
      <c r="B972" s="5"/>
      <c r="C972" s="18"/>
      <c r="D972" s="18"/>
      <c r="E972" s="18"/>
      <c r="F972" s="18"/>
      <c r="G972" s="18"/>
    </row>
    <row r="973" spans="1:7" ht="15.75" customHeight="1" x14ac:dyDescent="0.25">
      <c r="A973" s="5"/>
      <c r="B973" s="5"/>
      <c r="C973" s="18"/>
      <c r="D973" s="18"/>
      <c r="E973" s="18"/>
      <c r="F973" s="18"/>
      <c r="G973" s="18"/>
    </row>
    <row r="974" spans="1:7" ht="15.75" customHeight="1" x14ac:dyDescent="0.25">
      <c r="A974" s="5"/>
      <c r="B974" s="5"/>
      <c r="C974" s="18"/>
      <c r="D974" s="18"/>
      <c r="E974" s="18"/>
      <c r="F974" s="18"/>
      <c r="G974" s="18"/>
    </row>
    <row r="975" spans="1:7" ht="15.75" customHeight="1" x14ac:dyDescent="0.25">
      <c r="A975" s="5"/>
      <c r="B975" s="5"/>
      <c r="C975" s="18"/>
      <c r="D975" s="18"/>
      <c r="E975" s="18"/>
      <c r="F975" s="18"/>
      <c r="G975" s="18"/>
    </row>
    <row r="976" spans="1:7" ht="15.75" customHeight="1" x14ac:dyDescent="0.25">
      <c r="A976" s="5"/>
      <c r="B976" s="5"/>
      <c r="C976" s="18"/>
      <c r="D976" s="18"/>
      <c r="E976" s="18"/>
      <c r="F976" s="18"/>
      <c r="G976" s="18"/>
    </row>
    <row r="977" spans="1:7" ht="15.75" customHeight="1" x14ac:dyDescent="0.25">
      <c r="A977" s="5"/>
      <c r="B977" s="5"/>
      <c r="C977" s="18"/>
      <c r="D977" s="18"/>
      <c r="E977" s="18"/>
      <c r="F977" s="18"/>
      <c r="G977" s="18"/>
    </row>
    <row r="978" spans="1:7" ht="15.75" customHeight="1" x14ac:dyDescent="0.25">
      <c r="A978" s="5"/>
      <c r="B978" s="5"/>
      <c r="C978" s="18"/>
      <c r="D978" s="18"/>
      <c r="E978" s="18"/>
      <c r="F978" s="18"/>
      <c r="G978" s="18"/>
    </row>
    <row r="979" spans="1:7" ht="15.75" customHeight="1" x14ac:dyDescent="0.25">
      <c r="A979" s="5"/>
      <c r="B979" s="5"/>
      <c r="C979" s="18"/>
      <c r="D979" s="18"/>
      <c r="E979" s="18"/>
      <c r="F979" s="18"/>
      <c r="G979" s="18"/>
    </row>
    <row r="980" spans="1:7" ht="15.75" customHeight="1" x14ac:dyDescent="0.25">
      <c r="A980" s="5"/>
      <c r="B980" s="5"/>
      <c r="C980" s="18"/>
      <c r="D980" s="18"/>
      <c r="E980" s="18"/>
      <c r="F980" s="18"/>
      <c r="G980" s="18"/>
    </row>
    <row r="981" spans="1:7" ht="15.75" customHeight="1" x14ac:dyDescent="0.25">
      <c r="A981" s="5"/>
      <c r="B981" s="5"/>
      <c r="C981" s="18"/>
      <c r="D981" s="18"/>
      <c r="E981" s="18"/>
      <c r="F981" s="18"/>
      <c r="G981" s="18"/>
    </row>
    <row r="982" spans="1:7" ht="15.75" customHeight="1" x14ac:dyDescent="0.25">
      <c r="A982" s="5"/>
      <c r="B982" s="5"/>
      <c r="C982" s="18"/>
      <c r="D982" s="18"/>
      <c r="E982" s="18"/>
      <c r="F982" s="18"/>
      <c r="G982" s="18"/>
    </row>
    <row r="983" spans="1:7" ht="15.75" customHeight="1" x14ac:dyDescent="0.25">
      <c r="A983" s="5"/>
      <c r="B983" s="5"/>
      <c r="C983" s="18"/>
      <c r="D983" s="18"/>
      <c r="E983" s="18"/>
      <c r="F983" s="18"/>
      <c r="G983" s="18"/>
    </row>
    <row r="984" spans="1:7" ht="15.75" customHeight="1" x14ac:dyDescent="0.25">
      <c r="A984" s="5"/>
      <c r="B984" s="5"/>
      <c r="C984" s="18"/>
      <c r="D984" s="18"/>
      <c r="E984" s="18"/>
      <c r="F984" s="18"/>
      <c r="G984" s="18"/>
    </row>
    <row r="985" spans="1:7" ht="15.75" customHeight="1" x14ac:dyDescent="0.25">
      <c r="A985" s="5"/>
      <c r="B985" s="5"/>
      <c r="C985" s="18"/>
      <c r="D985" s="18"/>
      <c r="E985" s="18"/>
      <c r="F985" s="18"/>
      <c r="G985" s="18"/>
    </row>
    <row r="986" spans="1:7" ht="15.75" customHeight="1" x14ac:dyDescent="0.25">
      <c r="A986" s="5"/>
      <c r="B986" s="5"/>
      <c r="C986" s="18"/>
      <c r="D986" s="18"/>
      <c r="E986" s="18"/>
      <c r="F986" s="18"/>
      <c r="G986" s="18"/>
    </row>
    <row r="987" spans="1:7" ht="15.75" customHeight="1" x14ac:dyDescent="0.25">
      <c r="A987" s="5"/>
      <c r="B987" s="5"/>
      <c r="C987" s="18"/>
      <c r="D987" s="18"/>
      <c r="E987" s="18"/>
      <c r="F987" s="18"/>
      <c r="G987" s="18"/>
    </row>
    <row r="988" spans="1:7" ht="15.75" customHeight="1" x14ac:dyDescent="0.25">
      <c r="A988" s="5"/>
      <c r="B988" s="5"/>
      <c r="C988" s="18"/>
      <c r="D988" s="18"/>
      <c r="E988" s="18"/>
      <c r="F988" s="18"/>
      <c r="G988" s="18"/>
    </row>
    <row r="989" spans="1:7" ht="15.75" customHeight="1" x14ac:dyDescent="0.25">
      <c r="A989" s="5"/>
      <c r="B989" s="5"/>
      <c r="C989" s="18"/>
      <c r="D989" s="18"/>
      <c r="E989" s="18"/>
      <c r="F989" s="18"/>
      <c r="G989" s="18"/>
    </row>
    <row r="990" spans="1:7" ht="15.75" customHeight="1" x14ac:dyDescent="0.25">
      <c r="A990" s="5"/>
      <c r="B990" s="5"/>
      <c r="C990" s="18"/>
      <c r="D990" s="18"/>
      <c r="E990" s="18"/>
      <c r="F990" s="18"/>
      <c r="G990" s="18"/>
    </row>
    <row r="991" spans="1:7" ht="15.75" customHeight="1" x14ac:dyDescent="0.25">
      <c r="A991" s="5"/>
      <c r="B991" s="5"/>
      <c r="C991" s="18"/>
      <c r="D991" s="18"/>
      <c r="E991" s="18"/>
      <c r="F991" s="18"/>
      <c r="G991" s="18"/>
    </row>
    <row r="992" spans="1:7" ht="15.75" customHeight="1" x14ac:dyDescent="0.25">
      <c r="A992" s="5"/>
      <c r="B992" s="5"/>
      <c r="C992" s="18"/>
      <c r="D992" s="18"/>
      <c r="E992" s="18"/>
      <c r="F992" s="18"/>
      <c r="G992" s="18"/>
    </row>
    <row r="993" spans="1:7" ht="15.75" customHeight="1" x14ac:dyDescent="0.25">
      <c r="A993" s="5"/>
      <c r="B993" s="5"/>
      <c r="C993" s="18"/>
      <c r="D993" s="18"/>
      <c r="E993" s="18"/>
      <c r="F993" s="18"/>
      <c r="G993" s="18"/>
    </row>
    <row r="994" spans="1:7" ht="15.75" customHeight="1" x14ac:dyDescent="0.25">
      <c r="A994" s="5"/>
      <c r="B994" s="5"/>
      <c r="C994" s="18"/>
      <c r="D994" s="18"/>
      <c r="E994" s="18"/>
      <c r="F994" s="18"/>
      <c r="G994" s="18"/>
    </row>
    <row r="995" spans="1:7" ht="15.75" customHeight="1" x14ac:dyDescent="0.25">
      <c r="A995" s="5"/>
      <c r="B995" s="5"/>
      <c r="C995" s="18"/>
      <c r="D995" s="18"/>
      <c r="E995" s="18"/>
      <c r="F995" s="18"/>
      <c r="G995" s="18"/>
    </row>
    <row r="996" spans="1:7" ht="15.75" customHeight="1" x14ac:dyDescent="0.25">
      <c r="A996" s="5"/>
      <c r="B996" s="5"/>
      <c r="C996" s="18"/>
      <c r="D996" s="18"/>
      <c r="E996" s="18"/>
      <c r="F996" s="18"/>
      <c r="G996" s="18"/>
    </row>
    <row r="997" spans="1:7" ht="15.75" customHeight="1" x14ac:dyDescent="0.25">
      <c r="A997" s="5"/>
      <c r="B997" s="5"/>
      <c r="C997" s="18"/>
      <c r="D997" s="18"/>
      <c r="E997" s="18"/>
      <c r="F997" s="18"/>
      <c r="G997" s="18"/>
    </row>
    <row r="998" spans="1:7" ht="15.75" customHeight="1" x14ac:dyDescent="0.25">
      <c r="A998" s="5"/>
      <c r="B998" s="5"/>
      <c r="C998" s="18"/>
      <c r="D998" s="18"/>
      <c r="E998" s="18"/>
      <c r="F998" s="18"/>
      <c r="G998" s="18"/>
    </row>
    <row r="999" spans="1:7" ht="15.75" customHeight="1" x14ac:dyDescent="0.25">
      <c r="A999" s="5"/>
      <c r="B999" s="5"/>
      <c r="C999" s="18"/>
      <c r="D999" s="18"/>
      <c r="E999" s="18"/>
      <c r="F999" s="18"/>
      <c r="G999" s="18"/>
    </row>
    <row r="1000" spans="1:7" ht="15.75" customHeight="1" x14ac:dyDescent="0.25">
      <c r="A1000" s="5"/>
      <c r="B1000" s="5"/>
      <c r="C1000" s="18"/>
      <c r="D1000" s="18"/>
      <c r="E1000" s="18"/>
      <c r="F1000" s="18"/>
      <c r="G1000" s="18"/>
    </row>
    <row r="1001" spans="1:7" ht="15.75" customHeight="1" x14ac:dyDescent="0.25">
      <c r="A1001" s="5"/>
      <c r="B1001" s="5"/>
      <c r="C1001" s="18"/>
      <c r="D1001" s="18"/>
      <c r="E1001" s="18"/>
      <c r="F1001" s="18"/>
      <c r="G1001" s="18"/>
    </row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8206E"/>
  </sheetPr>
  <dimension ref="A1:O1001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S40" sqref="S40"/>
    </sheetView>
  </sheetViews>
  <sheetFormatPr defaultColWidth="12.5703125" defaultRowHeight="15" customHeight="1" x14ac:dyDescent="0.25"/>
  <cols>
    <col min="1" max="1" width="1.85546875" customWidth="1"/>
    <col min="2" max="2" width="31.85546875" bestFit="1" customWidth="1"/>
    <col min="3" max="3" width="13.5703125" customWidth="1"/>
    <col min="4" max="14" width="11.5703125" customWidth="1"/>
    <col min="15" max="15" width="12.5703125" customWidth="1"/>
    <col min="16" max="16" width="10.85546875" customWidth="1"/>
    <col min="17" max="18" width="10.5703125" customWidth="1"/>
  </cols>
  <sheetData>
    <row r="1" spans="1:15" ht="15.75" customHeight="1" x14ac:dyDescent="0.25">
      <c r="A1" s="6" t="str">
        <f>TableofContent!A1</f>
        <v>POWER FINANCIAL WELLNESS  INC</v>
      </c>
      <c r="B1" s="5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 t="str">
        <f>TableofContent!F1</f>
        <v>USD</v>
      </c>
    </row>
    <row r="2" spans="1:15" ht="15.75" customHeight="1" x14ac:dyDescent="0.25">
      <c r="A2" s="6" t="str">
        <f>TableofContent!A2</f>
        <v>CONSOLIDATED MANAGEMENT ACCOUNTS</v>
      </c>
      <c r="B2" s="5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5.75" customHeight="1" x14ac:dyDescent="0.25">
      <c r="A3" s="6" t="str">
        <f>TableofContent!A3</f>
        <v>TABLE OF CONTENT</v>
      </c>
      <c r="B3" s="5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15.75" customHeight="1" x14ac:dyDescent="0.25">
      <c r="A4" s="6" t="str">
        <f>TableofContent!A4</f>
        <v>FOR PERIOD ENDED JULY 31,  2025</v>
      </c>
      <c r="B4" s="5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ht="15.75" customHeight="1" x14ac:dyDescent="0.25">
      <c r="A5" s="6" t="str">
        <f>TableofContent!A5</f>
        <v>PREPARED BY: MOSES KIGO</v>
      </c>
      <c r="B5" s="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ht="15.75" customHeight="1" x14ac:dyDescent="0.25">
      <c r="A6" s="5"/>
      <c r="B6" s="5"/>
      <c r="C6" s="21"/>
      <c r="D6" s="74"/>
      <c r="E6" s="74"/>
      <c r="F6" s="74"/>
      <c r="G6" s="74"/>
      <c r="H6" s="74"/>
      <c r="I6" s="74"/>
      <c r="J6" s="18"/>
      <c r="K6" s="18"/>
      <c r="L6" s="18"/>
      <c r="M6" s="18"/>
      <c r="N6" s="18"/>
      <c r="O6" s="18"/>
    </row>
    <row r="7" spans="1:15" ht="15.75" customHeight="1" x14ac:dyDescent="0.25">
      <c r="A7" s="5"/>
      <c r="B7" s="5"/>
      <c r="C7" s="21"/>
      <c r="D7" s="21"/>
      <c r="E7" s="21"/>
      <c r="F7" s="21"/>
      <c r="G7" s="21"/>
      <c r="H7" s="21"/>
      <c r="I7" s="21"/>
      <c r="J7" s="18"/>
      <c r="K7" s="18"/>
      <c r="L7" s="18"/>
      <c r="M7" s="18"/>
      <c r="N7" s="18"/>
      <c r="O7" s="5"/>
    </row>
    <row r="8" spans="1:15" ht="15.75" customHeight="1" x14ac:dyDescent="0.25">
      <c r="A8" s="20" t="s">
        <v>122</v>
      </c>
      <c r="B8" s="19" t="s">
        <v>92</v>
      </c>
      <c r="C8" s="32">
        <v>45658</v>
      </c>
      <c r="D8" s="32">
        <f t="shared" ref="D8:N8" si="0">EOMONTH(C8,1)</f>
        <v>45716</v>
      </c>
      <c r="E8" s="32">
        <f t="shared" si="0"/>
        <v>45747</v>
      </c>
      <c r="F8" s="32">
        <f t="shared" si="0"/>
        <v>45777</v>
      </c>
      <c r="G8" s="32">
        <f t="shared" si="0"/>
        <v>45808</v>
      </c>
      <c r="H8" s="32">
        <f t="shared" si="0"/>
        <v>45838</v>
      </c>
      <c r="I8" s="32">
        <f t="shared" si="0"/>
        <v>45869</v>
      </c>
      <c r="J8" s="32">
        <f t="shared" si="0"/>
        <v>45900</v>
      </c>
      <c r="K8" s="32">
        <f t="shared" si="0"/>
        <v>45930</v>
      </c>
      <c r="L8" s="32">
        <f t="shared" si="0"/>
        <v>45961</v>
      </c>
      <c r="M8" s="32">
        <f t="shared" si="0"/>
        <v>45991</v>
      </c>
      <c r="N8" s="32">
        <f t="shared" si="0"/>
        <v>46022</v>
      </c>
      <c r="O8" s="32" t="s">
        <v>123</v>
      </c>
    </row>
    <row r="9" spans="1:15" ht="15.75" customHeight="1" x14ac:dyDescent="0.25">
      <c r="A9" s="20" t="s">
        <v>28</v>
      </c>
      <c r="B9" s="5" t="s">
        <v>28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75" customHeight="1" x14ac:dyDescent="0.25">
      <c r="A10" s="20" t="s">
        <v>124</v>
      </c>
      <c r="B10" s="5" t="s">
        <v>93</v>
      </c>
      <c r="C10" s="21">
        <f>IS_MOM!U4</f>
        <v>28635.54</v>
      </c>
      <c r="D10" s="21">
        <f>IS_MOM!V4</f>
        <v>29287.07</v>
      </c>
      <c r="E10" s="21">
        <f>IS_MOM!W4</f>
        <v>35674.46</v>
      </c>
      <c r="F10" s="21">
        <f>IS_MOM!X4</f>
        <v>40096.28</v>
      </c>
      <c r="G10" s="21">
        <f>IS_MOM!Y4</f>
        <v>42886.19</v>
      </c>
      <c r="H10" s="21">
        <f>IS_MOM!Z4</f>
        <v>40458.800000000003</v>
      </c>
      <c r="I10" s="21">
        <f>IS_MOM!AA4</f>
        <v>51807.68</v>
      </c>
      <c r="J10" s="21">
        <f>IS_MOM!AB4</f>
        <v>52010.58</v>
      </c>
      <c r="K10" s="21">
        <f>IS_MOM!AC4</f>
        <v>51919.6</v>
      </c>
      <c r="L10" s="21">
        <f>IS_MOM!AD4</f>
        <v>0</v>
      </c>
      <c r="M10" s="21">
        <f>IS_MOM!AE4</f>
        <v>0</v>
      </c>
      <c r="N10" s="21">
        <f>IS_MOM!AF4</f>
        <v>0</v>
      </c>
      <c r="O10" s="21">
        <f>SUM(C10:N10)</f>
        <v>372776.2</v>
      </c>
    </row>
    <row r="11" spans="1:15" ht="15.75" customHeight="1" x14ac:dyDescent="0.25">
      <c r="A11" s="20" t="s">
        <v>125</v>
      </c>
      <c r="B11" s="5" t="s">
        <v>94</v>
      </c>
      <c r="C11" s="21">
        <f>IS_MOM!U5</f>
        <v>4932.24</v>
      </c>
      <c r="D11" s="21">
        <f>IS_MOM!V5</f>
        <v>4938.9799999999996</v>
      </c>
      <c r="E11" s="21">
        <f>IS_MOM!W5</f>
        <v>6075.04</v>
      </c>
      <c r="F11" s="21">
        <f>IS_MOM!X5</f>
        <v>4891.5200000000004</v>
      </c>
      <c r="G11" s="21">
        <f>IS_MOM!Y5</f>
        <v>5987.87</v>
      </c>
      <c r="H11" s="21">
        <f>IS_MOM!Z5</f>
        <v>7263.71</v>
      </c>
      <c r="I11" s="21">
        <f>IS_MOM!AA5</f>
        <v>8820.3700000000008</v>
      </c>
      <c r="J11" s="21">
        <f>IS_MOM!AB5</f>
        <v>5472.76</v>
      </c>
      <c r="K11" s="21">
        <f>IS_MOM!AC5</f>
        <v>5064.87</v>
      </c>
      <c r="L11" s="21">
        <f>IS_MOM!AD5</f>
        <v>0</v>
      </c>
      <c r="M11" s="21">
        <f>IS_MOM!AE5</f>
        <v>0</v>
      </c>
      <c r="N11" s="21">
        <f>IS_MOM!AF5</f>
        <v>0</v>
      </c>
      <c r="O11" s="21">
        <f>SUM(C11:N11)</f>
        <v>53447.360000000008</v>
      </c>
    </row>
    <row r="12" spans="1:15" ht="15.75" customHeight="1" x14ac:dyDescent="0.25">
      <c r="A12" s="35" t="s">
        <v>126</v>
      </c>
      <c r="B12" s="12" t="s">
        <v>95</v>
      </c>
      <c r="C12" s="22">
        <f>IS_MOM!U6</f>
        <v>-23709.39</v>
      </c>
      <c r="D12" s="22">
        <f>IS_MOM!V6</f>
        <v>-22451.360000000001</v>
      </c>
      <c r="E12" s="22">
        <f>IS_MOM!W6</f>
        <v>-26057.9</v>
      </c>
      <c r="F12" s="22">
        <f>IS_MOM!X6</f>
        <v>-25911.72</v>
      </c>
      <c r="G12" s="22">
        <f>IS_MOM!Y6</f>
        <v>-28550.58</v>
      </c>
      <c r="H12" s="22">
        <f>IS_MOM!Z6</f>
        <v>-29903.51</v>
      </c>
      <c r="I12" s="22">
        <f>IS_MOM!AA6</f>
        <v>-32709.78</v>
      </c>
      <c r="J12" s="22">
        <f>IS_MOM!AB6</f>
        <v>-34007.49</v>
      </c>
      <c r="K12" s="22">
        <f>IS_MOM!AC6</f>
        <v>-34403.71</v>
      </c>
      <c r="L12" s="22">
        <f>IS_MOM!AD6</f>
        <v>0</v>
      </c>
      <c r="M12" s="22">
        <f>IS_MOM!AE6</f>
        <v>0</v>
      </c>
      <c r="N12" s="22">
        <f>IS_MOM!AF6</f>
        <v>0</v>
      </c>
      <c r="O12" s="22">
        <f>SUM(C12:N12)</f>
        <v>-257705.43999999997</v>
      </c>
    </row>
    <row r="13" spans="1:15" ht="15.75" customHeight="1" x14ac:dyDescent="0.25">
      <c r="A13" s="36" t="s">
        <v>51</v>
      </c>
      <c r="B13" s="6" t="s">
        <v>96</v>
      </c>
      <c r="C13" s="23">
        <f t="shared" ref="C13:O13" si="1">SUM(C10:C12)</f>
        <v>9858.39</v>
      </c>
      <c r="D13" s="23">
        <f t="shared" si="1"/>
        <v>11774.690000000002</v>
      </c>
      <c r="E13" s="23">
        <f t="shared" si="1"/>
        <v>15691.599999999999</v>
      </c>
      <c r="F13" s="23">
        <f t="shared" si="1"/>
        <v>19076.080000000002</v>
      </c>
      <c r="G13" s="23">
        <f t="shared" si="1"/>
        <v>20323.480000000003</v>
      </c>
      <c r="H13" s="23">
        <f t="shared" si="1"/>
        <v>17819.000000000004</v>
      </c>
      <c r="I13" s="23">
        <f t="shared" ref="I13:N13" si="2">SUM(I10:I12)</f>
        <v>27918.270000000004</v>
      </c>
      <c r="J13" s="23">
        <f t="shared" si="2"/>
        <v>23475.850000000006</v>
      </c>
      <c r="K13" s="23">
        <f t="shared" si="2"/>
        <v>22580.760000000002</v>
      </c>
      <c r="L13" s="23">
        <f t="shared" si="2"/>
        <v>0</v>
      </c>
      <c r="M13" s="23">
        <f t="shared" si="2"/>
        <v>0</v>
      </c>
      <c r="N13" s="23">
        <f t="shared" si="2"/>
        <v>0</v>
      </c>
      <c r="O13" s="23">
        <f t="shared" si="1"/>
        <v>168518.12000000002</v>
      </c>
    </row>
    <row r="14" spans="1:15" ht="15.75" customHeight="1" x14ac:dyDescent="0.25">
      <c r="A14" s="20" t="s">
        <v>28</v>
      </c>
      <c r="B14" s="5" t="s">
        <v>28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15.75" customHeight="1" x14ac:dyDescent="0.25">
      <c r="A15" s="20" t="s">
        <v>127</v>
      </c>
      <c r="B15" s="5" t="s">
        <v>97</v>
      </c>
      <c r="C15" s="21">
        <f>IS_MOM!U9</f>
        <v>32362.17</v>
      </c>
      <c r="D15" s="21">
        <f>IS_MOM!V9</f>
        <v>29717.119999999999</v>
      </c>
      <c r="E15" s="21">
        <f>IS_MOM!W9</f>
        <v>29960.97</v>
      </c>
      <c r="F15" s="21">
        <f>IS_MOM!X9</f>
        <v>33589.21</v>
      </c>
      <c r="G15" s="21">
        <f>IS_MOM!Y9</f>
        <v>36108.68</v>
      </c>
      <c r="H15" s="21">
        <f>IS_MOM!Z9</f>
        <v>31395.87</v>
      </c>
      <c r="I15" s="21">
        <f>IS_MOM!AA9</f>
        <v>36615.18</v>
      </c>
      <c r="J15" s="21">
        <f>IS_MOM!AB9</f>
        <v>42400.68</v>
      </c>
      <c r="K15" s="21">
        <f>IS_MOM!AC9</f>
        <v>46153.74</v>
      </c>
      <c r="L15" s="21">
        <f>IS_MOM!AD9</f>
        <v>0</v>
      </c>
      <c r="M15" s="21">
        <f>IS_MOM!AE9</f>
        <v>0</v>
      </c>
      <c r="N15" s="21">
        <f>IS_MOM!AF9</f>
        <v>0</v>
      </c>
      <c r="O15" s="21">
        <f>SUM(C15:N15)</f>
        <v>318303.62</v>
      </c>
    </row>
    <row r="16" spans="1:15" ht="15.75" customHeight="1" x14ac:dyDescent="0.25">
      <c r="A16" s="20" t="s">
        <v>128</v>
      </c>
      <c r="B16" s="5" t="s">
        <v>98</v>
      </c>
      <c r="C16" s="21">
        <f>IS_MOM!U10</f>
        <v>658.37</v>
      </c>
      <c r="D16" s="21">
        <f>IS_MOM!V10</f>
        <v>602.98</v>
      </c>
      <c r="E16" s="21">
        <f>IS_MOM!W10</f>
        <v>536.38</v>
      </c>
      <c r="F16" s="21">
        <f>IS_MOM!X10</f>
        <v>852.05</v>
      </c>
      <c r="G16" s="21">
        <f>IS_MOM!Y10</f>
        <v>804.28</v>
      </c>
      <c r="H16" s="21">
        <f>IS_MOM!Z10</f>
        <v>593.73</v>
      </c>
      <c r="I16" s="21">
        <f>IS_MOM!AA10</f>
        <v>910.39</v>
      </c>
      <c r="J16" s="21">
        <f>IS_MOM!AB10</f>
        <v>926.12</v>
      </c>
      <c r="K16" s="21">
        <f>IS_MOM!AC10</f>
        <v>860.46</v>
      </c>
      <c r="L16" s="21">
        <f>IS_MOM!AD10</f>
        <v>0</v>
      </c>
      <c r="M16" s="21">
        <f>IS_MOM!AE10</f>
        <v>0</v>
      </c>
      <c r="N16" s="21">
        <f>IS_MOM!AF10</f>
        <v>0</v>
      </c>
      <c r="O16" s="21">
        <f>SUM(C16:N16)</f>
        <v>6744.7599999999993</v>
      </c>
    </row>
    <row r="17" spans="1:15" ht="15.75" customHeight="1" x14ac:dyDescent="0.25">
      <c r="A17" s="35" t="s">
        <v>129</v>
      </c>
      <c r="B17" s="12" t="s">
        <v>99</v>
      </c>
      <c r="C17" s="22">
        <f>IS_MOM!U11</f>
        <v>6507.52</v>
      </c>
      <c r="D17" s="22">
        <f>IS_MOM!V11</f>
        <v>6253.8</v>
      </c>
      <c r="E17" s="22">
        <v>7226.37</v>
      </c>
      <c r="F17" s="22">
        <v>6379.02</v>
      </c>
      <c r="G17" s="22">
        <f>6253.8-2166.94</f>
        <v>4086.86</v>
      </c>
      <c r="H17" s="22">
        <f>6253.8-107.27</f>
        <v>6146.53</v>
      </c>
      <c r="I17" s="22">
        <f>IS_MOM!AA11--'IS_BU(MoM)'!W28</f>
        <v>7104.26</v>
      </c>
      <c r="J17" s="22">
        <f>IS_MOM!AB11</f>
        <v>253.8</v>
      </c>
      <c r="K17" s="22">
        <f>IS_MOM!AC11</f>
        <v>2520.14</v>
      </c>
      <c r="L17" s="22">
        <f>IS_MOM!AD11</f>
        <v>0</v>
      </c>
      <c r="M17" s="22">
        <f>IS_MOM!AE11</f>
        <v>0</v>
      </c>
      <c r="N17" s="22">
        <f>IS_MOM!AF11</f>
        <v>0</v>
      </c>
      <c r="O17" s="22">
        <f>SUM(C17:N17)</f>
        <v>46478.3</v>
      </c>
    </row>
    <row r="18" spans="1:15" ht="15.75" customHeight="1" x14ac:dyDescent="0.25">
      <c r="A18" s="36" t="s">
        <v>88</v>
      </c>
      <c r="B18" s="6" t="s">
        <v>100</v>
      </c>
      <c r="C18" s="23">
        <f t="shared" ref="C18:O18" si="3">SUM(C15:C17)</f>
        <v>39528.06</v>
      </c>
      <c r="D18" s="23">
        <f t="shared" si="3"/>
        <v>36573.9</v>
      </c>
      <c r="E18" s="23">
        <f t="shared" si="3"/>
        <v>37723.72</v>
      </c>
      <c r="F18" s="23">
        <f t="shared" si="3"/>
        <v>40820.28</v>
      </c>
      <c r="G18" s="23">
        <f t="shared" si="3"/>
        <v>40999.82</v>
      </c>
      <c r="H18" s="23">
        <f t="shared" si="3"/>
        <v>38136.129999999997</v>
      </c>
      <c r="I18" s="23">
        <f t="shared" ref="I18:N18" si="4">SUM(I15:I17)</f>
        <v>44629.83</v>
      </c>
      <c r="J18" s="23">
        <f t="shared" si="4"/>
        <v>43580.600000000006</v>
      </c>
      <c r="K18" s="23">
        <f t="shared" si="4"/>
        <v>49534.34</v>
      </c>
      <c r="L18" s="23">
        <f t="shared" si="4"/>
        <v>0</v>
      </c>
      <c r="M18" s="23">
        <f t="shared" si="4"/>
        <v>0</v>
      </c>
      <c r="N18" s="23">
        <f t="shared" si="4"/>
        <v>0</v>
      </c>
      <c r="O18" s="23">
        <f t="shared" si="3"/>
        <v>371526.68</v>
      </c>
    </row>
    <row r="19" spans="1:15" ht="15.75" customHeight="1" x14ac:dyDescent="0.25">
      <c r="A19" s="20" t="s">
        <v>28</v>
      </c>
      <c r="B19" s="5" t="s">
        <v>28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.75" customHeight="1" x14ac:dyDescent="0.25">
      <c r="A20" s="36" t="s">
        <v>130</v>
      </c>
      <c r="B20" s="6" t="s">
        <v>101</v>
      </c>
      <c r="C20" s="23">
        <f>C13+C18</f>
        <v>49386.45</v>
      </c>
      <c r="D20" s="23">
        <f t="shared" ref="D20:O20" si="5">D13+D18</f>
        <v>48348.590000000004</v>
      </c>
      <c r="E20" s="23">
        <f t="shared" si="5"/>
        <v>53415.32</v>
      </c>
      <c r="F20" s="23">
        <f t="shared" si="5"/>
        <v>59896.36</v>
      </c>
      <c r="G20" s="23">
        <f t="shared" si="5"/>
        <v>61323.3</v>
      </c>
      <c r="H20" s="23">
        <f t="shared" si="5"/>
        <v>55955.130000000005</v>
      </c>
      <c r="I20" s="23">
        <f t="shared" ref="I20:N20" si="6">I13+I18</f>
        <v>72548.100000000006</v>
      </c>
      <c r="J20" s="23">
        <f t="shared" si="6"/>
        <v>67056.450000000012</v>
      </c>
      <c r="K20" s="23">
        <f t="shared" si="6"/>
        <v>72115.100000000006</v>
      </c>
      <c r="L20" s="23">
        <f t="shared" si="6"/>
        <v>0</v>
      </c>
      <c r="M20" s="23">
        <f t="shared" si="6"/>
        <v>0</v>
      </c>
      <c r="N20" s="23">
        <f t="shared" si="6"/>
        <v>0</v>
      </c>
      <c r="O20" s="23">
        <f t="shared" si="5"/>
        <v>540044.80000000005</v>
      </c>
    </row>
    <row r="21" spans="1:15" ht="15.75" customHeight="1" x14ac:dyDescent="0.25">
      <c r="A21" s="20"/>
      <c r="B21" s="5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1:15" ht="15.75" customHeight="1" x14ac:dyDescent="0.25">
      <c r="A22" s="20" t="s">
        <v>131</v>
      </c>
      <c r="B22" s="5" t="s">
        <v>102</v>
      </c>
      <c r="C22" s="21">
        <f>-IS_MOM!U16</f>
        <v>-5295.01</v>
      </c>
      <c r="D22" s="21">
        <f>-IS_MOM!V16</f>
        <v>-4392.29</v>
      </c>
      <c r="E22" s="21">
        <f>-IS_MOM!W16</f>
        <v>-7940.39</v>
      </c>
      <c r="F22" s="21">
        <f>-IS_MOM!X16</f>
        <v>-6951.63</v>
      </c>
      <c r="G22" s="21">
        <f>-IS_MOM!Y16</f>
        <v>-8438.4</v>
      </c>
      <c r="H22" s="21">
        <f>-IS_MOM!Z16</f>
        <v>-3630.85</v>
      </c>
      <c r="I22" s="21">
        <f>-IS_MOM!AA16</f>
        <v>-8102.46</v>
      </c>
      <c r="J22" s="21">
        <f>-IS_MOM!AB16</f>
        <v>-13977.54</v>
      </c>
      <c r="K22" s="21">
        <f>-IS_MOM!AC16</f>
        <v>-10471.74</v>
      </c>
      <c r="L22" s="21">
        <f>-IS_MOM!AD16</f>
        <v>0</v>
      </c>
      <c r="M22" s="21">
        <f>-IS_MOM!AE16</f>
        <v>0</v>
      </c>
      <c r="N22" s="21">
        <f>-IS_MOM!AF16</f>
        <v>0</v>
      </c>
      <c r="O22" s="21">
        <f>SUM(C22:N22)</f>
        <v>-69200.31</v>
      </c>
    </row>
    <row r="23" spans="1:15" ht="15.75" customHeight="1" x14ac:dyDescent="0.25">
      <c r="A23" s="51" t="s">
        <v>132</v>
      </c>
      <c r="B23" s="52" t="s">
        <v>103</v>
      </c>
      <c r="C23" s="53">
        <f>-IS_MOM!U17</f>
        <v>-1170.82</v>
      </c>
      <c r="D23" s="53">
        <f>-IS_MOM!V17</f>
        <v>-916.42</v>
      </c>
      <c r="E23" s="53">
        <f>-IS_MOM!W17</f>
        <v>-1195.33</v>
      </c>
      <c r="F23" s="53">
        <f>-IS_MOM!X17</f>
        <v>-1195.51</v>
      </c>
      <c r="G23" s="53">
        <f>-IS_MOM!Y17</f>
        <v>-980.05</v>
      </c>
      <c r="H23" s="53">
        <f>-IS_MOM!Z17</f>
        <v>-1332.38</v>
      </c>
      <c r="I23" s="53">
        <f>-IS_MOM!AA17</f>
        <v>-1125.94</v>
      </c>
      <c r="J23" s="53">
        <f>-IS_MOM!AB17</f>
        <v>-1511.98</v>
      </c>
      <c r="K23" s="53">
        <f>-IS_MOM!AC17</f>
        <v>-1361.82</v>
      </c>
      <c r="L23" s="53">
        <f>-IS_MOM!AD17</f>
        <v>0</v>
      </c>
      <c r="M23" s="53">
        <f>-IS_MOM!AE17</f>
        <v>0</v>
      </c>
      <c r="N23" s="53">
        <f>-IS_MOM!AF17</f>
        <v>0</v>
      </c>
      <c r="O23" s="53">
        <f>SUM(C23:N23)</f>
        <v>-10790.25</v>
      </c>
    </row>
    <row r="24" spans="1:15" ht="15.75" customHeight="1" x14ac:dyDescent="0.25">
      <c r="A24" s="36" t="s">
        <v>133</v>
      </c>
      <c r="B24" s="6" t="s">
        <v>104</v>
      </c>
      <c r="C24" s="23">
        <f t="shared" ref="C24:O24" si="7">SUM(C22:C23)</f>
        <v>-6465.83</v>
      </c>
      <c r="D24" s="23">
        <f t="shared" si="7"/>
        <v>-5308.71</v>
      </c>
      <c r="E24" s="23">
        <f t="shared" si="7"/>
        <v>-9135.7200000000012</v>
      </c>
      <c r="F24" s="23">
        <f t="shared" si="7"/>
        <v>-8147.14</v>
      </c>
      <c r="G24" s="23">
        <f t="shared" si="7"/>
        <v>-9418.4499999999989</v>
      </c>
      <c r="H24" s="23">
        <f t="shared" si="7"/>
        <v>-4963.2299999999996</v>
      </c>
      <c r="I24" s="23">
        <f t="shared" ref="I24:N24" si="8">SUM(I22:I23)</f>
        <v>-9228.4</v>
      </c>
      <c r="J24" s="23">
        <f t="shared" si="8"/>
        <v>-15489.52</v>
      </c>
      <c r="K24" s="23">
        <f t="shared" si="8"/>
        <v>-11833.56</v>
      </c>
      <c r="L24" s="23">
        <f t="shared" si="8"/>
        <v>0</v>
      </c>
      <c r="M24" s="23">
        <f t="shared" si="8"/>
        <v>0</v>
      </c>
      <c r="N24" s="23">
        <f t="shared" si="8"/>
        <v>0</v>
      </c>
      <c r="O24" s="23">
        <f t="shared" si="7"/>
        <v>-79990.559999999998</v>
      </c>
    </row>
    <row r="25" spans="1:15" ht="15.75" customHeight="1" x14ac:dyDescent="0.25">
      <c r="A25" s="20"/>
      <c r="B25" s="5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5.75" customHeight="1" x14ac:dyDescent="0.25">
      <c r="A26" s="36" t="s">
        <v>134</v>
      </c>
      <c r="B26" s="6" t="s">
        <v>105</v>
      </c>
      <c r="C26" s="23">
        <f>C20+C24</f>
        <v>42920.619999999995</v>
      </c>
      <c r="D26" s="23">
        <f t="shared" ref="D26:H26" si="9">D20+D24</f>
        <v>43039.880000000005</v>
      </c>
      <c r="E26" s="23">
        <f t="shared" si="9"/>
        <v>44279.6</v>
      </c>
      <c r="F26" s="23">
        <f t="shared" si="9"/>
        <v>51749.22</v>
      </c>
      <c r="G26" s="23">
        <f t="shared" si="9"/>
        <v>51904.850000000006</v>
      </c>
      <c r="H26" s="23">
        <f t="shared" si="9"/>
        <v>50991.900000000009</v>
      </c>
      <c r="I26" s="23">
        <f t="shared" ref="I26:N26" si="10">I20+I24</f>
        <v>63319.700000000004</v>
      </c>
      <c r="J26" s="23">
        <f t="shared" si="10"/>
        <v>51566.930000000008</v>
      </c>
      <c r="K26" s="23">
        <f t="shared" si="10"/>
        <v>60281.540000000008</v>
      </c>
      <c r="L26" s="23">
        <f t="shared" si="10"/>
        <v>0</v>
      </c>
      <c r="M26" s="23">
        <f t="shared" si="10"/>
        <v>0</v>
      </c>
      <c r="N26" s="23">
        <f t="shared" si="10"/>
        <v>0</v>
      </c>
      <c r="O26" s="23">
        <f>O20+O24</f>
        <v>460054.24000000005</v>
      </c>
    </row>
    <row r="27" spans="1:15" ht="15.75" customHeight="1" x14ac:dyDescent="0.25">
      <c r="A27" s="20"/>
      <c r="B27" s="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5.75" customHeight="1" x14ac:dyDescent="0.25">
      <c r="A28" s="20" t="s">
        <v>135</v>
      </c>
      <c r="B28" s="5" t="s">
        <v>106</v>
      </c>
      <c r="C28" s="21">
        <f>-IS_MOM!U22</f>
        <v>-14608.31</v>
      </c>
      <c r="D28" s="21">
        <f>-IS_MOM!V22</f>
        <v>-15595.01</v>
      </c>
      <c r="E28" s="21">
        <f>-IS_MOM!W22</f>
        <v>-17414.68</v>
      </c>
      <c r="F28" s="21">
        <f>-IS_MOM!X22</f>
        <v>-24046.41</v>
      </c>
      <c r="G28" s="21">
        <f>-IS_MOM!Y22</f>
        <v>-24127.03</v>
      </c>
      <c r="H28" s="21">
        <f>-IS_MOM!Z22</f>
        <v>-18558.32</v>
      </c>
      <c r="I28" s="21">
        <f>-IS_MOM!AA22</f>
        <v>-17408.22</v>
      </c>
      <c r="J28" s="21">
        <f>-IS_MOM!AB22</f>
        <v>-16756.509999999998</v>
      </c>
      <c r="K28" s="21">
        <f>-IS_MOM!AC22</f>
        <v>-17478.59</v>
      </c>
      <c r="L28" s="21">
        <f>-IS_MOM!AD22</f>
        <v>0</v>
      </c>
      <c r="M28" s="21">
        <f>-IS_MOM!AE22</f>
        <v>0</v>
      </c>
      <c r="N28" s="21">
        <f>-IS_MOM!AF22</f>
        <v>0</v>
      </c>
      <c r="O28" s="21">
        <f>SUM(C28:N28)</f>
        <v>-165993.08000000002</v>
      </c>
    </row>
    <row r="29" spans="1:15" ht="15.75" customHeight="1" x14ac:dyDescent="0.25">
      <c r="A29" s="20" t="s">
        <v>136</v>
      </c>
      <c r="B29" s="5" t="s">
        <v>107</v>
      </c>
      <c r="C29" s="21">
        <f>-IS_MOM!U23+IS_MOM!U24</f>
        <v>-80728.27</v>
      </c>
      <c r="D29" s="21">
        <f>-IS_MOM!V23+IS_MOM!V24</f>
        <v>-82070.28</v>
      </c>
      <c r="E29" s="21">
        <f>-IS_MOM!W23</f>
        <v>-87423.47</v>
      </c>
      <c r="F29" s="21">
        <f>-IS_MOM!X23</f>
        <v>-94509.03</v>
      </c>
      <c r="G29" s="21">
        <f>-IS_MOM!Y23</f>
        <v>-94474.2</v>
      </c>
      <c r="H29" s="21">
        <f>-IS_MOM!Z23</f>
        <v>-97817.55</v>
      </c>
      <c r="I29" s="21">
        <f>-IS_MOM!AA23+IS_MOM!AA24-'IS_BU(MoM)'!W34</f>
        <v>-99078.58</v>
      </c>
      <c r="J29" s="21">
        <f>-IS_MOM!AB23+IS_MOM!AB24</f>
        <v>-104794.6</v>
      </c>
      <c r="K29" s="21">
        <f>-IS_MOM!AC23+IS_MOM!AC24</f>
        <v>-110775.62</v>
      </c>
      <c r="L29" s="21">
        <f>-IS_MOM!AD23+IS_MOM!AD24</f>
        <v>0</v>
      </c>
      <c r="M29" s="21">
        <f>-IS_MOM!AE23+IS_MOM!AE24</f>
        <v>0</v>
      </c>
      <c r="N29" s="21">
        <f>-IS_MOM!AF23+IS_MOM!AF24</f>
        <v>0</v>
      </c>
      <c r="O29" s="21">
        <f>SUM(C29:N29)</f>
        <v>-851671.6</v>
      </c>
    </row>
    <row r="30" spans="1:15" ht="15.75" customHeight="1" thickBot="1" x14ac:dyDescent="0.3">
      <c r="A30" s="40"/>
      <c r="B30" s="11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>
        <f>SUM(C30:N30)</f>
        <v>0</v>
      </c>
    </row>
    <row r="31" spans="1:15" ht="15.75" customHeight="1" x14ac:dyDescent="0.25">
      <c r="A31" s="36" t="s">
        <v>137</v>
      </c>
      <c r="B31" s="56" t="s">
        <v>262</v>
      </c>
      <c r="C31" s="113">
        <f>C26+C28+C29</f>
        <v>-52415.960000000006</v>
      </c>
      <c r="D31" s="113">
        <f t="shared" ref="D31:H31" si="11">D26+D28+D29</f>
        <v>-54625.409999999996</v>
      </c>
      <c r="E31" s="113">
        <f t="shared" si="11"/>
        <v>-60558.55</v>
      </c>
      <c r="F31" s="113">
        <f t="shared" si="11"/>
        <v>-66806.22</v>
      </c>
      <c r="G31" s="113">
        <f t="shared" si="11"/>
        <v>-66696.37999999999</v>
      </c>
      <c r="H31" s="113">
        <f t="shared" si="11"/>
        <v>-65383.969999999994</v>
      </c>
      <c r="I31" s="113">
        <f t="shared" ref="I31:N31" si="12">I26+I28+I29</f>
        <v>-53167.1</v>
      </c>
      <c r="J31" s="113">
        <f t="shared" si="12"/>
        <v>-69984.179999999993</v>
      </c>
      <c r="K31" s="113">
        <f t="shared" si="12"/>
        <v>-67972.669999999984</v>
      </c>
      <c r="L31" s="113">
        <f t="shared" si="12"/>
        <v>0</v>
      </c>
      <c r="M31" s="113">
        <f t="shared" si="12"/>
        <v>0</v>
      </c>
      <c r="N31" s="113">
        <f t="shared" si="12"/>
        <v>0</v>
      </c>
      <c r="O31" s="113">
        <f>O26+O28+O29</f>
        <v>-557610.43999999994</v>
      </c>
    </row>
    <row r="32" spans="1:15" ht="15.75" customHeight="1" x14ac:dyDescent="0.25">
      <c r="A32" s="36"/>
      <c r="B32" s="56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15.75" customHeight="1" x14ac:dyDescent="0.25">
      <c r="A33" s="79"/>
      <c r="B33" s="58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53"/>
    </row>
    <row r="34" spans="1:15" ht="15.75" customHeight="1" x14ac:dyDescent="0.25">
      <c r="A34" s="36"/>
      <c r="B34" s="56" t="s">
        <v>108</v>
      </c>
      <c r="C34" s="23">
        <f>C31-C33</f>
        <v>-52415.960000000006</v>
      </c>
      <c r="D34" s="23">
        <f t="shared" ref="D34:H34" si="13">D31-D33</f>
        <v>-54625.409999999996</v>
      </c>
      <c r="E34" s="23">
        <f t="shared" si="13"/>
        <v>-60558.55</v>
      </c>
      <c r="F34" s="23">
        <f t="shared" si="13"/>
        <v>-66806.22</v>
      </c>
      <c r="G34" s="23">
        <f t="shared" si="13"/>
        <v>-66696.37999999999</v>
      </c>
      <c r="H34" s="23">
        <f t="shared" si="13"/>
        <v>-65383.969999999994</v>
      </c>
      <c r="I34" s="23">
        <f t="shared" ref="I34:N34" si="14">I31-I33</f>
        <v>-53167.1</v>
      </c>
      <c r="J34" s="23">
        <f t="shared" si="14"/>
        <v>-69984.179999999993</v>
      </c>
      <c r="K34" s="23">
        <f t="shared" si="14"/>
        <v>-67972.669999999984</v>
      </c>
      <c r="L34" s="23">
        <f t="shared" si="14"/>
        <v>0</v>
      </c>
      <c r="M34" s="23">
        <f t="shared" si="14"/>
        <v>0</v>
      </c>
      <c r="N34" s="23">
        <f t="shared" si="14"/>
        <v>0</v>
      </c>
      <c r="O34" s="21">
        <f>SUM(C34:N34)</f>
        <v>-557610.43999999994</v>
      </c>
    </row>
    <row r="35" spans="1:15" ht="15.75" customHeight="1" x14ac:dyDescent="0.25">
      <c r="A35" s="20" t="s">
        <v>28</v>
      </c>
      <c r="B35" s="5" t="s">
        <v>28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 ht="15.75" customHeight="1" x14ac:dyDescent="0.25">
      <c r="A36" s="20" t="s">
        <v>138</v>
      </c>
      <c r="B36" s="5" t="s">
        <v>109</v>
      </c>
      <c r="C36" s="21">
        <f>-IS_MOM!U30</f>
        <v>-999.54</v>
      </c>
      <c r="D36" s="21">
        <f>-IS_MOM!V30</f>
        <v>-1087.48</v>
      </c>
      <c r="E36" s="21">
        <f>-IS_MOM!W30</f>
        <v>-1089.79</v>
      </c>
      <c r="F36" s="21">
        <f>-IS_MOM!X30</f>
        <v>-1097.5899999999999</v>
      </c>
      <c r="G36" s="21">
        <f>-IS_MOM!Y30</f>
        <v>-1089.21</v>
      </c>
      <c r="H36" s="21">
        <f>-IS_MOM!Z30</f>
        <v>-1162.79</v>
      </c>
      <c r="I36" s="21">
        <f>-IS_MOM!AA30</f>
        <v>-1152.18</v>
      </c>
      <c r="J36" s="21">
        <f>-IS_MOM!AB30</f>
        <v>-1152.74</v>
      </c>
      <c r="K36" s="21">
        <f>-IS_MOM!AC30</f>
        <v>-1204.1600000000001</v>
      </c>
      <c r="L36" s="21">
        <f>-IS_MOM!AD30</f>
        <v>0</v>
      </c>
      <c r="M36" s="21">
        <f>-IS_MOM!AE30</f>
        <v>0</v>
      </c>
      <c r="N36" s="21">
        <f>-IS_MOM!AF30</f>
        <v>0</v>
      </c>
      <c r="O36" s="21">
        <f>SUM(C36:N36)</f>
        <v>-10035.48</v>
      </c>
    </row>
    <row r="37" spans="1:15" ht="15.75" customHeight="1" x14ac:dyDescent="0.25">
      <c r="A37" s="20" t="s">
        <v>139</v>
      </c>
      <c r="B37" s="5" t="s">
        <v>110</v>
      </c>
      <c r="C37" s="21">
        <f>-IS_MOM!U31</f>
        <v>-20157.939999999999</v>
      </c>
      <c r="D37" s="21">
        <f>-IS_MOM!V31</f>
        <v>-20177.41</v>
      </c>
      <c r="E37" s="21">
        <f>-IS_MOM!W31</f>
        <v>-20167.669999999998</v>
      </c>
      <c r="F37" s="21">
        <f>-IS_MOM!X31</f>
        <v>-20167.669999999998</v>
      </c>
      <c r="G37" s="21">
        <f>-IS_MOM!Y31</f>
        <v>-20167.669999999998</v>
      </c>
      <c r="H37" s="21">
        <f>-IS_MOM!Z31</f>
        <v>-20167.669999999998</v>
      </c>
      <c r="I37" s="21">
        <f>-IS_MOM!AA31</f>
        <v>-20165.650000000001</v>
      </c>
      <c r="J37" s="21">
        <f>-IS_MOM!AB31</f>
        <v>-7741.34</v>
      </c>
      <c r="K37" s="21">
        <f>-IS_MOM!AC31</f>
        <v>-287.7</v>
      </c>
      <c r="L37" s="21">
        <f>-IS_MOM!AD31</f>
        <v>0</v>
      </c>
      <c r="M37" s="21">
        <f>-IS_MOM!AE31</f>
        <v>0</v>
      </c>
      <c r="N37" s="21">
        <f>-IS_MOM!AF31</f>
        <v>0</v>
      </c>
      <c r="O37" s="21">
        <f>SUM(C37:N37)</f>
        <v>-149200.72</v>
      </c>
    </row>
    <row r="38" spans="1:15" ht="15.75" customHeight="1" x14ac:dyDescent="0.25">
      <c r="A38" s="20" t="s">
        <v>140</v>
      </c>
      <c r="B38" s="5" t="s">
        <v>111</v>
      </c>
      <c r="C38" s="21">
        <f>-IS_MOM!U32</f>
        <v>-8866.64</v>
      </c>
      <c r="D38" s="21">
        <f>-IS_MOM!V32</f>
        <v>-9616.99</v>
      </c>
      <c r="E38" s="21">
        <f>-IS_MOM!W32</f>
        <v>-9476.5</v>
      </c>
      <c r="F38" s="21">
        <f>-IS_MOM!X32</f>
        <v>-7694.2</v>
      </c>
      <c r="G38" s="21">
        <f>-IS_MOM!Y32</f>
        <v>-7310.57</v>
      </c>
      <c r="H38" s="21">
        <f>-IS_MOM!Z32</f>
        <v>-7172.2</v>
      </c>
      <c r="I38" s="21">
        <f>-IS_MOM!AA32</f>
        <v>-5862.85</v>
      </c>
      <c r="J38" s="21">
        <f>-IS_MOM!AB32</f>
        <v>-5459.98</v>
      </c>
      <c r="K38" s="21">
        <f>-IS_MOM!AC32</f>
        <v>-5483.75</v>
      </c>
      <c r="L38" s="21">
        <f>-IS_MOM!AD32</f>
        <v>0</v>
      </c>
      <c r="M38" s="21">
        <f>-IS_MOM!AE32</f>
        <v>0</v>
      </c>
      <c r="N38" s="21">
        <f>-IS_MOM!AF32</f>
        <v>0</v>
      </c>
      <c r="O38" s="21">
        <f>SUM(C38:N38)</f>
        <v>-66943.679999999993</v>
      </c>
    </row>
    <row r="39" spans="1:15" ht="15.75" customHeight="1" x14ac:dyDescent="0.25">
      <c r="A39" s="20" t="s">
        <v>141</v>
      </c>
      <c r="B39" s="5" t="s">
        <v>143</v>
      </c>
      <c r="C39" s="21">
        <f>-IS_MOM!U33</f>
        <v>-718.7</v>
      </c>
      <c r="D39" s="21">
        <f>-IS_MOM!V33</f>
        <v>-1137.51</v>
      </c>
      <c r="E39" s="21">
        <f>-IS_MOM!W33</f>
        <v>-3527.35</v>
      </c>
      <c r="F39" s="21">
        <f>-IS_MOM!X33</f>
        <v>-3901.47</v>
      </c>
      <c r="G39" s="21">
        <f>-IS_MOM!Y33</f>
        <v>-3875.62</v>
      </c>
      <c r="H39" s="21">
        <f>-IS_MOM!Z33</f>
        <v>-3898.51</v>
      </c>
      <c r="I39" s="21">
        <f>-IS_MOM!AA33</f>
        <v>-9420.2999999999993</v>
      </c>
      <c r="J39" s="21">
        <f>-IS_MOM!AB33</f>
        <v>2570.6799999999998</v>
      </c>
      <c r="K39" s="21">
        <f>-IS_MOM!AC33</f>
        <v>-1867.32</v>
      </c>
      <c r="L39" s="21">
        <f>-IS_MOM!AD33</f>
        <v>0</v>
      </c>
      <c r="M39" s="21">
        <f>-IS_MOM!AE33</f>
        <v>0</v>
      </c>
      <c r="N39" s="21">
        <f>-IS_MOM!AF33</f>
        <v>0</v>
      </c>
      <c r="O39" s="21">
        <f>SUM(C39:N39)</f>
        <v>-25776.099999999995</v>
      </c>
    </row>
    <row r="40" spans="1:15" ht="15.75" customHeight="1" thickBot="1" x14ac:dyDescent="0.3">
      <c r="A40" s="40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5">
      <c r="A41" s="36" t="s">
        <v>28</v>
      </c>
      <c r="B41" s="6" t="s">
        <v>113</v>
      </c>
      <c r="C41" s="23">
        <f>C34+SUM(C36:C39)</f>
        <v>-83158.78</v>
      </c>
      <c r="D41" s="23">
        <f t="shared" ref="D41:H41" si="15">D34+SUM(D36:D39)</f>
        <v>-86644.799999999988</v>
      </c>
      <c r="E41" s="23">
        <f t="shared" si="15"/>
        <v>-94819.86</v>
      </c>
      <c r="F41" s="23">
        <f t="shared" si="15"/>
        <v>-99667.15</v>
      </c>
      <c r="G41" s="23">
        <f t="shared" si="15"/>
        <v>-99139.449999999983</v>
      </c>
      <c r="H41" s="23">
        <f t="shared" si="15"/>
        <v>-97785.139999999985</v>
      </c>
      <c r="I41" s="23">
        <f t="shared" ref="I41:N41" si="16">I34+SUM(I36:I39)</f>
        <v>-89768.079999999987</v>
      </c>
      <c r="J41" s="23">
        <f t="shared" si="16"/>
        <v>-81767.56</v>
      </c>
      <c r="K41" s="23">
        <f t="shared" si="16"/>
        <v>-76815.599999999977</v>
      </c>
      <c r="L41" s="23">
        <f t="shared" si="16"/>
        <v>0</v>
      </c>
      <c r="M41" s="23">
        <f t="shared" si="16"/>
        <v>0</v>
      </c>
      <c r="N41" s="23">
        <f t="shared" si="16"/>
        <v>0</v>
      </c>
      <c r="O41" s="23">
        <f>O34+SUM(O36:O39)</f>
        <v>-809566.41999999993</v>
      </c>
    </row>
    <row r="42" spans="1:15" ht="15.75" customHeight="1" x14ac:dyDescent="0.25">
      <c r="A42" s="5"/>
      <c r="B42" s="5"/>
      <c r="C42" s="18"/>
      <c r="D42" s="21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.75" customHeight="1" x14ac:dyDescent="0.25">
      <c r="A43" s="5"/>
      <c r="B43" s="5"/>
      <c r="C43" s="26"/>
      <c r="D43" s="26"/>
      <c r="E43" s="26"/>
      <c r="F43" s="26"/>
      <c r="G43" s="26"/>
      <c r="H43" s="26"/>
      <c r="I43" s="26"/>
      <c r="J43" s="18"/>
      <c r="K43" s="18"/>
      <c r="L43" s="18"/>
      <c r="M43" s="18"/>
      <c r="N43" s="18"/>
      <c r="O43" s="18"/>
    </row>
    <row r="44" spans="1:15" ht="15.75" customHeight="1" x14ac:dyDescent="0.25">
      <c r="A44" s="5"/>
      <c r="B44" s="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18"/>
      <c r="O44" s="18"/>
    </row>
    <row r="45" spans="1:15" ht="15.75" customHeight="1" x14ac:dyDescent="0.25">
      <c r="A45" s="5"/>
      <c r="B45" s="5"/>
      <c r="C45" s="73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18"/>
      <c r="O45" s="18"/>
    </row>
    <row r="46" spans="1:15" ht="15.75" customHeight="1" x14ac:dyDescent="0.25">
      <c r="A46" s="5"/>
      <c r="B46" s="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18"/>
      <c r="O46" s="18"/>
    </row>
    <row r="47" spans="1:15" ht="15.75" customHeight="1" x14ac:dyDescent="0.25">
      <c r="A47" s="5"/>
      <c r="B47" s="5"/>
      <c r="C47" s="26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.75" customHeight="1" x14ac:dyDescent="0.25">
      <c r="A48" s="5"/>
      <c r="B48" s="5"/>
      <c r="C48" s="26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.75" customHeight="1" x14ac:dyDescent="0.25">
      <c r="A49" s="5"/>
      <c r="B49" s="5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8"/>
      <c r="O49" s="18"/>
    </row>
    <row r="50" spans="1:15" ht="15.75" customHeight="1" x14ac:dyDescent="0.25">
      <c r="A50" s="5"/>
      <c r="B50" s="5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8"/>
      <c r="O50" s="18"/>
    </row>
    <row r="51" spans="1:15" ht="15.75" customHeight="1" x14ac:dyDescent="0.25">
      <c r="A51" s="5"/>
      <c r="B51" s="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8"/>
      <c r="O51" s="18"/>
    </row>
    <row r="52" spans="1:15" ht="15.75" customHeight="1" x14ac:dyDescent="0.25">
      <c r="A52" s="5"/>
      <c r="B52" s="5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18"/>
    </row>
    <row r="53" spans="1:15" ht="15.75" customHeight="1" x14ac:dyDescent="0.25">
      <c r="A53" s="5"/>
      <c r="B53" s="5"/>
      <c r="C53" s="21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.75" customHeight="1" x14ac:dyDescent="0.25">
      <c r="A54" s="5"/>
      <c r="B54" s="5"/>
      <c r="C54" s="21"/>
      <c r="D54" s="21"/>
      <c r="E54" s="21"/>
      <c r="F54" s="21"/>
      <c r="G54" s="21"/>
      <c r="H54" s="21"/>
      <c r="I54" s="18"/>
      <c r="J54" s="18"/>
      <c r="K54" s="18"/>
      <c r="L54" s="18"/>
      <c r="M54" s="18"/>
      <c r="N54" s="18"/>
      <c r="O54" s="18"/>
    </row>
    <row r="55" spans="1:15" ht="15.75" customHeight="1" x14ac:dyDescent="0.25">
      <c r="A55" s="5"/>
      <c r="B55" s="5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.75" customHeight="1" x14ac:dyDescent="0.25">
      <c r="A56" s="5"/>
      <c r="B56" s="5"/>
      <c r="C56" s="21"/>
      <c r="D56" s="21"/>
      <c r="E56" s="21"/>
      <c r="F56" s="21"/>
      <c r="G56" s="21"/>
      <c r="H56" s="21"/>
      <c r="I56" s="18"/>
      <c r="J56" s="18"/>
      <c r="K56" s="18"/>
      <c r="L56" s="18"/>
      <c r="M56" s="18"/>
      <c r="N56" s="18"/>
      <c r="O56" s="18"/>
    </row>
    <row r="57" spans="1:15" ht="15.75" customHeight="1" x14ac:dyDescent="0.25">
      <c r="A57" s="5"/>
      <c r="B57" s="5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.75" customHeight="1" x14ac:dyDescent="0.25">
      <c r="A58" s="5"/>
      <c r="B58" s="5"/>
      <c r="C58" s="21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.75" customHeight="1" x14ac:dyDescent="0.25">
      <c r="A59" s="5"/>
      <c r="B59" s="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.75" customHeight="1" x14ac:dyDescent="0.25">
      <c r="A60" s="5"/>
      <c r="B60" s="5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.75" customHeight="1" x14ac:dyDescent="0.25">
      <c r="A61" s="5"/>
      <c r="B61" s="5"/>
      <c r="C61" s="18"/>
      <c r="D61" s="18"/>
      <c r="E61" s="21"/>
      <c r="F61" s="21"/>
      <c r="G61" s="21"/>
      <c r="H61" s="21"/>
      <c r="I61" s="18"/>
      <c r="J61" s="18"/>
      <c r="K61" s="18"/>
      <c r="L61" s="18"/>
      <c r="M61" s="18"/>
      <c r="N61" s="18"/>
      <c r="O61" s="18"/>
    </row>
    <row r="62" spans="1:15" ht="15.75" customHeight="1" x14ac:dyDescent="0.25">
      <c r="A62" s="5"/>
      <c r="B62" s="5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.75" customHeight="1" x14ac:dyDescent="0.25">
      <c r="A63" s="5"/>
      <c r="B63" s="5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.75" customHeight="1" x14ac:dyDescent="0.25">
      <c r="A64" s="5"/>
      <c r="B64" s="5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.75" customHeight="1" x14ac:dyDescent="0.25">
      <c r="A65" s="5"/>
      <c r="B65" s="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5.75" customHeight="1" x14ac:dyDescent="0.25">
      <c r="A66" s="5"/>
      <c r="B66" s="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.75" customHeight="1" x14ac:dyDescent="0.25">
      <c r="A67" s="5"/>
      <c r="B67" s="5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.75" customHeight="1" x14ac:dyDescent="0.25">
      <c r="A68" s="5"/>
      <c r="B68" s="5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.75" customHeight="1" x14ac:dyDescent="0.25">
      <c r="A69" s="5"/>
      <c r="B69" s="5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.75" customHeight="1" x14ac:dyDescent="0.25">
      <c r="A70" s="5"/>
      <c r="B70" s="5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.75" customHeight="1" x14ac:dyDescent="0.25">
      <c r="A71" s="5"/>
      <c r="B71" s="5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5" ht="15.75" customHeight="1" x14ac:dyDescent="0.25">
      <c r="A72" s="5"/>
      <c r="B72" s="5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1:15" ht="15.75" customHeight="1" x14ac:dyDescent="0.25">
      <c r="A73" s="5"/>
      <c r="B73" s="5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5.75" customHeight="1" x14ac:dyDescent="0.25">
      <c r="A74" s="5"/>
      <c r="B74" s="5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1:15" ht="15.75" customHeight="1" x14ac:dyDescent="0.25">
      <c r="A75" s="5"/>
      <c r="B75" s="5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5" ht="15.75" customHeight="1" x14ac:dyDescent="0.25">
      <c r="A76" s="5"/>
      <c r="B76" s="5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1:15" ht="15.75" customHeight="1" x14ac:dyDescent="0.25">
      <c r="A77" s="5"/>
      <c r="B77" s="5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5.75" customHeight="1" x14ac:dyDescent="0.25">
      <c r="A78" s="5"/>
      <c r="B78" s="5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1:15" ht="15.75" customHeight="1" x14ac:dyDescent="0.25">
      <c r="A79" s="5"/>
      <c r="B79" s="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 ht="15.75" customHeight="1" x14ac:dyDescent="0.25">
      <c r="A80" s="5"/>
      <c r="B80" s="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5.75" customHeight="1" x14ac:dyDescent="0.25">
      <c r="A81" s="5"/>
      <c r="B81" s="5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1:15" ht="15.75" customHeight="1" x14ac:dyDescent="0.25">
      <c r="A82" s="5"/>
      <c r="B82" s="5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1:15" ht="15.75" customHeight="1" x14ac:dyDescent="0.25">
      <c r="A83" s="5"/>
      <c r="B83" s="5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1:15" ht="15.75" customHeight="1" x14ac:dyDescent="0.25">
      <c r="A84" s="5"/>
      <c r="B84" s="5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.75" customHeight="1" x14ac:dyDescent="0.25">
      <c r="A85" s="5"/>
      <c r="B85" s="5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ht="15.75" customHeight="1" x14ac:dyDescent="0.25">
      <c r="A86" s="5"/>
      <c r="B86" s="5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5" ht="15.75" customHeight="1" x14ac:dyDescent="0.25">
      <c r="A87" s="5"/>
      <c r="B87" s="5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1:15" ht="15.75" customHeight="1" x14ac:dyDescent="0.25">
      <c r="A88" s="5"/>
      <c r="B88" s="5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15" ht="15.75" customHeight="1" x14ac:dyDescent="0.25">
      <c r="A89" s="5"/>
      <c r="B89" s="5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.75" customHeight="1" x14ac:dyDescent="0.25">
      <c r="A90" s="5"/>
      <c r="B90" s="5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15" ht="15.75" customHeight="1" x14ac:dyDescent="0.25">
      <c r="A91" s="5"/>
      <c r="B91" s="5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.75" customHeight="1" x14ac:dyDescent="0.25">
      <c r="A92" s="5"/>
      <c r="B92" s="5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.75" customHeight="1" x14ac:dyDescent="0.25">
      <c r="A93" s="5"/>
      <c r="B93" s="5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5.75" customHeight="1" x14ac:dyDescent="0.25">
      <c r="A94" s="5"/>
      <c r="B94" s="5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.75" customHeight="1" x14ac:dyDescent="0.25">
      <c r="A95" s="5"/>
      <c r="B95" s="5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.75" customHeight="1" x14ac:dyDescent="0.25">
      <c r="A96" s="5"/>
      <c r="B96" s="5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ht="15.75" customHeight="1" x14ac:dyDescent="0.25">
      <c r="A97" s="5"/>
      <c r="B97" s="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.75" customHeight="1" x14ac:dyDescent="0.25">
      <c r="A98" s="5"/>
      <c r="B98" s="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.75" customHeight="1" x14ac:dyDescent="0.25">
      <c r="A99" s="5"/>
      <c r="B99" s="5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.75" customHeight="1" x14ac:dyDescent="0.25">
      <c r="A100" s="5"/>
      <c r="B100" s="5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.75" customHeight="1" x14ac:dyDescent="0.25">
      <c r="A101" s="5"/>
      <c r="B101" s="5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.75" customHeight="1" x14ac:dyDescent="0.25">
      <c r="A102" s="5"/>
      <c r="B102" s="5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.75" customHeight="1" x14ac:dyDescent="0.25">
      <c r="A103" s="5"/>
      <c r="B103" s="5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.75" customHeight="1" x14ac:dyDescent="0.25">
      <c r="A104" s="5"/>
      <c r="B104" s="5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.75" customHeight="1" x14ac:dyDescent="0.25">
      <c r="A105" s="5"/>
      <c r="B105" s="5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.75" customHeight="1" x14ac:dyDescent="0.25">
      <c r="A106" s="5"/>
      <c r="B106" s="5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.75" customHeight="1" x14ac:dyDescent="0.25">
      <c r="A107" s="5"/>
      <c r="B107" s="5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.75" customHeight="1" x14ac:dyDescent="0.25">
      <c r="A108" s="5"/>
      <c r="B108" s="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5.75" customHeight="1" x14ac:dyDescent="0.25">
      <c r="A109" s="5"/>
      <c r="B109" s="5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.75" customHeight="1" x14ac:dyDescent="0.25">
      <c r="A110" s="5"/>
      <c r="B110" s="5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5.75" customHeight="1" x14ac:dyDescent="0.25">
      <c r="A111" s="5"/>
      <c r="B111" s="5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5.75" customHeight="1" x14ac:dyDescent="0.25">
      <c r="A112" s="5"/>
      <c r="B112" s="5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5.75" customHeight="1" x14ac:dyDescent="0.25">
      <c r="A113" s="5"/>
      <c r="B113" s="5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5.75" customHeight="1" x14ac:dyDescent="0.25">
      <c r="A114" s="5"/>
      <c r="B114" s="5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.75" customHeight="1" x14ac:dyDescent="0.25">
      <c r="A115" s="5"/>
      <c r="B115" s="5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5.75" customHeight="1" x14ac:dyDescent="0.25">
      <c r="A116" s="5"/>
      <c r="B116" s="5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5.75" customHeight="1" x14ac:dyDescent="0.25">
      <c r="A117" s="5"/>
      <c r="B117" s="5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5.75" customHeight="1" x14ac:dyDescent="0.25">
      <c r="A118" s="5"/>
      <c r="B118" s="5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.75" customHeight="1" x14ac:dyDescent="0.25">
      <c r="A119" s="5"/>
      <c r="B119" s="5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ht="15.75" customHeight="1" x14ac:dyDescent="0.25">
      <c r="A120" s="5"/>
      <c r="B120" s="5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5.75" customHeight="1" x14ac:dyDescent="0.25">
      <c r="A121" s="5"/>
      <c r="B121" s="5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.75" customHeight="1" x14ac:dyDescent="0.25">
      <c r="A122" s="5"/>
      <c r="B122" s="5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5.75" customHeight="1" x14ac:dyDescent="0.25">
      <c r="A123" s="5"/>
      <c r="B123" s="5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.75" customHeight="1" x14ac:dyDescent="0.25">
      <c r="A124" s="5"/>
      <c r="B124" s="5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5.75" customHeight="1" x14ac:dyDescent="0.25">
      <c r="A125" s="5"/>
      <c r="B125" s="5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5.75" customHeight="1" x14ac:dyDescent="0.25">
      <c r="A126" s="5"/>
      <c r="B126" s="5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.75" customHeight="1" x14ac:dyDescent="0.25">
      <c r="A127" s="5"/>
      <c r="B127" s="5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.75" customHeight="1" x14ac:dyDescent="0.25">
      <c r="A128" s="5"/>
      <c r="B128" s="5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5.75" customHeight="1" x14ac:dyDescent="0.25">
      <c r="A129" s="5"/>
      <c r="B129" s="5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.75" customHeight="1" x14ac:dyDescent="0.25">
      <c r="A130" s="5"/>
      <c r="B130" s="5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5.75" customHeight="1" x14ac:dyDescent="0.25">
      <c r="A131" s="5"/>
      <c r="B131" s="5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.75" customHeight="1" x14ac:dyDescent="0.25">
      <c r="A132" s="5"/>
      <c r="B132" s="5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.75" customHeight="1" x14ac:dyDescent="0.25">
      <c r="A133" s="5"/>
      <c r="B133" s="5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5.75" customHeight="1" x14ac:dyDescent="0.25">
      <c r="A134" s="5"/>
      <c r="B134" s="5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.75" customHeight="1" x14ac:dyDescent="0.25">
      <c r="A135" s="5"/>
      <c r="B135" s="5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.75" customHeight="1" x14ac:dyDescent="0.25">
      <c r="A136" s="5"/>
      <c r="B136" s="5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.75" customHeight="1" x14ac:dyDescent="0.25">
      <c r="A137" s="5"/>
      <c r="B137" s="5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5.75" customHeight="1" x14ac:dyDescent="0.25">
      <c r="A138" s="5"/>
      <c r="B138" s="5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.75" customHeight="1" x14ac:dyDescent="0.25">
      <c r="A139" s="5"/>
      <c r="B139" s="5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spans="1:15" ht="15.75" customHeight="1" x14ac:dyDescent="0.25">
      <c r="A140" s="5"/>
      <c r="B140" s="5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5.75" customHeight="1" x14ac:dyDescent="0.25">
      <c r="A141" s="5"/>
      <c r="B141" s="5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ht="15.75" customHeight="1" x14ac:dyDescent="0.25">
      <c r="A142" s="5"/>
      <c r="B142" s="5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15" ht="15.75" customHeight="1" x14ac:dyDescent="0.25">
      <c r="A143" s="5"/>
      <c r="B143" s="5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ht="15.75" customHeight="1" x14ac:dyDescent="0.25">
      <c r="A144" s="5"/>
      <c r="B144" s="5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 ht="15.75" customHeight="1" x14ac:dyDescent="0.25">
      <c r="A145" s="5"/>
      <c r="B145" s="5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5.75" customHeight="1" x14ac:dyDescent="0.25">
      <c r="A146" s="5"/>
      <c r="B146" s="5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1:15" ht="15.75" customHeight="1" x14ac:dyDescent="0.25">
      <c r="A147" s="5"/>
      <c r="B147" s="5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ht="15.75" customHeight="1" x14ac:dyDescent="0.25">
      <c r="A148" s="5"/>
      <c r="B148" s="5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spans="1:15" ht="15.75" customHeight="1" x14ac:dyDescent="0.25">
      <c r="A149" s="5"/>
      <c r="B149" s="5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ht="15.75" customHeight="1" x14ac:dyDescent="0.25">
      <c r="A150" s="5"/>
      <c r="B150" s="5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ht="15.75" customHeight="1" x14ac:dyDescent="0.25">
      <c r="A151" s="5"/>
      <c r="B151" s="5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spans="1:15" ht="15.75" customHeight="1" x14ac:dyDescent="0.25">
      <c r="A152" s="5"/>
      <c r="B152" s="5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spans="1:15" ht="15.75" customHeight="1" x14ac:dyDescent="0.25">
      <c r="A153" s="5"/>
      <c r="B153" s="5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spans="1:15" ht="15.75" customHeight="1" x14ac:dyDescent="0.25">
      <c r="A154" s="5"/>
      <c r="B154" s="5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1:15" ht="15.75" customHeight="1" x14ac:dyDescent="0.25">
      <c r="A155" s="5"/>
      <c r="B155" s="5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spans="1:15" ht="15.75" customHeight="1" x14ac:dyDescent="0.25">
      <c r="A156" s="5"/>
      <c r="B156" s="5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spans="1:15" ht="15.75" customHeight="1" x14ac:dyDescent="0.25">
      <c r="A157" s="5"/>
      <c r="B157" s="5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 ht="15.75" customHeight="1" x14ac:dyDescent="0.25">
      <c r="A158" s="5"/>
      <c r="B158" s="5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spans="1:15" ht="15.75" customHeight="1" x14ac:dyDescent="0.25">
      <c r="A159" s="5"/>
      <c r="B159" s="5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ht="15.75" customHeight="1" x14ac:dyDescent="0.25">
      <c r="A160" s="5"/>
      <c r="B160" s="5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spans="1:15" ht="15.75" customHeight="1" x14ac:dyDescent="0.25">
      <c r="A161" s="5"/>
      <c r="B161" s="5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spans="1:15" ht="15.75" customHeight="1" x14ac:dyDescent="0.25">
      <c r="A162" s="5"/>
      <c r="B162" s="5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1:15" ht="15.75" customHeight="1" x14ac:dyDescent="0.25">
      <c r="A163" s="5"/>
      <c r="B163" s="5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spans="1:15" ht="15.75" customHeight="1" x14ac:dyDescent="0.25">
      <c r="A164" s="5"/>
      <c r="B164" s="5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spans="1:15" ht="15.75" customHeight="1" x14ac:dyDescent="0.25">
      <c r="A165" s="5"/>
      <c r="B165" s="5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spans="1:15" ht="15.75" customHeight="1" x14ac:dyDescent="0.25">
      <c r="A166" s="5"/>
      <c r="B166" s="5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spans="1:15" ht="15.75" customHeight="1" x14ac:dyDescent="0.25">
      <c r="A167" s="5"/>
      <c r="B167" s="5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spans="1:15" ht="15.75" customHeight="1" x14ac:dyDescent="0.25">
      <c r="A168" s="5"/>
      <c r="B168" s="5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spans="1:15" ht="15.75" customHeight="1" x14ac:dyDescent="0.25">
      <c r="A169" s="5"/>
      <c r="B169" s="5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spans="1:15" ht="15.75" customHeight="1" x14ac:dyDescent="0.25">
      <c r="A170" s="5"/>
      <c r="B170" s="5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1:15" ht="15.75" customHeight="1" x14ac:dyDescent="0.25">
      <c r="A171" s="5"/>
      <c r="B171" s="5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1:15" ht="15.75" customHeight="1" x14ac:dyDescent="0.25">
      <c r="A172" s="5"/>
      <c r="B172" s="5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spans="1:15" ht="15.75" customHeight="1" x14ac:dyDescent="0.25">
      <c r="A173" s="5"/>
      <c r="B173" s="5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ht="15.75" customHeight="1" x14ac:dyDescent="0.25">
      <c r="A174" s="5"/>
      <c r="B174" s="5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spans="1:15" ht="15.75" customHeight="1" x14ac:dyDescent="0.25">
      <c r="A175" s="5"/>
      <c r="B175" s="5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spans="1:15" ht="15.75" customHeight="1" x14ac:dyDescent="0.25">
      <c r="A176" s="5"/>
      <c r="B176" s="5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spans="1:15" ht="15.75" customHeight="1" x14ac:dyDescent="0.25">
      <c r="A177" s="5"/>
      <c r="B177" s="5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spans="1:15" ht="15.75" customHeight="1" x14ac:dyDescent="0.25">
      <c r="A178" s="5"/>
      <c r="B178" s="5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spans="1:15" ht="15.75" customHeight="1" x14ac:dyDescent="0.25">
      <c r="A179" s="5"/>
      <c r="B179" s="5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spans="1:15" ht="15.75" customHeight="1" x14ac:dyDescent="0.25">
      <c r="A180" s="5"/>
      <c r="B180" s="5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1:15" ht="15.75" customHeight="1" x14ac:dyDescent="0.25">
      <c r="A181" s="5"/>
      <c r="B181" s="5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spans="1:15" ht="15.75" customHeight="1" x14ac:dyDescent="0.25">
      <c r="A182" s="5"/>
      <c r="B182" s="5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spans="1:15" ht="15.75" customHeight="1" x14ac:dyDescent="0.25">
      <c r="A183" s="5"/>
      <c r="B183" s="5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spans="1:15" ht="15.75" customHeight="1" x14ac:dyDescent="0.25">
      <c r="A184" s="5"/>
      <c r="B184" s="5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1:15" ht="15.75" customHeight="1" x14ac:dyDescent="0.25">
      <c r="A185" s="5"/>
      <c r="B185" s="5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ht="15.75" customHeight="1" x14ac:dyDescent="0.25">
      <c r="A186" s="5"/>
      <c r="B186" s="5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spans="1:15" ht="15.75" customHeight="1" x14ac:dyDescent="0.25">
      <c r="A187" s="5"/>
      <c r="B187" s="5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 ht="15.75" customHeight="1" x14ac:dyDescent="0.25">
      <c r="A188" s="5"/>
      <c r="B188" s="5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spans="1:15" ht="15.75" customHeight="1" x14ac:dyDescent="0.25">
      <c r="A189" s="5"/>
      <c r="B189" s="5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1:15" ht="15.75" customHeight="1" x14ac:dyDescent="0.25">
      <c r="A190" s="5"/>
      <c r="B190" s="5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spans="1:15" ht="15.75" customHeight="1" x14ac:dyDescent="0.25">
      <c r="A191" s="5"/>
      <c r="B191" s="5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spans="1:15" ht="15.75" customHeight="1" x14ac:dyDescent="0.25">
      <c r="A192" s="5"/>
      <c r="B192" s="5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spans="1:15" ht="15.75" customHeight="1" x14ac:dyDescent="0.25">
      <c r="A193" s="5"/>
      <c r="B193" s="5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spans="1:15" ht="15.75" customHeight="1" x14ac:dyDescent="0.25">
      <c r="A194" s="5"/>
      <c r="B194" s="5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spans="1:15" ht="15.75" customHeight="1" x14ac:dyDescent="0.25">
      <c r="A195" s="5"/>
      <c r="B195" s="5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spans="1:15" ht="15.75" customHeight="1" x14ac:dyDescent="0.25">
      <c r="A196" s="5"/>
      <c r="B196" s="5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15" ht="15.75" customHeight="1" x14ac:dyDescent="0.25">
      <c r="A197" s="5"/>
      <c r="B197" s="5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spans="1:15" ht="15.75" customHeight="1" x14ac:dyDescent="0.25">
      <c r="A198" s="5"/>
      <c r="B198" s="5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 ht="15.75" customHeight="1" x14ac:dyDescent="0.25">
      <c r="A199" s="5"/>
      <c r="B199" s="5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spans="1:15" ht="15.75" customHeight="1" x14ac:dyDescent="0.25">
      <c r="A200" s="5"/>
      <c r="B200" s="5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1:15" ht="15.75" customHeight="1" x14ac:dyDescent="0.25">
      <c r="A201" s="5"/>
      <c r="B201" s="5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1:15" ht="15.75" customHeight="1" x14ac:dyDescent="0.25">
      <c r="A202" s="5"/>
      <c r="B202" s="5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spans="1:15" ht="15.75" customHeight="1" x14ac:dyDescent="0.25">
      <c r="A203" s="5"/>
      <c r="B203" s="5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 ht="15.75" customHeight="1" x14ac:dyDescent="0.25">
      <c r="A204" s="5"/>
      <c r="B204" s="5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spans="1:15" ht="15.75" customHeight="1" x14ac:dyDescent="0.25">
      <c r="A205" s="5"/>
      <c r="B205" s="5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spans="1:15" ht="15.75" customHeight="1" x14ac:dyDescent="0.25">
      <c r="A206" s="5"/>
      <c r="B206" s="5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spans="1:15" ht="15.75" customHeight="1" x14ac:dyDescent="0.25">
      <c r="A207" s="5"/>
      <c r="B207" s="5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spans="1:15" ht="15.75" customHeight="1" x14ac:dyDescent="0.25">
      <c r="A208" s="5"/>
      <c r="B208" s="5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spans="1:15" ht="15.75" customHeight="1" x14ac:dyDescent="0.25">
      <c r="A209" s="5"/>
      <c r="B209" s="5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spans="1:15" ht="15.75" customHeight="1" x14ac:dyDescent="0.25">
      <c r="A210" s="5"/>
      <c r="B210" s="5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spans="1:15" ht="15.75" customHeight="1" x14ac:dyDescent="0.25">
      <c r="A211" s="5"/>
      <c r="B211" s="5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1:15" ht="15.75" customHeight="1" x14ac:dyDescent="0.25">
      <c r="A212" s="5"/>
      <c r="B212" s="5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spans="1:15" ht="15.75" customHeight="1" x14ac:dyDescent="0.25">
      <c r="A213" s="5"/>
      <c r="B213" s="5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spans="1:15" ht="15.75" customHeight="1" x14ac:dyDescent="0.25">
      <c r="A214" s="5"/>
      <c r="B214" s="5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spans="1:15" ht="15.75" customHeight="1" x14ac:dyDescent="0.25">
      <c r="A215" s="5"/>
      <c r="B215" s="5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spans="1:15" ht="15.75" customHeight="1" x14ac:dyDescent="0.25">
      <c r="A216" s="5"/>
      <c r="B216" s="5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spans="1:15" ht="15.75" customHeight="1" x14ac:dyDescent="0.25">
      <c r="A217" s="5"/>
      <c r="B217" s="5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spans="1:15" ht="15.75" customHeight="1" x14ac:dyDescent="0.25">
      <c r="A218" s="5"/>
      <c r="B218" s="5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spans="1:15" ht="15.75" customHeight="1" x14ac:dyDescent="0.25">
      <c r="A219" s="5"/>
      <c r="B219" s="5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spans="1:15" ht="15.75" customHeight="1" x14ac:dyDescent="0.25">
      <c r="A220" s="5"/>
      <c r="B220" s="5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spans="1:15" ht="15.75" customHeight="1" x14ac:dyDescent="0.25">
      <c r="A221" s="5"/>
      <c r="B221" s="5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spans="1:15" ht="15.75" customHeight="1" x14ac:dyDescent="0.25">
      <c r="A222" s="5"/>
      <c r="B222" s="5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spans="1:15" ht="15.75" customHeight="1" x14ac:dyDescent="0.25">
      <c r="A223" s="5"/>
      <c r="B223" s="5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spans="1:15" ht="15.75" customHeight="1" x14ac:dyDescent="0.25">
      <c r="A224" s="5"/>
      <c r="B224" s="5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spans="1:15" ht="15.75" customHeight="1" x14ac:dyDescent="0.25">
      <c r="A225" s="5"/>
      <c r="B225" s="5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spans="1:15" ht="15.75" customHeight="1" x14ac:dyDescent="0.25">
      <c r="A226" s="5"/>
      <c r="B226" s="5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 ht="15.75" customHeight="1" x14ac:dyDescent="0.25">
      <c r="A227" s="5"/>
      <c r="B227" s="5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spans="1:15" ht="15.75" customHeight="1" x14ac:dyDescent="0.25">
      <c r="A228" s="5"/>
      <c r="B228" s="5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spans="1:15" ht="15.75" customHeight="1" x14ac:dyDescent="0.25">
      <c r="A229" s="5"/>
      <c r="B229" s="5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spans="1:15" ht="15.75" customHeight="1" x14ac:dyDescent="0.25">
      <c r="A230" s="5"/>
      <c r="B230" s="5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15" ht="15.75" customHeight="1" x14ac:dyDescent="0.25">
      <c r="A231" s="5"/>
      <c r="B231" s="5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spans="1:15" ht="15.75" customHeight="1" x14ac:dyDescent="0.25">
      <c r="A232" s="5"/>
      <c r="B232" s="5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spans="1:15" ht="15.75" customHeight="1" x14ac:dyDescent="0.25">
      <c r="A233" s="5"/>
      <c r="B233" s="5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1:15" ht="15.75" customHeight="1" x14ac:dyDescent="0.25">
      <c r="A234" s="5"/>
      <c r="B234" s="5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spans="1:15" ht="15.75" customHeight="1" x14ac:dyDescent="0.25">
      <c r="A235" s="5"/>
      <c r="B235" s="5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spans="1:15" ht="15.75" customHeight="1" x14ac:dyDescent="0.25">
      <c r="A236" s="5"/>
      <c r="B236" s="5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spans="1:15" ht="15.75" customHeight="1" x14ac:dyDescent="0.25">
      <c r="A237" s="5"/>
      <c r="B237" s="5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spans="1:15" ht="15.75" customHeight="1" x14ac:dyDescent="0.25">
      <c r="A238" s="5"/>
      <c r="B238" s="5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spans="1:15" ht="15.75" customHeight="1" x14ac:dyDescent="0.25">
      <c r="A239" s="5"/>
      <c r="B239" s="5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spans="1:15" ht="15.75" customHeight="1" x14ac:dyDescent="0.25">
      <c r="A240" s="5"/>
      <c r="B240" s="5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spans="1:15" ht="15.75" customHeight="1" x14ac:dyDescent="0.25">
      <c r="A241" s="5"/>
      <c r="B241" s="5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spans="1:15" ht="15.75" customHeight="1" x14ac:dyDescent="0.25">
      <c r="A242" s="5"/>
      <c r="B242" s="5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spans="1:15" ht="15.75" customHeight="1" x14ac:dyDescent="0.25">
      <c r="A243" s="5"/>
      <c r="B243" s="5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1:15" ht="15.75" customHeight="1" x14ac:dyDescent="0.25">
      <c r="A244" s="5"/>
      <c r="B244" s="5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 ht="15.75" customHeight="1" x14ac:dyDescent="0.25">
      <c r="A245" s="5"/>
      <c r="B245" s="5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 ht="15.75" customHeight="1" x14ac:dyDescent="0.25">
      <c r="A246" s="5"/>
      <c r="B246" s="5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 ht="15.75" customHeight="1" x14ac:dyDescent="0.25">
      <c r="A247" s="5"/>
      <c r="B247" s="5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spans="1:15" ht="15.75" customHeight="1" x14ac:dyDescent="0.25">
      <c r="A248" s="5"/>
      <c r="B248" s="5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 ht="15.75" customHeight="1" x14ac:dyDescent="0.25">
      <c r="A249" s="5"/>
      <c r="B249" s="5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spans="1:15" ht="15.75" customHeight="1" x14ac:dyDescent="0.25">
      <c r="A250" s="5"/>
      <c r="B250" s="5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spans="1:15" ht="15.75" customHeight="1" x14ac:dyDescent="0.25">
      <c r="A251" s="5"/>
      <c r="B251" s="5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spans="1:15" ht="15.75" customHeight="1" x14ac:dyDescent="0.25">
      <c r="A252" s="5"/>
      <c r="B252" s="5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spans="1:15" ht="15.75" customHeight="1" x14ac:dyDescent="0.25">
      <c r="A253" s="5"/>
      <c r="B253" s="5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spans="1:15" ht="15.75" customHeight="1" x14ac:dyDescent="0.25">
      <c r="A254" s="5"/>
      <c r="B254" s="5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spans="1:15" ht="15.75" customHeight="1" x14ac:dyDescent="0.25">
      <c r="A255" s="5"/>
      <c r="B255" s="5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spans="1:15" ht="15.75" customHeight="1" x14ac:dyDescent="0.25">
      <c r="A256" s="5"/>
      <c r="B256" s="5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spans="1:15" ht="15.75" customHeight="1" x14ac:dyDescent="0.25">
      <c r="A257" s="5"/>
      <c r="B257" s="5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spans="1:15" ht="15.75" customHeight="1" x14ac:dyDescent="0.25">
      <c r="A258" s="5"/>
      <c r="B258" s="5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spans="1:15" ht="15.75" customHeight="1" x14ac:dyDescent="0.25">
      <c r="A259" s="5"/>
      <c r="B259" s="5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spans="1:15" ht="15.75" customHeight="1" x14ac:dyDescent="0.25">
      <c r="A260" s="5"/>
      <c r="B260" s="5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 ht="15.75" customHeight="1" x14ac:dyDescent="0.25">
      <c r="A261" s="5"/>
      <c r="B261" s="5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 ht="15.75" customHeight="1" x14ac:dyDescent="0.25">
      <c r="A262" s="5"/>
      <c r="B262" s="5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 ht="15.75" customHeight="1" x14ac:dyDescent="0.25">
      <c r="A263" s="5"/>
      <c r="B263" s="5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spans="1:15" ht="15.75" customHeight="1" x14ac:dyDescent="0.25">
      <c r="A264" s="5"/>
      <c r="B264" s="5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 ht="15.75" customHeight="1" x14ac:dyDescent="0.25">
      <c r="A265" s="5"/>
      <c r="B265" s="5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spans="1:15" ht="15.75" customHeight="1" x14ac:dyDescent="0.25">
      <c r="A266" s="5"/>
      <c r="B266" s="5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spans="1:15" ht="15.75" customHeight="1" x14ac:dyDescent="0.25">
      <c r="A267" s="5"/>
      <c r="B267" s="5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spans="1:15" ht="15.75" customHeight="1" x14ac:dyDescent="0.25">
      <c r="A268" s="5"/>
      <c r="B268" s="5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spans="1:15" ht="15.75" customHeight="1" x14ac:dyDescent="0.25">
      <c r="A269" s="5"/>
      <c r="B269" s="5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ht="15.75" customHeight="1" x14ac:dyDescent="0.25">
      <c r="A270" s="5"/>
      <c r="B270" s="5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spans="1:15" ht="15.75" customHeight="1" x14ac:dyDescent="0.25">
      <c r="A271" s="5"/>
      <c r="B271" s="5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1:15" ht="15.75" customHeight="1" x14ac:dyDescent="0.25">
      <c r="A272" s="5"/>
      <c r="B272" s="5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spans="1:15" ht="15.75" customHeight="1" x14ac:dyDescent="0.25">
      <c r="A273" s="5"/>
      <c r="B273" s="5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spans="1:15" ht="15.75" customHeight="1" x14ac:dyDescent="0.25">
      <c r="A274" s="5"/>
      <c r="B274" s="5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spans="1:15" ht="15.75" customHeight="1" x14ac:dyDescent="0.25">
      <c r="A275" s="5"/>
      <c r="B275" s="5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spans="1:15" ht="15.75" customHeight="1" x14ac:dyDescent="0.25">
      <c r="A276" s="5"/>
      <c r="B276" s="5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1:15" ht="15.75" customHeight="1" x14ac:dyDescent="0.25">
      <c r="A277" s="5"/>
      <c r="B277" s="5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spans="1:15" ht="15.75" customHeight="1" x14ac:dyDescent="0.25">
      <c r="A278" s="5"/>
      <c r="B278" s="5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spans="1:15" ht="15.75" customHeight="1" x14ac:dyDescent="0.25">
      <c r="A279" s="5"/>
      <c r="B279" s="5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spans="1:15" ht="15.75" customHeight="1" x14ac:dyDescent="0.25">
      <c r="A280" s="5"/>
      <c r="B280" s="5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spans="1:15" ht="15.75" customHeight="1" x14ac:dyDescent="0.25">
      <c r="A281" s="5"/>
      <c r="B281" s="5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1:15" ht="15.75" customHeight="1" x14ac:dyDescent="0.25">
      <c r="A282" s="5"/>
      <c r="B282" s="5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spans="1:15" ht="15.75" customHeight="1" x14ac:dyDescent="0.25">
      <c r="A283" s="5"/>
      <c r="B283" s="5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spans="1:15" ht="15.75" customHeight="1" x14ac:dyDescent="0.25">
      <c r="A284" s="5"/>
      <c r="B284" s="5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spans="1:15" ht="15.75" customHeight="1" x14ac:dyDescent="0.25">
      <c r="A285" s="5"/>
      <c r="B285" s="5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spans="1:15" ht="15.75" customHeight="1" x14ac:dyDescent="0.25">
      <c r="A286" s="5"/>
      <c r="B286" s="5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spans="1:15" ht="15.75" customHeight="1" x14ac:dyDescent="0.25">
      <c r="A287" s="5"/>
      <c r="B287" s="5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spans="1:15" ht="15.75" customHeight="1" x14ac:dyDescent="0.25">
      <c r="A288" s="5"/>
      <c r="B288" s="5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ht="15.75" customHeight="1" x14ac:dyDescent="0.25">
      <c r="A289" s="5"/>
      <c r="B289" s="5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spans="1:15" ht="15.75" customHeight="1" x14ac:dyDescent="0.25">
      <c r="A290" s="5"/>
      <c r="B290" s="5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spans="1:15" ht="15.75" customHeight="1" x14ac:dyDescent="0.25">
      <c r="A291" s="5"/>
      <c r="B291" s="5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spans="1:15" ht="15.75" customHeight="1" x14ac:dyDescent="0.25">
      <c r="A292" s="5"/>
      <c r="B292" s="5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spans="1:15" ht="15.75" customHeight="1" x14ac:dyDescent="0.25">
      <c r="A293" s="5"/>
      <c r="B293" s="5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1:15" ht="15.75" customHeight="1" x14ac:dyDescent="0.25">
      <c r="A294" s="5"/>
      <c r="B294" s="5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spans="1:15" ht="15.75" customHeight="1" x14ac:dyDescent="0.25">
      <c r="A295" s="5"/>
      <c r="B295" s="5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spans="1:15" ht="15.75" customHeight="1" x14ac:dyDescent="0.25">
      <c r="A296" s="5"/>
      <c r="B296" s="5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spans="1:15" ht="15.75" customHeight="1" x14ac:dyDescent="0.25">
      <c r="A297" s="5"/>
      <c r="B297" s="5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spans="1:15" ht="15.75" customHeight="1" x14ac:dyDescent="0.25">
      <c r="A298" s="5"/>
      <c r="B298" s="5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 spans="1:15" ht="15.75" customHeight="1" x14ac:dyDescent="0.25">
      <c r="A299" s="5"/>
      <c r="B299" s="5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 spans="1:15" ht="15.75" customHeight="1" x14ac:dyDescent="0.25">
      <c r="A300" s="5"/>
      <c r="B300" s="5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 spans="1:15" ht="15.75" customHeight="1" x14ac:dyDescent="0.25">
      <c r="A301" s="5"/>
      <c r="B301" s="5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 spans="1:15" ht="15.75" customHeight="1" x14ac:dyDescent="0.25">
      <c r="A302" s="5"/>
      <c r="B302" s="5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 spans="1:15" ht="15.75" customHeight="1" x14ac:dyDescent="0.25">
      <c r="A303" s="5"/>
      <c r="B303" s="5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 spans="1:15" ht="15.75" customHeight="1" x14ac:dyDescent="0.25">
      <c r="A304" s="5"/>
      <c r="B304" s="5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 spans="1:15" ht="15.75" customHeight="1" x14ac:dyDescent="0.25">
      <c r="A305" s="5"/>
      <c r="B305" s="5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 spans="1:15" ht="15.75" customHeight="1" x14ac:dyDescent="0.25">
      <c r="A306" s="5"/>
      <c r="B306" s="5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 spans="1:15" ht="15.75" customHeight="1" x14ac:dyDescent="0.25">
      <c r="A307" s="5"/>
      <c r="B307" s="5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 spans="1:15" ht="15.75" customHeight="1" x14ac:dyDescent="0.25">
      <c r="A308" s="5"/>
      <c r="B308" s="5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 spans="1:15" ht="15.75" customHeight="1" x14ac:dyDescent="0.25">
      <c r="A309" s="5"/>
      <c r="B309" s="5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 spans="1:15" ht="15.75" customHeight="1" x14ac:dyDescent="0.25">
      <c r="A310" s="5"/>
      <c r="B310" s="5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 spans="1:15" ht="15.75" customHeight="1" x14ac:dyDescent="0.25">
      <c r="A311" s="5"/>
      <c r="B311" s="5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 spans="1:15" ht="15.75" customHeight="1" x14ac:dyDescent="0.25">
      <c r="A312" s="5"/>
      <c r="B312" s="5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 spans="1:15" ht="15.75" customHeight="1" x14ac:dyDescent="0.25">
      <c r="A313" s="5"/>
      <c r="B313" s="5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spans="1:15" ht="15.75" customHeight="1" x14ac:dyDescent="0.25">
      <c r="A314" s="5"/>
      <c r="B314" s="5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 spans="1:15" ht="15.75" customHeight="1" x14ac:dyDescent="0.25">
      <c r="A315" s="5"/>
      <c r="B315" s="5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 spans="1:15" ht="15.75" customHeight="1" x14ac:dyDescent="0.25">
      <c r="A316" s="5"/>
      <c r="B316" s="5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spans="1:15" ht="15.75" customHeight="1" x14ac:dyDescent="0.25">
      <c r="A317" s="5"/>
      <c r="B317" s="5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 spans="1:15" ht="15.75" customHeight="1" x14ac:dyDescent="0.25">
      <c r="A318" s="5"/>
      <c r="B318" s="5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 spans="1:15" ht="15.75" customHeight="1" x14ac:dyDescent="0.25">
      <c r="A319" s="5"/>
      <c r="B319" s="5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 spans="1:15" ht="15.75" customHeight="1" x14ac:dyDescent="0.25">
      <c r="A320" s="5"/>
      <c r="B320" s="5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spans="1:15" ht="15.75" customHeight="1" x14ac:dyDescent="0.25">
      <c r="A321" s="5"/>
      <c r="B321" s="5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spans="1:15" ht="15.75" customHeight="1" x14ac:dyDescent="0.25">
      <c r="A322" s="5"/>
      <c r="B322" s="5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 spans="1:15" ht="15.75" customHeight="1" x14ac:dyDescent="0.25">
      <c r="A323" s="5"/>
      <c r="B323" s="5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 spans="1:15" ht="15.75" customHeight="1" x14ac:dyDescent="0.25">
      <c r="A324" s="5"/>
      <c r="B324" s="5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 spans="1:15" ht="15.75" customHeight="1" x14ac:dyDescent="0.25">
      <c r="A325" s="5"/>
      <c r="B325" s="5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 spans="1:15" ht="15.75" customHeight="1" x14ac:dyDescent="0.25">
      <c r="A326" s="5"/>
      <c r="B326" s="5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 spans="1:15" ht="15.75" customHeight="1" x14ac:dyDescent="0.25">
      <c r="A327" s="5"/>
      <c r="B327" s="5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 spans="1:15" ht="15.75" customHeight="1" x14ac:dyDescent="0.25">
      <c r="A328" s="5"/>
      <c r="B328" s="5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 spans="1:15" ht="15.75" customHeight="1" x14ac:dyDescent="0.25">
      <c r="A329" s="5"/>
      <c r="B329" s="5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 spans="1:15" ht="15.75" customHeight="1" x14ac:dyDescent="0.25">
      <c r="A330" s="5"/>
      <c r="B330" s="5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 spans="1:15" ht="15.75" customHeight="1" x14ac:dyDescent="0.25">
      <c r="A331" s="5"/>
      <c r="B331" s="5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 spans="1:15" ht="15.75" customHeight="1" x14ac:dyDescent="0.25">
      <c r="A332" s="5"/>
      <c r="B332" s="5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 spans="1:15" ht="15.75" customHeight="1" x14ac:dyDescent="0.25">
      <c r="A333" s="5"/>
      <c r="B333" s="5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 spans="1:15" ht="15.75" customHeight="1" x14ac:dyDescent="0.25">
      <c r="A334" s="5"/>
      <c r="B334" s="5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 spans="1:15" ht="15.75" customHeight="1" x14ac:dyDescent="0.25">
      <c r="A335" s="5"/>
      <c r="B335" s="5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 spans="1:15" ht="15.75" customHeight="1" x14ac:dyDescent="0.25">
      <c r="A336" s="5"/>
      <c r="B336" s="5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 spans="1:15" ht="15.75" customHeight="1" x14ac:dyDescent="0.25">
      <c r="A337" s="5"/>
      <c r="B337" s="5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 spans="1:15" ht="15.75" customHeight="1" x14ac:dyDescent="0.25">
      <c r="A338" s="5"/>
      <c r="B338" s="5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 spans="1:15" ht="15.75" customHeight="1" x14ac:dyDescent="0.25">
      <c r="A339" s="5"/>
      <c r="B339" s="5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 spans="1:15" ht="15.75" customHeight="1" x14ac:dyDescent="0.25">
      <c r="A340" s="5"/>
      <c r="B340" s="5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 spans="1:15" ht="15.75" customHeight="1" x14ac:dyDescent="0.25">
      <c r="A341" s="5"/>
      <c r="B341" s="5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 spans="1:15" ht="15.75" customHeight="1" x14ac:dyDescent="0.25">
      <c r="A342" s="5"/>
      <c r="B342" s="5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spans="1:15" ht="15.75" customHeight="1" x14ac:dyDescent="0.25">
      <c r="A343" s="5"/>
      <c r="B343" s="5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 spans="1:15" ht="15.75" customHeight="1" x14ac:dyDescent="0.25">
      <c r="A344" s="5"/>
      <c r="B344" s="5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 spans="1:15" ht="15.75" customHeight="1" x14ac:dyDescent="0.25">
      <c r="A345" s="5"/>
      <c r="B345" s="5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 spans="1:15" ht="15.75" customHeight="1" x14ac:dyDescent="0.25">
      <c r="A346" s="5"/>
      <c r="B346" s="5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 spans="1:15" ht="15.75" customHeight="1" x14ac:dyDescent="0.25">
      <c r="A347" s="5"/>
      <c r="B347" s="5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 spans="1:15" ht="15.75" customHeight="1" x14ac:dyDescent="0.25">
      <c r="A348" s="5"/>
      <c r="B348" s="5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 spans="1:15" ht="15.75" customHeight="1" x14ac:dyDescent="0.25">
      <c r="A349" s="5"/>
      <c r="B349" s="5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spans="1:15" ht="15.75" customHeight="1" x14ac:dyDescent="0.25">
      <c r="A350" s="5"/>
      <c r="B350" s="5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 spans="1:15" ht="15.75" customHeight="1" x14ac:dyDescent="0.25">
      <c r="A351" s="5"/>
      <c r="B351" s="5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 spans="1:15" ht="15.75" customHeight="1" x14ac:dyDescent="0.25">
      <c r="A352" s="5"/>
      <c r="B352" s="5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 spans="1:15" ht="15.75" customHeight="1" x14ac:dyDescent="0.25">
      <c r="A353" s="5"/>
      <c r="B353" s="5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spans="1:15" ht="15.75" customHeight="1" x14ac:dyDescent="0.25">
      <c r="A354" s="5"/>
      <c r="B354" s="5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 spans="1:15" ht="15.75" customHeight="1" x14ac:dyDescent="0.25">
      <c r="A355" s="5"/>
      <c r="B355" s="5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 spans="1:15" ht="15.75" customHeight="1" x14ac:dyDescent="0.25">
      <c r="A356" s="5"/>
      <c r="B356" s="5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 spans="1:15" ht="15.75" customHeight="1" x14ac:dyDescent="0.25">
      <c r="A357" s="5"/>
      <c r="B357" s="5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 spans="1:15" ht="15.75" customHeight="1" x14ac:dyDescent="0.25">
      <c r="A358" s="5"/>
      <c r="B358" s="5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 spans="1:15" ht="15.75" customHeight="1" x14ac:dyDescent="0.25">
      <c r="A359" s="5"/>
      <c r="B359" s="5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 spans="1:15" ht="15.75" customHeight="1" x14ac:dyDescent="0.25">
      <c r="A360" s="5"/>
      <c r="B360" s="5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 spans="1:15" ht="15.75" customHeight="1" x14ac:dyDescent="0.25">
      <c r="A361" s="5"/>
      <c r="B361" s="5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 spans="1:15" ht="15.75" customHeight="1" x14ac:dyDescent="0.25">
      <c r="A362" s="5"/>
      <c r="B362" s="5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 spans="1:15" ht="15.75" customHeight="1" x14ac:dyDescent="0.25">
      <c r="A363" s="5"/>
      <c r="B363" s="5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 spans="1:15" ht="15.75" customHeight="1" x14ac:dyDescent="0.25">
      <c r="A364" s="5"/>
      <c r="B364" s="5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 spans="1:15" ht="15.75" customHeight="1" x14ac:dyDescent="0.25">
      <c r="A365" s="5"/>
      <c r="B365" s="5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 spans="1:15" ht="15.75" customHeight="1" x14ac:dyDescent="0.25">
      <c r="A366" s="5"/>
      <c r="B366" s="5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 spans="1:15" ht="15.75" customHeight="1" x14ac:dyDescent="0.25">
      <c r="A367" s="5"/>
      <c r="B367" s="5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 spans="1:15" ht="15.75" customHeight="1" x14ac:dyDescent="0.25">
      <c r="A368" s="5"/>
      <c r="B368" s="5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 spans="1:15" ht="15.75" customHeight="1" x14ac:dyDescent="0.25">
      <c r="A369" s="5"/>
      <c r="B369" s="5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 spans="1:15" ht="15.75" customHeight="1" x14ac:dyDescent="0.25">
      <c r="A370" s="5"/>
      <c r="B370" s="5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 spans="1:15" ht="15.75" customHeight="1" x14ac:dyDescent="0.25">
      <c r="A371" s="5"/>
      <c r="B371" s="5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 spans="1:15" ht="15.75" customHeight="1" x14ac:dyDescent="0.25">
      <c r="A372" s="5"/>
      <c r="B372" s="5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 spans="1:15" ht="15.75" customHeight="1" x14ac:dyDescent="0.25">
      <c r="A373" s="5"/>
      <c r="B373" s="5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1:15" ht="15.75" customHeight="1" x14ac:dyDescent="0.25">
      <c r="A374" s="5"/>
      <c r="B374" s="5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 spans="1:15" ht="15.75" customHeight="1" x14ac:dyDescent="0.25">
      <c r="A375" s="5"/>
      <c r="B375" s="5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 spans="1:15" ht="15.75" customHeight="1" x14ac:dyDescent="0.25">
      <c r="A376" s="5"/>
      <c r="B376" s="5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 spans="1:15" ht="15.75" customHeight="1" x14ac:dyDescent="0.25">
      <c r="A377" s="5"/>
      <c r="B377" s="5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 spans="1:15" ht="15.75" customHeight="1" x14ac:dyDescent="0.25">
      <c r="A378" s="5"/>
      <c r="B378" s="5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 spans="1:15" ht="15.75" customHeight="1" x14ac:dyDescent="0.25">
      <c r="A379" s="5"/>
      <c r="B379" s="5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 spans="1:15" ht="15.75" customHeight="1" x14ac:dyDescent="0.25">
      <c r="A380" s="5"/>
      <c r="B380" s="5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 spans="1:15" ht="15.75" customHeight="1" x14ac:dyDescent="0.25">
      <c r="A381" s="5"/>
      <c r="B381" s="5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spans="1:15" ht="15.75" customHeight="1" x14ac:dyDescent="0.25">
      <c r="A382" s="5"/>
      <c r="B382" s="5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 spans="1:15" ht="15.75" customHeight="1" x14ac:dyDescent="0.25">
      <c r="A383" s="5"/>
      <c r="B383" s="5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 spans="1:15" ht="15.75" customHeight="1" x14ac:dyDescent="0.25">
      <c r="A384" s="5"/>
      <c r="B384" s="5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 spans="1:15" ht="15.75" customHeight="1" x14ac:dyDescent="0.25">
      <c r="A385" s="5"/>
      <c r="B385" s="5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 spans="1:15" ht="15.75" customHeight="1" x14ac:dyDescent="0.25">
      <c r="A386" s="5"/>
      <c r="B386" s="5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 spans="1:15" ht="15.75" customHeight="1" x14ac:dyDescent="0.25">
      <c r="A387" s="5"/>
      <c r="B387" s="5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 spans="1:15" ht="15.75" customHeight="1" x14ac:dyDescent="0.25">
      <c r="A388" s="5"/>
      <c r="B388" s="5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 spans="1:15" ht="15.75" customHeight="1" x14ac:dyDescent="0.25">
      <c r="A389" s="5"/>
      <c r="B389" s="5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 spans="1:15" ht="15.75" customHeight="1" x14ac:dyDescent="0.25">
      <c r="A390" s="5"/>
      <c r="B390" s="5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 spans="1:15" ht="15.75" customHeight="1" x14ac:dyDescent="0.25">
      <c r="A391" s="5"/>
      <c r="B391" s="5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 spans="1:15" ht="15.75" customHeight="1" x14ac:dyDescent="0.25">
      <c r="A392" s="5"/>
      <c r="B392" s="5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 spans="1:15" ht="15.75" customHeight="1" x14ac:dyDescent="0.25">
      <c r="A393" s="5"/>
      <c r="B393" s="5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spans="1:15" ht="15.75" customHeight="1" x14ac:dyDescent="0.25">
      <c r="A394" s="5"/>
      <c r="B394" s="5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 spans="1:15" ht="15.75" customHeight="1" x14ac:dyDescent="0.25">
      <c r="A395" s="5"/>
      <c r="B395" s="5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spans="1:15" ht="15.75" customHeight="1" x14ac:dyDescent="0.25">
      <c r="A396" s="5"/>
      <c r="B396" s="5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 spans="1:15" ht="15.75" customHeight="1" x14ac:dyDescent="0.25">
      <c r="A397" s="5"/>
      <c r="B397" s="5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spans="1:15" ht="15.75" customHeight="1" x14ac:dyDescent="0.25">
      <c r="A398" s="5"/>
      <c r="B398" s="5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 spans="1:15" ht="15.75" customHeight="1" x14ac:dyDescent="0.25">
      <c r="A399" s="5"/>
      <c r="B399" s="5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 spans="1:15" ht="15.75" customHeight="1" x14ac:dyDescent="0.25">
      <c r="A400" s="5"/>
      <c r="B400" s="5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 spans="1:15" ht="15.75" customHeight="1" x14ac:dyDescent="0.25">
      <c r="A401" s="5"/>
      <c r="B401" s="5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 spans="1:15" ht="15.75" customHeight="1" x14ac:dyDescent="0.25">
      <c r="A402" s="5"/>
      <c r="B402" s="5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 spans="1:15" ht="15.75" customHeight="1" x14ac:dyDescent="0.25">
      <c r="A403" s="5"/>
      <c r="B403" s="5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 spans="1:15" ht="15.75" customHeight="1" x14ac:dyDescent="0.25">
      <c r="A404" s="5"/>
      <c r="B404" s="5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 spans="1:15" ht="15.75" customHeight="1" x14ac:dyDescent="0.25">
      <c r="A405" s="5"/>
      <c r="B405" s="5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 spans="1:15" ht="15.75" customHeight="1" x14ac:dyDescent="0.25">
      <c r="A406" s="5"/>
      <c r="B406" s="5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 spans="1:15" ht="15.75" customHeight="1" x14ac:dyDescent="0.25">
      <c r="A407" s="5"/>
      <c r="B407" s="5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 spans="1:15" ht="15.75" customHeight="1" x14ac:dyDescent="0.25">
      <c r="A408" s="5"/>
      <c r="B408" s="5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 spans="1:15" ht="15.75" customHeight="1" x14ac:dyDescent="0.25">
      <c r="A409" s="5"/>
      <c r="B409" s="5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 spans="1:15" ht="15.75" customHeight="1" x14ac:dyDescent="0.25">
      <c r="A410" s="5"/>
      <c r="B410" s="5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 spans="1:15" ht="15.75" customHeight="1" x14ac:dyDescent="0.25">
      <c r="A411" s="5"/>
      <c r="B411" s="5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 spans="1:15" ht="15.75" customHeight="1" x14ac:dyDescent="0.25">
      <c r="A412" s="5"/>
      <c r="B412" s="5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 spans="1:15" ht="15.75" customHeight="1" x14ac:dyDescent="0.25">
      <c r="A413" s="5"/>
      <c r="B413" s="5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 spans="1:15" ht="15.75" customHeight="1" x14ac:dyDescent="0.25">
      <c r="A414" s="5"/>
      <c r="B414" s="5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 spans="1:15" ht="15.75" customHeight="1" x14ac:dyDescent="0.25">
      <c r="A415" s="5"/>
      <c r="B415" s="5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 spans="1:15" ht="15.75" customHeight="1" x14ac:dyDescent="0.25">
      <c r="A416" s="5"/>
      <c r="B416" s="5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 spans="1:15" ht="15.75" customHeight="1" x14ac:dyDescent="0.25">
      <c r="A417" s="5"/>
      <c r="B417" s="5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 spans="1:15" ht="15.75" customHeight="1" x14ac:dyDescent="0.25">
      <c r="A418" s="5"/>
      <c r="B418" s="5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 spans="1:15" ht="15.75" customHeight="1" x14ac:dyDescent="0.25">
      <c r="A419" s="5"/>
      <c r="B419" s="5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 spans="1:15" ht="15.75" customHeight="1" x14ac:dyDescent="0.25">
      <c r="A420" s="5"/>
      <c r="B420" s="5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 spans="1:15" ht="15.75" customHeight="1" x14ac:dyDescent="0.25">
      <c r="A421" s="5"/>
      <c r="B421" s="5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 spans="1:15" ht="15.75" customHeight="1" x14ac:dyDescent="0.25">
      <c r="A422" s="5"/>
      <c r="B422" s="5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 spans="1:15" ht="15.75" customHeight="1" x14ac:dyDescent="0.25">
      <c r="A423" s="5"/>
      <c r="B423" s="5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 spans="1:15" ht="15.75" customHeight="1" x14ac:dyDescent="0.25">
      <c r="A424" s="5"/>
      <c r="B424" s="5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 spans="1:15" ht="15.75" customHeight="1" x14ac:dyDescent="0.25">
      <c r="A425" s="5"/>
      <c r="B425" s="5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 spans="1:15" ht="15.75" customHeight="1" x14ac:dyDescent="0.25">
      <c r="A426" s="5"/>
      <c r="B426" s="5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 spans="1:15" ht="15.75" customHeight="1" x14ac:dyDescent="0.25">
      <c r="A427" s="5"/>
      <c r="B427" s="5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 spans="1:15" ht="15.75" customHeight="1" x14ac:dyDescent="0.25">
      <c r="A428" s="5"/>
      <c r="B428" s="5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 spans="1:15" ht="15.75" customHeight="1" x14ac:dyDescent="0.25">
      <c r="A429" s="5"/>
      <c r="B429" s="5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 spans="1:15" ht="15.75" customHeight="1" x14ac:dyDescent="0.25">
      <c r="A430" s="5"/>
      <c r="B430" s="5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 spans="1:15" ht="15.75" customHeight="1" x14ac:dyDescent="0.25">
      <c r="A431" s="5"/>
      <c r="B431" s="5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 spans="1:15" ht="15.75" customHeight="1" x14ac:dyDescent="0.25">
      <c r="A432" s="5"/>
      <c r="B432" s="5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 spans="1:15" ht="15.75" customHeight="1" x14ac:dyDescent="0.25">
      <c r="A433" s="5"/>
      <c r="B433" s="5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 spans="1:15" ht="15.75" customHeight="1" x14ac:dyDescent="0.25">
      <c r="A434" s="5"/>
      <c r="B434" s="5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 spans="1:15" ht="15.75" customHeight="1" x14ac:dyDescent="0.25">
      <c r="A435" s="5"/>
      <c r="B435" s="5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spans="1:15" ht="15.75" customHeight="1" x14ac:dyDescent="0.25">
      <c r="A436" s="5"/>
      <c r="B436" s="5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 spans="1:15" ht="15.75" customHeight="1" x14ac:dyDescent="0.25">
      <c r="A437" s="5"/>
      <c r="B437" s="5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 spans="1:15" ht="15.75" customHeight="1" x14ac:dyDescent="0.25">
      <c r="A438" s="5"/>
      <c r="B438" s="5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 spans="1:15" ht="15.75" customHeight="1" x14ac:dyDescent="0.25">
      <c r="A439" s="5"/>
      <c r="B439" s="5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 spans="1:15" ht="15.75" customHeight="1" x14ac:dyDescent="0.25">
      <c r="A440" s="5"/>
      <c r="B440" s="5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 spans="1:15" ht="15.75" customHeight="1" x14ac:dyDescent="0.25">
      <c r="A441" s="5"/>
      <c r="B441" s="5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 spans="1:15" ht="15.75" customHeight="1" x14ac:dyDescent="0.25">
      <c r="A442" s="5"/>
      <c r="B442" s="5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 spans="1:15" ht="15.75" customHeight="1" x14ac:dyDescent="0.25">
      <c r="A443" s="5"/>
      <c r="B443" s="5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 spans="1:15" ht="15.75" customHeight="1" x14ac:dyDescent="0.25">
      <c r="A444" s="5"/>
      <c r="B444" s="5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 spans="1:15" ht="15.75" customHeight="1" x14ac:dyDescent="0.25">
      <c r="A445" s="5"/>
      <c r="B445" s="5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 spans="1:15" ht="15.75" customHeight="1" x14ac:dyDescent="0.25">
      <c r="A446" s="5"/>
      <c r="B446" s="5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 spans="1:15" ht="15.75" customHeight="1" x14ac:dyDescent="0.25">
      <c r="A447" s="5"/>
      <c r="B447" s="5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 spans="1:15" ht="15.75" customHeight="1" x14ac:dyDescent="0.25">
      <c r="A448" s="5"/>
      <c r="B448" s="5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 spans="1:15" ht="15.75" customHeight="1" x14ac:dyDescent="0.25">
      <c r="A449" s="5"/>
      <c r="B449" s="5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 spans="1:15" ht="15.75" customHeight="1" x14ac:dyDescent="0.25">
      <c r="A450" s="5"/>
      <c r="B450" s="5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 spans="1:15" ht="15.75" customHeight="1" x14ac:dyDescent="0.25">
      <c r="A451" s="5"/>
      <c r="B451" s="5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 spans="1:15" ht="15.75" customHeight="1" x14ac:dyDescent="0.25">
      <c r="A452" s="5"/>
      <c r="B452" s="5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 spans="1:15" ht="15.75" customHeight="1" x14ac:dyDescent="0.25">
      <c r="A453" s="5"/>
      <c r="B453" s="5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 spans="1:15" ht="15.75" customHeight="1" x14ac:dyDescent="0.25">
      <c r="A454" s="5"/>
      <c r="B454" s="5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 spans="1:15" ht="15.75" customHeight="1" x14ac:dyDescent="0.25">
      <c r="A455" s="5"/>
      <c r="B455" s="5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 spans="1:15" ht="15.75" customHeight="1" x14ac:dyDescent="0.25">
      <c r="A456" s="5"/>
      <c r="B456" s="5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 spans="1:15" ht="15.75" customHeight="1" x14ac:dyDescent="0.25">
      <c r="A457" s="5"/>
      <c r="B457" s="5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spans="1:15" ht="15.75" customHeight="1" x14ac:dyDescent="0.25">
      <c r="A458" s="5"/>
      <c r="B458" s="5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 spans="1:15" ht="15.75" customHeight="1" x14ac:dyDescent="0.25">
      <c r="A459" s="5"/>
      <c r="B459" s="5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 spans="1:15" ht="15.75" customHeight="1" x14ac:dyDescent="0.25">
      <c r="A460" s="5"/>
      <c r="B460" s="5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 spans="1:15" ht="15.75" customHeight="1" x14ac:dyDescent="0.25">
      <c r="A461" s="5"/>
      <c r="B461" s="5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 spans="1:15" ht="15.75" customHeight="1" x14ac:dyDescent="0.25">
      <c r="A462" s="5"/>
      <c r="B462" s="5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 spans="1:15" ht="15.75" customHeight="1" x14ac:dyDescent="0.25">
      <c r="A463" s="5"/>
      <c r="B463" s="5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 spans="1:15" ht="15.75" customHeight="1" x14ac:dyDescent="0.25">
      <c r="A464" s="5"/>
      <c r="B464" s="5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 spans="1:15" ht="15.75" customHeight="1" x14ac:dyDescent="0.25">
      <c r="A465" s="5"/>
      <c r="B465" s="5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 spans="1:15" ht="15.75" customHeight="1" x14ac:dyDescent="0.25">
      <c r="A466" s="5"/>
      <c r="B466" s="5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 spans="1:15" ht="15.75" customHeight="1" x14ac:dyDescent="0.25">
      <c r="A467" s="5"/>
      <c r="B467" s="5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 spans="1:15" ht="15.75" customHeight="1" x14ac:dyDescent="0.25">
      <c r="A468" s="5"/>
      <c r="B468" s="5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 spans="1:15" ht="15.75" customHeight="1" x14ac:dyDescent="0.25">
      <c r="A469" s="5"/>
      <c r="B469" s="5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 spans="1:15" ht="15.75" customHeight="1" x14ac:dyDescent="0.25">
      <c r="A470" s="5"/>
      <c r="B470" s="5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spans="1:15" ht="15.75" customHeight="1" x14ac:dyDescent="0.25">
      <c r="A471" s="5"/>
      <c r="B471" s="5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 spans="1:15" ht="15.75" customHeight="1" x14ac:dyDescent="0.25">
      <c r="A472" s="5"/>
      <c r="B472" s="5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 spans="1:15" ht="15.75" customHeight="1" x14ac:dyDescent="0.25">
      <c r="A473" s="5"/>
      <c r="B473" s="5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 spans="1:15" ht="15.75" customHeight="1" x14ac:dyDescent="0.25">
      <c r="A474" s="5"/>
      <c r="B474" s="5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spans="1:15" ht="15.75" customHeight="1" x14ac:dyDescent="0.25">
      <c r="A475" s="5"/>
      <c r="B475" s="5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 spans="1:15" ht="15.75" customHeight="1" x14ac:dyDescent="0.25">
      <c r="A476" s="5"/>
      <c r="B476" s="5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 spans="1:15" ht="15.75" customHeight="1" x14ac:dyDescent="0.25">
      <c r="A477" s="5"/>
      <c r="B477" s="5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spans="1:15" ht="15.75" customHeight="1" x14ac:dyDescent="0.25">
      <c r="A478" s="5"/>
      <c r="B478" s="5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 spans="1:15" ht="15.75" customHeight="1" x14ac:dyDescent="0.25">
      <c r="A479" s="5"/>
      <c r="B479" s="5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 spans="1:15" ht="15.75" customHeight="1" x14ac:dyDescent="0.25">
      <c r="A480" s="5"/>
      <c r="B480" s="5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 spans="1:15" ht="15.75" customHeight="1" x14ac:dyDescent="0.25">
      <c r="A481" s="5"/>
      <c r="B481" s="5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 spans="1:15" ht="15.75" customHeight="1" x14ac:dyDescent="0.25">
      <c r="A482" s="5"/>
      <c r="B482" s="5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 spans="1:15" ht="15.75" customHeight="1" x14ac:dyDescent="0.25">
      <c r="A483" s="5"/>
      <c r="B483" s="5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 spans="1:15" ht="15.75" customHeight="1" x14ac:dyDescent="0.25">
      <c r="A484" s="5"/>
      <c r="B484" s="5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 spans="1:15" ht="15.75" customHeight="1" x14ac:dyDescent="0.25">
      <c r="A485" s="5"/>
      <c r="B485" s="5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 spans="1:15" ht="15.75" customHeight="1" x14ac:dyDescent="0.25">
      <c r="A486" s="5"/>
      <c r="B486" s="5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 spans="1:15" ht="15.75" customHeight="1" x14ac:dyDescent="0.25">
      <c r="A487" s="5"/>
      <c r="B487" s="5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 spans="1:15" ht="15.75" customHeight="1" x14ac:dyDescent="0.25">
      <c r="A488" s="5"/>
      <c r="B488" s="5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 spans="1:15" ht="15.75" customHeight="1" x14ac:dyDescent="0.25">
      <c r="A489" s="5"/>
      <c r="B489" s="5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 spans="1:15" ht="15.75" customHeight="1" x14ac:dyDescent="0.25">
      <c r="A490" s="5"/>
      <c r="B490" s="5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 spans="1:15" ht="15.75" customHeight="1" x14ac:dyDescent="0.25">
      <c r="A491" s="5"/>
      <c r="B491" s="5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 spans="1:15" ht="15.75" customHeight="1" x14ac:dyDescent="0.25">
      <c r="A492" s="5"/>
      <c r="B492" s="5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 spans="1:15" ht="15.75" customHeight="1" x14ac:dyDescent="0.25">
      <c r="A493" s="5"/>
      <c r="B493" s="5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 spans="1:15" ht="15.75" customHeight="1" x14ac:dyDescent="0.25">
      <c r="A494" s="5"/>
      <c r="B494" s="5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 spans="1:15" ht="15.75" customHeight="1" x14ac:dyDescent="0.25">
      <c r="A495" s="5"/>
      <c r="B495" s="5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 spans="1:15" ht="15.75" customHeight="1" x14ac:dyDescent="0.25">
      <c r="A496" s="5"/>
      <c r="B496" s="5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 spans="1:15" ht="15.75" customHeight="1" x14ac:dyDescent="0.25">
      <c r="A497" s="5"/>
      <c r="B497" s="5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 spans="1:15" ht="15.75" customHeight="1" x14ac:dyDescent="0.25">
      <c r="A498" s="5"/>
      <c r="B498" s="5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 spans="1:15" ht="15.75" customHeight="1" x14ac:dyDescent="0.25">
      <c r="A499" s="5"/>
      <c r="B499" s="5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spans="1:15" ht="15.75" customHeight="1" x14ac:dyDescent="0.25">
      <c r="A500" s="5"/>
      <c r="B500" s="5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 spans="1:15" ht="15.75" customHeight="1" x14ac:dyDescent="0.25">
      <c r="A501" s="5"/>
      <c r="B501" s="5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 spans="1:15" ht="15.75" customHeight="1" x14ac:dyDescent="0.25">
      <c r="A502" s="5"/>
      <c r="B502" s="5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 spans="1:15" ht="15.75" customHeight="1" x14ac:dyDescent="0.25">
      <c r="A503" s="5"/>
      <c r="B503" s="5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 spans="1:15" ht="15.75" customHeight="1" x14ac:dyDescent="0.25">
      <c r="A504" s="5"/>
      <c r="B504" s="5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 spans="1:15" ht="15.75" customHeight="1" x14ac:dyDescent="0.25">
      <c r="A505" s="5"/>
      <c r="B505" s="5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 spans="1:15" ht="15.75" customHeight="1" x14ac:dyDescent="0.25">
      <c r="A506" s="5"/>
      <c r="B506" s="5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 spans="1:15" ht="15.75" customHeight="1" x14ac:dyDescent="0.25">
      <c r="A507" s="5"/>
      <c r="B507" s="5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 spans="1:15" ht="15.75" customHeight="1" x14ac:dyDescent="0.25">
      <c r="A508" s="5"/>
      <c r="B508" s="5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 spans="1:15" ht="15.75" customHeight="1" x14ac:dyDescent="0.25">
      <c r="A509" s="5"/>
      <c r="B509" s="5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 spans="1:15" ht="15.75" customHeight="1" x14ac:dyDescent="0.25">
      <c r="A510" s="5"/>
      <c r="B510" s="5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 spans="1:15" ht="15.75" customHeight="1" x14ac:dyDescent="0.25">
      <c r="A511" s="5"/>
      <c r="B511" s="5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 spans="1:15" ht="15.75" customHeight="1" x14ac:dyDescent="0.25">
      <c r="A512" s="5"/>
      <c r="B512" s="5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 spans="1:15" ht="15.75" customHeight="1" x14ac:dyDescent="0.25">
      <c r="A513" s="5"/>
      <c r="B513" s="5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 spans="1:15" ht="15.75" customHeight="1" x14ac:dyDescent="0.25">
      <c r="A514" s="5"/>
      <c r="B514" s="5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 spans="1:15" ht="15.75" customHeight="1" x14ac:dyDescent="0.25">
      <c r="A515" s="5"/>
      <c r="B515" s="5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 spans="1:15" ht="15.75" customHeight="1" x14ac:dyDescent="0.25">
      <c r="A516" s="5"/>
      <c r="B516" s="5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 spans="1:15" ht="15.75" customHeight="1" x14ac:dyDescent="0.25">
      <c r="A517" s="5"/>
      <c r="B517" s="5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 spans="1:15" ht="15.75" customHeight="1" x14ac:dyDescent="0.25">
      <c r="A518" s="5"/>
      <c r="B518" s="5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 spans="1:15" ht="15.75" customHeight="1" x14ac:dyDescent="0.25">
      <c r="A519" s="5"/>
      <c r="B519" s="5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 spans="1:15" ht="15.75" customHeight="1" x14ac:dyDescent="0.25">
      <c r="A520" s="5"/>
      <c r="B520" s="5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 spans="1:15" ht="15.75" customHeight="1" x14ac:dyDescent="0.25">
      <c r="A521" s="5"/>
      <c r="B521" s="5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 spans="1:15" ht="15.75" customHeight="1" x14ac:dyDescent="0.25">
      <c r="A522" s="5"/>
      <c r="B522" s="5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 spans="1:15" ht="15.75" customHeight="1" x14ac:dyDescent="0.25">
      <c r="A523" s="5"/>
      <c r="B523" s="5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 spans="1:15" ht="15.75" customHeight="1" x14ac:dyDescent="0.25">
      <c r="A524" s="5"/>
      <c r="B524" s="5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 spans="1:15" ht="15.75" customHeight="1" x14ac:dyDescent="0.25">
      <c r="A525" s="5"/>
      <c r="B525" s="5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 spans="1:15" ht="15.75" customHeight="1" x14ac:dyDescent="0.25">
      <c r="A526" s="5"/>
      <c r="B526" s="5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 spans="1:15" ht="15.75" customHeight="1" x14ac:dyDescent="0.25">
      <c r="A527" s="5"/>
      <c r="B527" s="5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 spans="1:15" ht="15.75" customHeight="1" x14ac:dyDescent="0.25">
      <c r="A528" s="5"/>
      <c r="B528" s="5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 spans="1:15" ht="15.75" customHeight="1" x14ac:dyDescent="0.25">
      <c r="A529" s="5"/>
      <c r="B529" s="5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 spans="1:15" ht="15.75" customHeight="1" x14ac:dyDescent="0.25">
      <c r="A530" s="5"/>
      <c r="B530" s="5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 spans="1:15" ht="15.75" customHeight="1" x14ac:dyDescent="0.25">
      <c r="A531" s="5"/>
      <c r="B531" s="5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 spans="1:15" ht="15.75" customHeight="1" x14ac:dyDescent="0.25">
      <c r="A532" s="5"/>
      <c r="B532" s="5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 spans="1:15" ht="15.75" customHeight="1" x14ac:dyDescent="0.25">
      <c r="A533" s="5"/>
      <c r="B533" s="5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 spans="1:15" ht="15.75" customHeight="1" x14ac:dyDescent="0.25">
      <c r="A534" s="5"/>
      <c r="B534" s="5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 spans="1:15" ht="15.75" customHeight="1" x14ac:dyDescent="0.25">
      <c r="A535" s="5"/>
      <c r="B535" s="5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 spans="1:15" ht="15.75" customHeight="1" x14ac:dyDescent="0.25">
      <c r="A536" s="5"/>
      <c r="B536" s="5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 spans="1:15" ht="15.75" customHeight="1" x14ac:dyDescent="0.25">
      <c r="A537" s="5"/>
      <c r="B537" s="5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 spans="1:15" ht="15.75" customHeight="1" x14ac:dyDescent="0.25">
      <c r="A538" s="5"/>
      <c r="B538" s="5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 spans="1:15" ht="15.75" customHeight="1" x14ac:dyDescent="0.25">
      <c r="A539" s="5"/>
      <c r="B539" s="5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 spans="1:15" ht="15.75" customHeight="1" x14ac:dyDescent="0.25">
      <c r="A540" s="5"/>
      <c r="B540" s="5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 spans="1:15" ht="15.75" customHeight="1" x14ac:dyDescent="0.25">
      <c r="A541" s="5"/>
      <c r="B541" s="5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 spans="1:15" ht="15.75" customHeight="1" x14ac:dyDescent="0.25">
      <c r="A542" s="5"/>
      <c r="B542" s="5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 spans="1:15" ht="15.75" customHeight="1" x14ac:dyDescent="0.25">
      <c r="A543" s="5"/>
      <c r="B543" s="5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 spans="1:15" ht="15.75" customHeight="1" x14ac:dyDescent="0.25">
      <c r="A544" s="5"/>
      <c r="B544" s="5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 spans="1:15" ht="15.75" customHeight="1" x14ac:dyDescent="0.25">
      <c r="A545" s="5"/>
      <c r="B545" s="5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 spans="1:15" ht="15.75" customHeight="1" x14ac:dyDescent="0.25">
      <c r="A546" s="5"/>
      <c r="B546" s="5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 spans="1:15" ht="15.75" customHeight="1" x14ac:dyDescent="0.25">
      <c r="A547" s="5"/>
      <c r="B547" s="5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 spans="1:15" ht="15.75" customHeight="1" x14ac:dyDescent="0.25">
      <c r="A548" s="5"/>
      <c r="B548" s="5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 spans="1:15" ht="15.75" customHeight="1" x14ac:dyDescent="0.25">
      <c r="A549" s="5"/>
      <c r="B549" s="5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 spans="1:15" ht="15.75" customHeight="1" x14ac:dyDescent="0.25">
      <c r="A550" s="5"/>
      <c r="B550" s="5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 spans="1:15" ht="15.75" customHeight="1" x14ac:dyDescent="0.25">
      <c r="A551" s="5"/>
      <c r="B551" s="5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 spans="1:15" ht="15.75" customHeight="1" x14ac:dyDescent="0.25">
      <c r="A552" s="5"/>
      <c r="B552" s="5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 spans="1:15" ht="15.75" customHeight="1" x14ac:dyDescent="0.25">
      <c r="A553" s="5"/>
      <c r="B553" s="5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 spans="1:15" ht="15.75" customHeight="1" x14ac:dyDescent="0.25">
      <c r="A554" s="5"/>
      <c r="B554" s="5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 spans="1:15" ht="15.75" customHeight="1" x14ac:dyDescent="0.25">
      <c r="A555" s="5"/>
      <c r="B555" s="5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 spans="1:15" ht="15.75" customHeight="1" x14ac:dyDescent="0.25">
      <c r="A556" s="5"/>
      <c r="B556" s="5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 spans="1:15" ht="15.75" customHeight="1" x14ac:dyDescent="0.25">
      <c r="A557" s="5"/>
      <c r="B557" s="5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 spans="1:15" ht="15.75" customHeight="1" x14ac:dyDescent="0.25">
      <c r="A558" s="5"/>
      <c r="B558" s="5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 spans="1:15" ht="15.75" customHeight="1" x14ac:dyDescent="0.25">
      <c r="A559" s="5"/>
      <c r="B559" s="5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 spans="1:15" ht="15.75" customHeight="1" x14ac:dyDescent="0.25">
      <c r="A560" s="5"/>
      <c r="B560" s="5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 spans="1:15" ht="15.75" customHeight="1" x14ac:dyDescent="0.25">
      <c r="A561" s="5"/>
      <c r="B561" s="5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 spans="1:15" ht="15.75" customHeight="1" x14ac:dyDescent="0.25">
      <c r="A562" s="5"/>
      <c r="B562" s="5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 spans="1:15" ht="15.75" customHeight="1" x14ac:dyDescent="0.25">
      <c r="A563" s="5"/>
      <c r="B563" s="5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 spans="1:15" ht="15.75" customHeight="1" x14ac:dyDescent="0.25">
      <c r="A564" s="5"/>
      <c r="B564" s="5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 spans="1:15" ht="15.75" customHeight="1" x14ac:dyDescent="0.25">
      <c r="A565" s="5"/>
      <c r="B565" s="5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 spans="1:15" ht="15.75" customHeight="1" x14ac:dyDescent="0.25">
      <c r="A566" s="5"/>
      <c r="B566" s="5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 spans="1:15" ht="15.75" customHeight="1" x14ac:dyDescent="0.25">
      <c r="A567" s="5"/>
      <c r="B567" s="5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 spans="1:15" ht="15.75" customHeight="1" x14ac:dyDescent="0.25">
      <c r="A568" s="5"/>
      <c r="B568" s="5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 spans="1:15" ht="15.75" customHeight="1" x14ac:dyDescent="0.25">
      <c r="A569" s="5"/>
      <c r="B569" s="5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 spans="1:15" ht="15.75" customHeight="1" x14ac:dyDescent="0.25">
      <c r="A570" s="5"/>
      <c r="B570" s="5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 spans="1:15" ht="15.75" customHeight="1" x14ac:dyDescent="0.25">
      <c r="A571" s="5"/>
      <c r="B571" s="5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 spans="1:15" ht="15.75" customHeight="1" x14ac:dyDescent="0.25">
      <c r="A572" s="5"/>
      <c r="B572" s="5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 spans="1:15" ht="15.75" customHeight="1" x14ac:dyDescent="0.25">
      <c r="A573" s="5"/>
      <c r="B573" s="5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 spans="1:15" ht="15.75" customHeight="1" x14ac:dyDescent="0.25">
      <c r="A574" s="5"/>
      <c r="B574" s="5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 spans="1:15" ht="15.75" customHeight="1" x14ac:dyDescent="0.25">
      <c r="A575" s="5"/>
      <c r="B575" s="5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 spans="1:15" ht="15.75" customHeight="1" x14ac:dyDescent="0.25">
      <c r="A576" s="5"/>
      <c r="B576" s="5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 spans="1:15" ht="15.75" customHeight="1" x14ac:dyDescent="0.25">
      <c r="A577" s="5"/>
      <c r="B577" s="5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 spans="1:15" ht="15.75" customHeight="1" x14ac:dyDescent="0.25">
      <c r="A578" s="5"/>
      <c r="B578" s="5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 spans="1:15" ht="15.75" customHeight="1" x14ac:dyDescent="0.25">
      <c r="A579" s="5"/>
      <c r="B579" s="5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 spans="1:15" ht="15.75" customHeight="1" x14ac:dyDescent="0.25">
      <c r="A580" s="5"/>
      <c r="B580" s="5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 spans="1:15" ht="15.75" customHeight="1" x14ac:dyDescent="0.25">
      <c r="A581" s="5"/>
      <c r="B581" s="5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 spans="1:15" ht="15.75" customHeight="1" x14ac:dyDescent="0.25">
      <c r="A582" s="5"/>
      <c r="B582" s="5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 spans="1:15" ht="15.75" customHeight="1" x14ac:dyDescent="0.25">
      <c r="A583" s="5"/>
      <c r="B583" s="5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 spans="1:15" ht="15.75" customHeight="1" x14ac:dyDescent="0.25">
      <c r="A584" s="5"/>
      <c r="B584" s="5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 spans="1:15" ht="15.75" customHeight="1" x14ac:dyDescent="0.25">
      <c r="A585" s="5"/>
      <c r="B585" s="5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 spans="1:15" ht="15.75" customHeight="1" x14ac:dyDescent="0.25">
      <c r="A586" s="5"/>
      <c r="B586" s="5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 spans="1:15" ht="15.75" customHeight="1" x14ac:dyDescent="0.25">
      <c r="A587" s="5"/>
      <c r="B587" s="5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 spans="1:15" ht="15.75" customHeight="1" x14ac:dyDescent="0.25">
      <c r="A588" s="5"/>
      <c r="B588" s="5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 spans="1:15" ht="15.75" customHeight="1" x14ac:dyDescent="0.25">
      <c r="A589" s="5"/>
      <c r="B589" s="5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 spans="1:15" ht="15.75" customHeight="1" x14ac:dyDescent="0.25">
      <c r="A590" s="5"/>
      <c r="B590" s="5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 spans="1:15" ht="15.75" customHeight="1" x14ac:dyDescent="0.25">
      <c r="A591" s="5"/>
      <c r="B591" s="5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 spans="1:15" ht="15.75" customHeight="1" x14ac:dyDescent="0.25">
      <c r="A592" s="5"/>
      <c r="B592" s="5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 spans="1:15" ht="15.75" customHeight="1" x14ac:dyDescent="0.25">
      <c r="A593" s="5"/>
      <c r="B593" s="5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 spans="1:15" ht="15.75" customHeight="1" x14ac:dyDescent="0.25">
      <c r="A594" s="5"/>
      <c r="B594" s="5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 spans="1:15" ht="15.75" customHeight="1" x14ac:dyDescent="0.25">
      <c r="A595" s="5"/>
      <c r="B595" s="5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 spans="1:15" ht="15.75" customHeight="1" x14ac:dyDescent="0.25">
      <c r="A596" s="5"/>
      <c r="B596" s="5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 spans="1:15" ht="15.75" customHeight="1" x14ac:dyDescent="0.25">
      <c r="A597" s="5"/>
      <c r="B597" s="5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 spans="1:15" ht="15.75" customHeight="1" x14ac:dyDescent="0.25">
      <c r="A598" s="5"/>
      <c r="B598" s="5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 spans="1:15" ht="15.75" customHeight="1" x14ac:dyDescent="0.25">
      <c r="A599" s="5"/>
      <c r="B599" s="5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 spans="1:15" ht="15.75" customHeight="1" x14ac:dyDescent="0.25">
      <c r="A600" s="5"/>
      <c r="B600" s="5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 spans="1:15" ht="15.75" customHeight="1" x14ac:dyDescent="0.25">
      <c r="A601" s="5"/>
      <c r="B601" s="5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 spans="1:15" ht="15.75" customHeight="1" x14ac:dyDescent="0.25">
      <c r="A602" s="5"/>
      <c r="B602" s="5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 spans="1:15" ht="15.75" customHeight="1" x14ac:dyDescent="0.25">
      <c r="A603" s="5"/>
      <c r="B603" s="5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 spans="1:15" ht="15.75" customHeight="1" x14ac:dyDescent="0.25">
      <c r="A604" s="5"/>
      <c r="B604" s="5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 spans="1:15" ht="15.75" customHeight="1" x14ac:dyDescent="0.25">
      <c r="A605" s="5"/>
      <c r="B605" s="5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 spans="1:15" ht="15.75" customHeight="1" x14ac:dyDescent="0.25">
      <c r="A606" s="5"/>
      <c r="B606" s="5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 spans="1:15" ht="15.75" customHeight="1" x14ac:dyDescent="0.25">
      <c r="A607" s="5"/>
      <c r="B607" s="5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 spans="1:15" ht="15.75" customHeight="1" x14ac:dyDescent="0.25">
      <c r="A608" s="5"/>
      <c r="B608" s="5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 spans="1:15" ht="15.75" customHeight="1" x14ac:dyDescent="0.25">
      <c r="A609" s="5"/>
      <c r="B609" s="5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 spans="1:15" ht="15.75" customHeight="1" x14ac:dyDescent="0.25">
      <c r="A610" s="5"/>
      <c r="B610" s="5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 spans="1:15" ht="15.75" customHeight="1" x14ac:dyDescent="0.25">
      <c r="A611" s="5"/>
      <c r="B611" s="5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 spans="1:15" ht="15.75" customHeight="1" x14ac:dyDescent="0.25">
      <c r="A612" s="5"/>
      <c r="B612" s="5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 spans="1:15" ht="15.75" customHeight="1" x14ac:dyDescent="0.25">
      <c r="A613" s="5"/>
      <c r="B613" s="5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 spans="1:15" ht="15.75" customHeight="1" x14ac:dyDescent="0.25">
      <c r="A614" s="5"/>
      <c r="B614" s="5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 spans="1:15" ht="15.75" customHeight="1" x14ac:dyDescent="0.25">
      <c r="A615" s="5"/>
      <c r="B615" s="5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 spans="1:15" ht="15.75" customHeight="1" x14ac:dyDescent="0.25">
      <c r="A616" s="5"/>
      <c r="B616" s="5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 spans="1:15" ht="15.75" customHeight="1" x14ac:dyDescent="0.25">
      <c r="A617" s="5"/>
      <c r="B617" s="5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 spans="1:15" ht="15.75" customHeight="1" x14ac:dyDescent="0.25">
      <c r="A618" s="5"/>
      <c r="B618" s="5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 spans="1:15" ht="15.75" customHeight="1" x14ac:dyDescent="0.25">
      <c r="A619" s="5"/>
      <c r="B619" s="5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 spans="1:15" ht="15.75" customHeight="1" x14ac:dyDescent="0.25">
      <c r="A620" s="5"/>
      <c r="B620" s="5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 spans="1:15" ht="15.75" customHeight="1" x14ac:dyDescent="0.25">
      <c r="A621" s="5"/>
      <c r="B621" s="5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 spans="1:15" ht="15.75" customHeight="1" x14ac:dyDescent="0.25">
      <c r="A622" s="5"/>
      <c r="B622" s="5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 spans="1:15" ht="15.75" customHeight="1" x14ac:dyDescent="0.25">
      <c r="A623" s="5"/>
      <c r="B623" s="5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 spans="1:15" ht="15.75" customHeight="1" x14ac:dyDescent="0.25">
      <c r="A624" s="5"/>
      <c r="B624" s="5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 spans="1:15" ht="15.75" customHeight="1" x14ac:dyDescent="0.25">
      <c r="A625" s="5"/>
      <c r="B625" s="5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 spans="1:15" ht="15.75" customHeight="1" x14ac:dyDescent="0.25">
      <c r="A626" s="5"/>
      <c r="B626" s="5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 spans="1:15" ht="15.75" customHeight="1" x14ac:dyDescent="0.25">
      <c r="A627" s="5"/>
      <c r="B627" s="5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 spans="1:15" ht="15.75" customHeight="1" x14ac:dyDescent="0.25">
      <c r="A628" s="5"/>
      <c r="B628" s="5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 spans="1:15" ht="15.75" customHeight="1" x14ac:dyDescent="0.25">
      <c r="A629" s="5"/>
      <c r="B629" s="5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 spans="1:15" ht="15.75" customHeight="1" x14ac:dyDescent="0.25">
      <c r="A630" s="5"/>
      <c r="B630" s="5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 spans="1:15" ht="15.75" customHeight="1" x14ac:dyDescent="0.25">
      <c r="A631" s="5"/>
      <c r="B631" s="5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 spans="1:15" ht="15.75" customHeight="1" x14ac:dyDescent="0.25">
      <c r="A632" s="5"/>
      <c r="B632" s="5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 spans="1:15" ht="15.75" customHeight="1" x14ac:dyDescent="0.25">
      <c r="A633" s="5"/>
      <c r="B633" s="5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 spans="1:15" ht="15.75" customHeight="1" x14ac:dyDescent="0.25">
      <c r="A634" s="5"/>
      <c r="B634" s="5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 spans="1:15" ht="15.75" customHeight="1" x14ac:dyDescent="0.25">
      <c r="A635" s="5"/>
      <c r="B635" s="5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 spans="1:15" ht="15.75" customHeight="1" x14ac:dyDescent="0.25">
      <c r="A636" s="5"/>
      <c r="B636" s="5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 spans="1:15" ht="15.75" customHeight="1" x14ac:dyDescent="0.25">
      <c r="A637" s="5"/>
      <c r="B637" s="5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 spans="1:15" ht="15.75" customHeight="1" x14ac:dyDescent="0.25">
      <c r="A638" s="5"/>
      <c r="B638" s="5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 spans="1:15" ht="15.75" customHeight="1" x14ac:dyDescent="0.25">
      <c r="A639" s="5"/>
      <c r="B639" s="5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 spans="1:15" ht="15.75" customHeight="1" x14ac:dyDescent="0.25">
      <c r="A640" s="5"/>
      <c r="B640" s="5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 spans="1:15" ht="15.75" customHeight="1" x14ac:dyDescent="0.25">
      <c r="A641" s="5"/>
      <c r="B641" s="5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 spans="1:15" ht="15.75" customHeight="1" x14ac:dyDescent="0.25">
      <c r="A642" s="5"/>
      <c r="B642" s="5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 spans="1:15" ht="15.75" customHeight="1" x14ac:dyDescent="0.25">
      <c r="A643" s="5"/>
      <c r="B643" s="5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 spans="1:15" ht="15.75" customHeight="1" x14ac:dyDescent="0.25">
      <c r="A644" s="5"/>
      <c r="B644" s="5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 spans="1:15" ht="15.75" customHeight="1" x14ac:dyDescent="0.25">
      <c r="A645" s="5"/>
      <c r="B645" s="5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 spans="1:15" ht="15.75" customHeight="1" x14ac:dyDescent="0.25">
      <c r="A646" s="5"/>
      <c r="B646" s="5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 spans="1:15" ht="15.75" customHeight="1" x14ac:dyDescent="0.25">
      <c r="A647" s="5"/>
      <c r="B647" s="5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 spans="1:15" ht="15.75" customHeight="1" x14ac:dyDescent="0.25">
      <c r="A648" s="5"/>
      <c r="B648" s="5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 spans="1:15" ht="15.75" customHeight="1" x14ac:dyDescent="0.25">
      <c r="A649" s="5"/>
      <c r="B649" s="5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 spans="1:15" ht="15.75" customHeight="1" x14ac:dyDescent="0.25">
      <c r="A650" s="5"/>
      <c r="B650" s="5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 spans="1:15" ht="15.75" customHeight="1" x14ac:dyDescent="0.25">
      <c r="A651" s="5"/>
      <c r="B651" s="5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 spans="1:15" ht="15.75" customHeight="1" x14ac:dyDescent="0.25">
      <c r="A652" s="5"/>
      <c r="B652" s="5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 spans="1:15" ht="15.75" customHeight="1" x14ac:dyDescent="0.25">
      <c r="A653" s="5"/>
      <c r="B653" s="5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 spans="1:15" ht="15.75" customHeight="1" x14ac:dyDescent="0.25">
      <c r="A654" s="5"/>
      <c r="B654" s="5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 spans="1:15" ht="15.75" customHeight="1" x14ac:dyDescent="0.25">
      <c r="A655" s="5"/>
      <c r="B655" s="5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 spans="1:15" ht="15.75" customHeight="1" x14ac:dyDescent="0.25">
      <c r="A656" s="5"/>
      <c r="B656" s="5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 spans="1:15" ht="15.75" customHeight="1" x14ac:dyDescent="0.25">
      <c r="A657" s="5"/>
      <c r="B657" s="5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 spans="1:15" ht="15.75" customHeight="1" x14ac:dyDescent="0.25">
      <c r="A658" s="5"/>
      <c r="B658" s="5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 spans="1:15" ht="15.75" customHeight="1" x14ac:dyDescent="0.25">
      <c r="A659" s="5"/>
      <c r="B659" s="5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 spans="1:15" ht="15.75" customHeight="1" x14ac:dyDescent="0.25">
      <c r="A660" s="5"/>
      <c r="B660" s="5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 spans="1:15" ht="15.75" customHeight="1" x14ac:dyDescent="0.25">
      <c r="A661" s="5"/>
      <c r="B661" s="5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 spans="1:15" ht="15.75" customHeight="1" x14ac:dyDescent="0.25">
      <c r="A662" s="5"/>
      <c r="B662" s="5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 spans="1:15" ht="15.75" customHeight="1" x14ac:dyDescent="0.25">
      <c r="A663" s="5"/>
      <c r="B663" s="5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 spans="1:15" ht="15.75" customHeight="1" x14ac:dyDescent="0.25">
      <c r="A664" s="5"/>
      <c r="B664" s="5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 spans="1:15" ht="15.75" customHeight="1" x14ac:dyDescent="0.25">
      <c r="A665" s="5"/>
      <c r="B665" s="5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 spans="1:15" ht="15.75" customHeight="1" x14ac:dyDescent="0.25">
      <c r="A666" s="5"/>
      <c r="B666" s="5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 spans="1:15" ht="15.75" customHeight="1" x14ac:dyDescent="0.25">
      <c r="A667" s="5"/>
      <c r="B667" s="5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 spans="1:15" ht="15.75" customHeight="1" x14ac:dyDescent="0.25">
      <c r="A668" s="5"/>
      <c r="B668" s="5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 spans="1:15" ht="15.75" customHeight="1" x14ac:dyDescent="0.25">
      <c r="A669" s="5"/>
      <c r="B669" s="5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 spans="1:15" ht="15.75" customHeight="1" x14ac:dyDescent="0.25">
      <c r="A670" s="5"/>
      <c r="B670" s="5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 spans="1:15" ht="15.75" customHeight="1" x14ac:dyDescent="0.25">
      <c r="A671" s="5"/>
      <c r="B671" s="5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 spans="1:15" ht="15.75" customHeight="1" x14ac:dyDescent="0.25">
      <c r="A672" s="5"/>
      <c r="B672" s="5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 spans="1:15" ht="15.75" customHeight="1" x14ac:dyDescent="0.25">
      <c r="A673" s="5"/>
      <c r="B673" s="5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 spans="1:15" ht="15.75" customHeight="1" x14ac:dyDescent="0.25">
      <c r="A674" s="5"/>
      <c r="B674" s="5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 spans="1:15" ht="15.75" customHeight="1" x14ac:dyDescent="0.25">
      <c r="A675" s="5"/>
      <c r="B675" s="5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 spans="1:15" ht="15.75" customHeight="1" x14ac:dyDescent="0.25">
      <c r="A676" s="5"/>
      <c r="B676" s="5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 spans="1:15" ht="15.75" customHeight="1" x14ac:dyDescent="0.25">
      <c r="A677" s="5"/>
      <c r="B677" s="5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 spans="1:15" ht="15.75" customHeight="1" x14ac:dyDescent="0.25">
      <c r="A678" s="5"/>
      <c r="B678" s="5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 spans="1:15" ht="15.75" customHeight="1" x14ac:dyDescent="0.25">
      <c r="A679" s="5"/>
      <c r="B679" s="5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 spans="1:15" ht="15.75" customHeight="1" x14ac:dyDescent="0.25">
      <c r="A680" s="5"/>
      <c r="B680" s="5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 spans="1:15" ht="15.75" customHeight="1" x14ac:dyDescent="0.25">
      <c r="A681" s="5"/>
      <c r="B681" s="5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 spans="1:15" ht="15.75" customHeight="1" x14ac:dyDescent="0.25">
      <c r="A682" s="5"/>
      <c r="B682" s="5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 spans="1:15" ht="15.75" customHeight="1" x14ac:dyDescent="0.25">
      <c r="A683" s="5"/>
      <c r="B683" s="5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 spans="1:15" ht="15.75" customHeight="1" x14ac:dyDescent="0.25">
      <c r="A684" s="5"/>
      <c r="B684" s="5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 spans="1:15" ht="15.75" customHeight="1" x14ac:dyDescent="0.25">
      <c r="A685" s="5"/>
      <c r="B685" s="5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 spans="1:15" ht="15.75" customHeight="1" x14ac:dyDescent="0.25">
      <c r="A686" s="5"/>
      <c r="B686" s="5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 spans="1:15" ht="15.75" customHeight="1" x14ac:dyDescent="0.25">
      <c r="A687" s="5"/>
      <c r="B687" s="5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 spans="1:15" ht="15.75" customHeight="1" x14ac:dyDescent="0.25">
      <c r="A688" s="5"/>
      <c r="B688" s="5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 spans="1:15" ht="15.75" customHeight="1" x14ac:dyDescent="0.25">
      <c r="A689" s="5"/>
      <c r="B689" s="5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 spans="1:15" ht="15.75" customHeight="1" x14ac:dyDescent="0.25">
      <c r="A690" s="5"/>
      <c r="B690" s="5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 spans="1:15" ht="15.75" customHeight="1" x14ac:dyDescent="0.25">
      <c r="A691" s="5"/>
      <c r="B691" s="5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 spans="1:15" ht="15.75" customHeight="1" x14ac:dyDescent="0.25">
      <c r="A692" s="5"/>
      <c r="B692" s="5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 spans="1:15" ht="15.75" customHeight="1" x14ac:dyDescent="0.25">
      <c r="A693" s="5"/>
      <c r="B693" s="5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 spans="1:15" ht="15.75" customHeight="1" x14ac:dyDescent="0.25">
      <c r="A694" s="5"/>
      <c r="B694" s="5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 spans="1:15" ht="15.75" customHeight="1" x14ac:dyDescent="0.25">
      <c r="A695" s="5"/>
      <c r="B695" s="5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 spans="1:15" ht="15.75" customHeight="1" x14ac:dyDescent="0.25">
      <c r="A696" s="5"/>
      <c r="B696" s="5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 spans="1:15" ht="15.75" customHeight="1" x14ac:dyDescent="0.25">
      <c r="A697" s="5"/>
      <c r="B697" s="5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 spans="1:15" ht="15.75" customHeight="1" x14ac:dyDescent="0.25">
      <c r="A698" s="5"/>
      <c r="B698" s="5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 spans="1:15" ht="15.75" customHeight="1" x14ac:dyDescent="0.25">
      <c r="A699" s="5"/>
      <c r="B699" s="5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 spans="1:15" ht="15.75" customHeight="1" x14ac:dyDescent="0.25">
      <c r="A700" s="5"/>
      <c r="B700" s="5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 spans="1:15" ht="15.75" customHeight="1" x14ac:dyDescent="0.25">
      <c r="A701" s="5"/>
      <c r="B701" s="5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 spans="1:15" ht="15.75" customHeight="1" x14ac:dyDescent="0.25">
      <c r="A702" s="5"/>
      <c r="B702" s="5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 spans="1:15" ht="15.75" customHeight="1" x14ac:dyDescent="0.25">
      <c r="A703" s="5"/>
      <c r="B703" s="5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 spans="1:15" ht="15.75" customHeight="1" x14ac:dyDescent="0.25">
      <c r="A704" s="5"/>
      <c r="B704" s="5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 spans="1:15" ht="15.75" customHeight="1" x14ac:dyDescent="0.25">
      <c r="A705" s="5"/>
      <c r="B705" s="5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 spans="1:15" ht="15.75" customHeight="1" x14ac:dyDescent="0.25">
      <c r="A706" s="5"/>
      <c r="B706" s="5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 spans="1:15" ht="15.75" customHeight="1" x14ac:dyDescent="0.25">
      <c r="A707" s="5"/>
      <c r="B707" s="5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 spans="1:15" ht="15.75" customHeight="1" x14ac:dyDescent="0.25">
      <c r="A708" s="5"/>
      <c r="B708" s="5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 spans="1:15" ht="15.75" customHeight="1" x14ac:dyDescent="0.25">
      <c r="A709" s="5"/>
      <c r="B709" s="5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 spans="1:15" ht="15.75" customHeight="1" x14ac:dyDescent="0.25">
      <c r="A710" s="5"/>
      <c r="B710" s="5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 spans="1:15" ht="15.75" customHeight="1" x14ac:dyDescent="0.25">
      <c r="A711" s="5"/>
      <c r="B711" s="5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 spans="1:15" ht="15.75" customHeight="1" x14ac:dyDescent="0.25">
      <c r="A712" s="5"/>
      <c r="B712" s="5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 spans="1:15" ht="15.75" customHeight="1" x14ac:dyDescent="0.25">
      <c r="A713" s="5"/>
      <c r="B713" s="5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 spans="1:15" ht="15.75" customHeight="1" x14ac:dyDescent="0.25">
      <c r="A714" s="5"/>
      <c r="B714" s="5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 spans="1:15" ht="15.75" customHeight="1" x14ac:dyDescent="0.25">
      <c r="A715" s="5"/>
      <c r="B715" s="5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 spans="1:15" ht="15.75" customHeight="1" x14ac:dyDescent="0.25">
      <c r="A716" s="5"/>
      <c r="B716" s="5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 spans="1:15" ht="15.75" customHeight="1" x14ac:dyDescent="0.25">
      <c r="A717" s="5"/>
      <c r="B717" s="5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 spans="1:15" ht="15.75" customHeight="1" x14ac:dyDescent="0.25">
      <c r="A718" s="5"/>
      <c r="B718" s="5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 spans="1:15" ht="15.75" customHeight="1" x14ac:dyDescent="0.25">
      <c r="A719" s="5"/>
      <c r="B719" s="5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 spans="1:15" ht="15.75" customHeight="1" x14ac:dyDescent="0.25">
      <c r="A720" s="5"/>
      <c r="B720" s="5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 spans="1:15" ht="15.75" customHeight="1" x14ac:dyDescent="0.25">
      <c r="A721" s="5"/>
      <c r="B721" s="5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 spans="1:15" ht="15.75" customHeight="1" x14ac:dyDescent="0.25">
      <c r="A722" s="5"/>
      <c r="B722" s="5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 spans="1:15" ht="15.75" customHeight="1" x14ac:dyDescent="0.25">
      <c r="A723" s="5"/>
      <c r="B723" s="5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 spans="1:15" ht="15.75" customHeight="1" x14ac:dyDescent="0.25">
      <c r="A724" s="5"/>
      <c r="B724" s="5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 spans="1:15" ht="15.75" customHeight="1" x14ac:dyDescent="0.25">
      <c r="A725" s="5"/>
      <c r="B725" s="5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 spans="1:15" ht="15.75" customHeight="1" x14ac:dyDescent="0.25">
      <c r="A726" s="5"/>
      <c r="B726" s="5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 spans="1:15" ht="15.75" customHeight="1" x14ac:dyDescent="0.25">
      <c r="A727" s="5"/>
      <c r="B727" s="5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 spans="1:15" ht="15.75" customHeight="1" x14ac:dyDescent="0.25">
      <c r="A728" s="5"/>
      <c r="B728" s="5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 spans="1:15" ht="15.75" customHeight="1" x14ac:dyDescent="0.25">
      <c r="A729" s="5"/>
      <c r="B729" s="5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 spans="1:15" ht="15.75" customHeight="1" x14ac:dyDescent="0.25">
      <c r="A730" s="5"/>
      <c r="B730" s="5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 spans="1:15" ht="15.75" customHeight="1" x14ac:dyDescent="0.25">
      <c r="A731" s="5"/>
      <c r="B731" s="5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 spans="1:15" ht="15.75" customHeight="1" x14ac:dyDescent="0.25">
      <c r="A732" s="5"/>
      <c r="B732" s="5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 spans="1:15" ht="15.75" customHeight="1" x14ac:dyDescent="0.25">
      <c r="A733" s="5"/>
      <c r="B733" s="5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 spans="1:15" ht="15.75" customHeight="1" x14ac:dyDescent="0.25">
      <c r="A734" s="5"/>
      <c r="B734" s="5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 spans="1:15" ht="15.75" customHeight="1" x14ac:dyDescent="0.25">
      <c r="A735" s="5"/>
      <c r="B735" s="5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 spans="1:15" ht="15.75" customHeight="1" x14ac:dyDescent="0.25">
      <c r="A736" s="5"/>
      <c r="B736" s="5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 spans="1:15" ht="15.75" customHeight="1" x14ac:dyDescent="0.25">
      <c r="A737" s="5"/>
      <c r="B737" s="5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 spans="1:15" ht="15.75" customHeight="1" x14ac:dyDescent="0.25">
      <c r="A738" s="5"/>
      <c r="B738" s="5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 spans="1:15" ht="15.75" customHeight="1" x14ac:dyDescent="0.25">
      <c r="A739" s="5"/>
      <c r="B739" s="5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 spans="1:15" ht="15.75" customHeight="1" x14ac:dyDescent="0.25">
      <c r="A740" s="5"/>
      <c r="B740" s="5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 spans="1:15" ht="15.75" customHeight="1" x14ac:dyDescent="0.25">
      <c r="A741" s="5"/>
      <c r="B741" s="5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 spans="1:15" ht="15.75" customHeight="1" x14ac:dyDescent="0.25">
      <c r="A742" s="5"/>
      <c r="B742" s="5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 spans="1:15" ht="15.75" customHeight="1" x14ac:dyDescent="0.25">
      <c r="A743" s="5"/>
      <c r="B743" s="5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 spans="1:15" ht="15.75" customHeight="1" x14ac:dyDescent="0.25">
      <c r="A744" s="5"/>
      <c r="B744" s="5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 spans="1:15" ht="15.75" customHeight="1" x14ac:dyDescent="0.25">
      <c r="A745" s="5"/>
      <c r="B745" s="5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 spans="1:15" ht="15.75" customHeight="1" x14ac:dyDescent="0.25">
      <c r="A746" s="5"/>
      <c r="B746" s="5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 spans="1:15" ht="15.75" customHeight="1" x14ac:dyDescent="0.25">
      <c r="A747" s="5"/>
      <c r="B747" s="5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 spans="1:15" ht="15.75" customHeight="1" x14ac:dyDescent="0.25">
      <c r="A748" s="5"/>
      <c r="B748" s="5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 spans="1:15" ht="15.75" customHeight="1" x14ac:dyDescent="0.25">
      <c r="A749" s="5"/>
      <c r="B749" s="5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 spans="1:15" ht="15.75" customHeight="1" x14ac:dyDescent="0.25">
      <c r="A750" s="5"/>
      <c r="B750" s="5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 spans="1:15" ht="15.75" customHeight="1" x14ac:dyDescent="0.25">
      <c r="A751" s="5"/>
      <c r="B751" s="5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 spans="1:15" ht="15.75" customHeight="1" x14ac:dyDescent="0.25">
      <c r="A752" s="5"/>
      <c r="B752" s="5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 spans="1:15" ht="15.75" customHeight="1" x14ac:dyDescent="0.25">
      <c r="A753" s="5"/>
      <c r="B753" s="5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 spans="1:15" ht="15.75" customHeight="1" x14ac:dyDescent="0.25">
      <c r="A754" s="5"/>
      <c r="B754" s="5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 spans="1:15" ht="15.75" customHeight="1" x14ac:dyDescent="0.25">
      <c r="A755" s="5"/>
      <c r="B755" s="5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 spans="1:15" ht="15.75" customHeight="1" x14ac:dyDescent="0.25">
      <c r="A756" s="5"/>
      <c r="B756" s="5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 spans="1:15" ht="15.75" customHeight="1" x14ac:dyDescent="0.25">
      <c r="A757" s="5"/>
      <c r="B757" s="5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 spans="1:15" ht="15.75" customHeight="1" x14ac:dyDescent="0.25">
      <c r="A758" s="5"/>
      <c r="B758" s="5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 spans="1:15" ht="15.75" customHeight="1" x14ac:dyDescent="0.25">
      <c r="A759" s="5"/>
      <c r="B759" s="5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 spans="1:15" ht="15.75" customHeight="1" x14ac:dyDescent="0.25">
      <c r="A760" s="5"/>
      <c r="B760" s="5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 spans="1:15" ht="15.75" customHeight="1" x14ac:dyDescent="0.25">
      <c r="A761" s="5"/>
      <c r="B761" s="5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 spans="1:15" ht="15.75" customHeight="1" x14ac:dyDescent="0.25">
      <c r="A762" s="5"/>
      <c r="B762" s="5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 spans="1:15" ht="15.75" customHeight="1" x14ac:dyDescent="0.25">
      <c r="A763" s="5"/>
      <c r="B763" s="5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 spans="1:15" ht="15.75" customHeight="1" x14ac:dyDescent="0.25">
      <c r="A764" s="5"/>
      <c r="B764" s="5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 spans="1:15" ht="15.75" customHeight="1" x14ac:dyDescent="0.25">
      <c r="A765" s="5"/>
      <c r="B765" s="5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 spans="1:15" ht="15.75" customHeight="1" x14ac:dyDescent="0.25">
      <c r="A766" s="5"/>
      <c r="B766" s="5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 spans="1:15" ht="15.75" customHeight="1" x14ac:dyDescent="0.25">
      <c r="A767" s="5"/>
      <c r="B767" s="5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 spans="1:15" ht="15.75" customHeight="1" x14ac:dyDescent="0.25">
      <c r="A768" s="5"/>
      <c r="B768" s="5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 spans="1:15" ht="15.75" customHeight="1" x14ac:dyDescent="0.25">
      <c r="A769" s="5"/>
      <c r="B769" s="5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 spans="1:15" ht="15.75" customHeight="1" x14ac:dyDescent="0.25">
      <c r="A770" s="5"/>
      <c r="B770" s="5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 spans="1:15" ht="15.75" customHeight="1" x14ac:dyDescent="0.25">
      <c r="A771" s="5"/>
      <c r="B771" s="5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 spans="1:15" ht="15.75" customHeight="1" x14ac:dyDescent="0.25">
      <c r="A772" s="5"/>
      <c r="B772" s="5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 spans="1:15" ht="15.75" customHeight="1" x14ac:dyDescent="0.25">
      <c r="A773" s="5"/>
      <c r="B773" s="5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 spans="1:15" ht="15.75" customHeight="1" x14ac:dyDescent="0.25">
      <c r="A774" s="5"/>
      <c r="B774" s="5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 spans="1:15" ht="15.75" customHeight="1" x14ac:dyDescent="0.25">
      <c r="A775" s="5"/>
      <c r="B775" s="5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 spans="1:15" ht="15.75" customHeight="1" x14ac:dyDescent="0.25">
      <c r="A776" s="5"/>
      <c r="B776" s="5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 spans="1:15" ht="15.75" customHeight="1" x14ac:dyDescent="0.25">
      <c r="A777" s="5"/>
      <c r="B777" s="5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 spans="1:15" ht="15.75" customHeight="1" x14ac:dyDescent="0.25">
      <c r="A778" s="5"/>
      <c r="B778" s="5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 spans="1:15" ht="15.75" customHeight="1" x14ac:dyDescent="0.25">
      <c r="A779" s="5"/>
      <c r="B779" s="5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 spans="1:15" ht="15.75" customHeight="1" x14ac:dyDescent="0.25">
      <c r="A780" s="5"/>
      <c r="B780" s="5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 spans="1:15" ht="15.75" customHeight="1" x14ac:dyDescent="0.25">
      <c r="A781" s="5"/>
      <c r="B781" s="5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 spans="1:15" ht="15.75" customHeight="1" x14ac:dyDescent="0.25">
      <c r="A782" s="5"/>
      <c r="B782" s="5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 spans="1:15" ht="15.75" customHeight="1" x14ac:dyDescent="0.25">
      <c r="A783" s="5"/>
      <c r="B783" s="5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 spans="1:15" ht="15.75" customHeight="1" x14ac:dyDescent="0.25">
      <c r="A784" s="5"/>
      <c r="B784" s="5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 spans="1:15" ht="15.75" customHeight="1" x14ac:dyDescent="0.25">
      <c r="A785" s="5"/>
      <c r="B785" s="5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 spans="1:15" ht="15.75" customHeight="1" x14ac:dyDescent="0.25">
      <c r="A786" s="5"/>
      <c r="B786" s="5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 spans="1:15" ht="15.75" customHeight="1" x14ac:dyDescent="0.25">
      <c r="A787" s="5"/>
      <c r="B787" s="5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 spans="1:15" ht="15.75" customHeight="1" x14ac:dyDescent="0.25">
      <c r="A788" s="5"/>
      <c r="B788" s="5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 spans="1:15" ht="15.75" customHeight="1" x14ac:dyDescent="0.25">
      <c r="A789" s="5"/>
      <c r="B789" s="5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 spans="1:15" ht="15.75" customHeight="1" x14ac:dyDescent="0.25">
      <c r="A790" s="5"/>
      <c r="B790" s="5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 spans="1:15" ht="15.75" customHeight="1" x14ac:dyDescent="0.25">
      <c r="A791" s="5"/>
      <c r="B791" s="5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 spans="1:15" ht="15.75" customHeight="1" x14ac:dyDescent="0.25">
      <c r="A792" s="5"/>
      <c r="B792" s="5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 spans="1:15" ht="15.75" customHeight="1" x14ac:dyDescent="0.25">
      <c r="A793" s="5"/>
      <c r="B793" s="5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 spans="1:15" ht="15.75" customHeight="1" x14ac:dyDescent="0.25">
      <c r="A794" s="5"/>
      <c r="B794" s="5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 spans="1:15" ht="15.75" customHeight="1" x14ac:dyDescent="0.25">
      <c r="A795" s="5"/>
      <c r="B795" s="5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 spans="1:15" ht="15.75" customHeight="1" x14ac:dyDescent="0.25">
      <c r="A796" s="5"/>
      <c r="B796" s="5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 spans="1:15" ht="15.75" customHeight="1" x14ac:dyDescent="0.25">
      <c r="A797" s="5"/>
      <c r="B797" s="5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 spans="1:15" ht="15.75" customHeight="1" x14ac:dyDescent="0.25">
      <c r="A798" s="5"/>
      <c r="B798" s="5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 spans="1:15" ht="15.75" customHeight="1" x14ac:dyDescent="0.25">
      <c r="A799" s="5"/>
      <c r="B799" s="5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 spans="1:15" ht="15.75" customHeight="1" x14ac:dyDescent="0.25">
      <c r="A800" s="5"/>
      <c r="B800" s="5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 spans="1:15" ht="15.75" customHeight="1" x14ac:dyDescent="0.25">
      <c r="A801" s="5"/>
      <c r="B801" s="5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 spans="1:15" ht="15.75" customHeight="1" x14ac:dyDescent="0.25">
      <c r="A802" s="5"/>
      <c r="B802" s="5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 spans="1:15" ht="15.75" customHeight="1" x14ac:dyDescent="0.25">
      <c r="A803" s="5"/>
      <c r="B803" s="5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 spans="1:15" ht="15.75" customHeight="1" x14ac:dyDescent="0.25">
      <c r="A804" s="5"/>
      <c r="B804" s="5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 spans="1:15" ht="15.75" customHeight="1" x14ac:dyDescent="0.25">
      <c r="A805" s="5"/>
      <c r="B805" s="5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 spans="1:15" ht="15.75" customHeight="1" x14ac:dyDescent="0.25">
      <c r="A806" s="5"/>
      <c r="B806" s="5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 spans="1:15" ht="15.75" customHeight="1" x14ac:dyDescent="0.25">
      <c r="A807" s="5"/>
      <c r="B807" s="5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 spans="1:15" ht="15.75" customHeight="1" x14ac:dyDescent="0.25">
      <c r="A808" s="5"/>
      <c r="B808" s="5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 spans="1:15" ht="15.75" customHeight="1" x14ac:dyDescent="0.25">
      <c r="A809" s="5"/>
      <c r="B809" s="5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 spans="1:15" ht="15.75" customHeight="1" x14ac:dyDescent="0.25">
      <c r="A810" s="5"/>
      <c r="B810" s="5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 spans="1:15" ht="15.75" customHeight="1" x14ac:dyDescent="0.25">
      <c r="A811" s="5"/>
      <c r="B811" s="5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 spans="1:15" ht="15.75" customHeight="1" x14ac:dyDescent="0.25">
      <c r="A812" s="5"/>
      <c r="B812" s="5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 spans="1:15" ht="15.75" customHeight="1" x14ac:dyDescent="0.25">
      <c r="A813" s="5"/>
      <c r="B813" s="5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 spans="1:15" ht="15.75" customHeight="1" x14ac:dyDescent="0.25">
      <c r="A814" s="5"/>
      <c r="B814" s="5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 spans="1:15" ht="15.75" customHeight="1" x14ac:dyDescent="0.25">
      <c r="A815" s="5"/>
      <c r="B815" s="5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 spans="1:15" ht="15.75" customHeight="1" x14ac:dyDescent="0.25">
      <c r="A816" s="5"/>
      <c r="B816" s="5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 spans="1:15" ht="15.75" customHeight="1" x14ac:dyDescent="0.25">
      <c r="A817" s="5"/>
      <c r="B817" s="5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 spans="1:15" ht="15.75" customHeight="1" x14ac:dyDescent="0.25">
      <c r="A818" s="5"/>
      <c r="B818" s="5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 spans="1:15" ht="15.75" customHeight="1" x14ac:dyDescent="0.25">
      <c r="A819" s="5"/>
      <c r="B819" s="5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 spans="1:15" ht="15.75" customHeight="1" x14ac:dyDescent="0.25">
      <c r="A820" s="5"/>
      <c r="B820" s="5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 spans="1:15" ht="15.75" customHeight="1" x14ac:dyDescent="0.25">
      <c r="A821" s="5"/>
      <c r="B821" s="5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 spans="1:15" ht="15.75" customHeight="1" x14ac:dyDescent="0.25">
      <c r="A822" s="5"/>
      <c r="B822" s="5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 spans="1:15" ht="15.75" customHeight="1" x14ac:dyDescent="0.25">
      <c r="A823" s="5"/>
      <c r="B823" s="5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 spans="1:15" ht="15.75" customHeight="1" x14ac:dyDescent="0.25">
      <c r="A824" s="5"/>
      <c r="B824" s="5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 spans="1:15" ht="15.75" customHeight="1" x14ac:dyDescent="0.25">
      <c r="A825" s="5"/>
      <c r="B825" s="5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 spans="1:15" ht="15.75" customHeight="1" x14ac:dyDescent="0.25">
      <c r="A826" s="5"/>
      <c r="B826" s="5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 spans="1:15" ht="15.75" customHeight="1" x14ac:dyDescent="0.25">
      <c r="A827" s="5"/>
      <c r="B827" s="5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 spans="1:15" ht="15.75" customHeight="1" x14ac:dyDescent="0.25">
      <c r="A828" s="5"/>
      <c r="B828" s="5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 spans="1:15" ht="15.75" customHeight="1" x14ac:dyDescent="0.25">
      <c r="A829" s="5"/>
      <c r="B829" s="5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 spans="1:15" ht="15.75" customHeight="1" x14ac:dyDescent="0.25">
      <c r="A830" s="5"/>
      <c r="B830" s="5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 spans="1:15" ht="15.75" customHeight="1" x14ac:dyDescent="0.25">
      <c r="A831" s="5"/>
      <c r="B831" s="5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 spans="1:15" ht="15.75" customHeight="1" x14ac:dyDescent="0.25">
      <c r="A832" s="5"/>
      <c r="B832" s="5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 spans="1:15" ht="15.75" customHeight="1" x14ac:dyDescent="0.25">
      <c r="A833" s="5"/>
      <c r="B833" s="5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 spans="1:15" ht="15.75" customHeight="1" x14ac:dyDescent="0.25">
      <c r="A834" s="5"/>
      <c r="B834" s="5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 spans="1:15" ht="15.75" customHeight="1" x14ac:dyDescent="0.25">
      <c r="A835" s="5"/>
      <c r="B835" s="5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 spans="1:15" ht="15.75" customHeight="1" x14ac:dyDescent="0.25">
      <c r="A836" s="5"/>
      <c r="B836" s="5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 spans="1:15" ht="15.75" customHeight="1" x14ac:dyDescent="0.25">
      <c r="A837" s="5"/>
      <c r="B837" s="5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 spans="1:15" ht="15.75" customHeight="1" x14ac:dyDescent="0.25">
      <c r="A838" s="5"/>
      <c r="B838" s="5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 spans="1:15" ht="15.75" customHeight="1" x14ac:dyDescent="0.25">
      <c r="A839" s="5"/>
      <c r="B839" s="5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 spans="1:15" ht="15.75" customHeight="1" x14ac:dyDescent="0.25">
      <c r="A840" s="5"/>
      <c r="B840" s="5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 spans="1:15" ht="15.75" customHeight="1" x14ac:dyDescent="0.25">
      <c r="A841" s="5"/>
      <c r="B841" s="5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 spans="1:15" ht="15.75" customHeight="1" x14ac:dyDescent="0.25">
      <c r="A842" s="5"/>
      <c r="B842" s="5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 spans="1:15" ht="15.75" customHeight="1" x14ac:dyDescent="0.25">
      <c r="A843" s="5"/>
      <c r="B843" s="5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 spans="1:15" ht="15.75" customHeight="1" x14ac:dyDescent="0.25">
      <c r="A844" s="5"/>
      <c r="B844" s="5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 spans="1:15" ht="15.75" customHeight="1" x14ac:dyDescent="0.25">
      <c r="A845" s="5"/>
      <c r="B845" s="5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 spans="1:15" ht="15.75" customHeight="1" x14ac:dyDescent="0.25">
      <c r="A846" s="5"/>
      <c r="B846" s="5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 spans="1:15" ht="15.75" customHeight="1" x14ac:dyDescent="0.25">
      <c r="A847" s="5"/>
      <c r="B847" s="5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 spans="1:15" ht="15.75" customHeight="1" x14ac:dyDescent="0.25">
      <c r="A848" s="5"/>
      <c r="B848" s="5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 spans="1:15" ht="15.75" customHeight="1" x14ac:dyDescent="0.25">
      <c r="A849" s="5"/>
      <c r="B849" s="5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 spans="1:15" ht="15.75" customHeight="1" x14ac:dyDescent="0.25">
      <c r="A850" s="5"/>
      <c r="B850" s="5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 spans="1:15" ht="15.75" customHeight="1" x14ac:dyDescent="0.25">
      <c r="A851" s="5"/>
      <c r="B851" s="5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 spans="1:15" ht="15.75" customHeight="1" x14ac:dyDescent="0.25">
      <c r="A852" s="5"/>
      <c r="B852" s="5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 spans="1:15" ht="15.75" customHeight="1" x14ac:dyDescent="0.25">
      <c r="A853" s="5"/>
      <c r="B853" s="5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 spans="1:15" ht="15.75" customHeight="1" x14ac:dyDescent="0.25">
      <c r="A854" s="5"/>
      <c r="B854" s="5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 spans="1:15" ht="15.75" customHeight="1" x14ac:dyDescent="0.25">
      <c r="A855" s="5"/>
      <c r="B855" s="5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 spans="1:15" ht="15.75" customHeight="1" x14ac:dyDescent="0.25">
      <c r="A856" s="5"/>
      <c r="B856" s="5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 spans="1:15" ht="15.75" customHeight="1" x14ac:dyDescent="0.25">
      <c r="A857" s="5"/>
      <c r="B857" s="5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 spans="1:15" ht="15.75" customHeight="1" x14ac:dyDescent="0.25">
      <c r="A858" s="5"/>
      <c r="B858" s="5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 spans="1:15" ht="15.75" customHeight="1" x14ac:dyDescent="0.25">
      <c r="A859" s="5"/>
      <c r="B859" s="5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 spans="1:15" ht="15.75" customHeight="1" x14ac:dyDescent="0.25">
      <c r="A860" s="5"/>
      <c r="B860" s="5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 spans="1:15" ht="15.75" customHeight="1" x14ac:dyDescent="0.25">
      <c r="A861" s="5"/>
      <c r="B861" s="5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 spans="1:15" ht="15.75" customHeight="1" x14ac:dyDescent="0.25">
      <c r="A862" s="5"/>
      <c r="B862" s="5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 spans="1:15" ht="15.75" customHeight="1" x14ac:dyDescent="0.25">
      <c r="A863" s="5"/>
      <c r="B863" s="5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 spans="1:15" ht="15.75" customHeight="1" x14ac:dyDescent="0.25">
      <c r="A864" s="5"/>
      <c r="B864" s="5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 spans="1:15" ht="15.75" customHeight="1" x14ac:dyDescent="0.25">
      <c r="A865" s="5"/>
      <c r="B865" s="5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 spans="1:15" ht="15.75" customHeight="1" x14ac:dyDescent="0.25">
      <c r="A866" s="5"/>
      <c r="B866" s="5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 spans="1:15" ht="15.75" customHeight="1" x14ac:dyDescent="0.25">
      <c r="A867" s="5"/>
      <c r="B867" s="5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 spans="1:15" ht="15.75" customHeight="1" x14ac:dyDescent="0.25">
      <c r="A868" s="5"/>
      <c r="B868" s="5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 spans="1:15" ht="15.75" customHeight="1" x14ac:dyDescent="0.25">
      <c r="A869" s="5"/>
      <c r="B869" s="5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 spans="1:15" ht="15.75" customHeight="1" x14ac:dyDescent="0.25">
      <c r="A870" s="5"/>
      <c r="B870" s="5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 spans="1:15" ht="15.75" customHeight="1" x14ac:dyDescent="0.25">
      <c r="A871" s="5"/>
      <c r="B871" s="5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 spans="1:15" ht="15.75" customHeight="1" x14ac:dyDescent="0.25">
      <c r="A872" s="5"/>
      <c r="B872" s="5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 spans="1:15" ht="15.75" customHeight="1" x14ac:dyDescent="0.25">
      <c r="A873" s="5"/>
      <c r="B873" s="5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 spans="1:15" ht="15.75" customHeight="1" x14ac:dyDescent="0.25">
      <c r="A874" s="5"/>
      <c r="B874" s="5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 spans="1:15" ht="15.75" customHeight="1" x14ac:dyDescent="0.25">
      <c r="A875" s="5"/>
      <c r="B875" s="5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 spans="1:15" ht="15.75" customHeight="1" x14ac:dyDescent="0.25">
      <c r="A876" s="5"/>
      <c r="B876" s="5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 spans="1:15" ht="15.75" customHeight="1" x14ac:dyDescent="0.25">
      <c r="A877" s="5"/>
      <c r="B877" s="5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 spans="1:15" ht="15.75" customHeight="1" x14ac:dyDescent="0.25">
      <c r="A878" s="5"/>
      <c r="B878" s="5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 spans="1:15" ht="15.75" customHeight="1" x14ac:dyDescent="0.25">
      <c r="A879" s="5"/>
      <c r="B879" s="5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 spans="1:15" ht="15.75" customHeight="1" x14ac:dyDescent="0.25">
      <c r="A880" s="5"/>
      <c r="B880" s="5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 spans="1:15" ht="15.75" customHeight="1" x14ac:dyDescent="0.25">
      <c r="A881" s="5"/>
      <c r="B881" s="5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 spans="1:15" ht="15.75" customHeight="1" x14ac:dyDescent="0.25">
      <c r="A882" s="5"/>
      <c r="B882" s="5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 spans="1:15" ht="15.75" customHeight="1" x14ac:dyDescent="0.25">
      <c r="A883" s="5"/>
      <c r="B883" s="5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 spans="1:15" ht="15.75" customHeight="1" x14ac:dyDescent="0.25">
      <c r="A884" s="5"/>
      <c r="B884" s="5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 spans="1:15" ht="15.75" customHeight="1" x14ac:dyDescent="0.25">
      <c r="A885" s="5"/>
      <c r="B885" s="5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 spans="1:15" ht="15.75" customHeight="1" x14ac:dyDescent="0.25">
      <c r="A886" s="5"/>
      <c r="B886" s="5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 spans="1:15" ht="15.75" customHeight="1" x14ac:dyDescent="0.25">
      <c r="A887" s="5"/>
      <c r="B887" s="5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 spans="1:15" ht="15.75" customHeight="1" x14ac:dyDescent="0.25">
      <c r="A888" s="5"/>
      <c r="B888" s="5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 spans="1:15" ht="15.75" customHeight="1" x14ac:dyDescent="0.25">
      <c r="A889" s="5"/>
      <c r="B889" s="5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 spans="1:15" ht="15.75" customHeight="1" x14ac:dyDescent="0.25">
      <c r="A890" s="5"/>
      <c r="B890" s="5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 spans="1:15" ht="15.75" customHeight="1" x14ac:dyDescent="0.25">
      <c r="A891" s="5"/>
      <c r="B891" s="5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 spans="1:15" ht="15.75" customHeight="1" x14ac:dyDescent="0.25">
      <c r="A892" s="5"/>
      <c r="B892" s="5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 spans="1:15" ht="15.75" customHeight="1" x14ac:dyDescent="0.25">
      <c r="A893" s="5"/>
      <c r="B893" s="5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 spans="1:15" ht="15.75" customHeight="1" x14ac:dyDescent="0.25">
      <c r="A894" s="5"/>
      <c r="B894" s="5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 spans="1:15" ht="15.75" customHeight="1" x14ac:dyDescent="0.25">
      <c r="A895" s="5"/>
      <c r="B895" s="5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 spans="1:15" ht="15.75" customHeight="1" x14ac:dyDescent="0.25">
      <c r="A896" s="5"/>
      <c r="B896" s="5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 spans="1:15" ht="15.75" customHeight="1" x14ac:dyDescent="0.25">
      <c r="A897" s="5"/>
      <c r="B897" s="5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 spans="1:15" ht="15.75" customHeight="1" x14ac:dyDescent="0.25">
      <c r="A898" s="5"/>
      <c r="B898" s="5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 spans="1:15" ht="15.75" customHeight="1" x14ac:dyDescent="0.25">
      <c r="A899" s="5"/>
      <c r="B899" s="5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 spans="1:15" ht="15.75" customHeight="1" x14ac:dyDescent="0.25">
      <c r="A900" s="5"/>
      <c r="B900" s="5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 spans="1:15" ht="15.75" customHeight="1" x14ac:dyDescent="0.25">
      <c r="A901" s="5"/>
      <c r="B901" s="5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 spans="1:15" ht="15.75" customHeight="1" x14ac:dyDescent="0.25">
      <c r="A902" s="5"/>
      <c r="B902" s="5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 spans="1:15" ht="15.75" customHeight="1" x14ac:dyDescent="0.25">
      <c r="A903" s="5"/>
      <c r="B903" s="5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 spans="1:15" ht="15.75" customHeight="1" x14ac:dyDescent="0.25">
      <c r="A904" s="5"/>
      <c r="B904" s="5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 spans="1:15" ht="15.75" customHeight="1" x14ac:dyDescent="0.25">
      <c r="A905" s="5"/>
      <c r="B905" s="5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 spans="1:15" ht="15.75" customHeight="1" x14ac:dyDescent="0.25">
      <c r="A906" s="5"/>
      <c r="B906" s="5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 spans="1:15" ht="15.75" customHeight="1" x14ac:dyDescent="0.25">
      <c r="A907" s="5"/>
      <c r="B907" s="5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 spans="1:15" ht="15.75" customHeight="1" x14ac:dyDescent="0.25">
      <c r="A908" s="5"/>
      <c r="B908" s="5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 spans="1:15" ht="15.75" customHeight="1" x14ac:dyDescent="0.25">
      <c r="A909" s="5"/>
      <c r="B909" s="5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 spans="1:15" ht="15.75" customHeight="1" x14ac:dyDescent="0.25">
      <c r="A910" s="5"/>
      <c r="B910" s="5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 spans="1:15" ht="15.75" customHeight="1" x14ac:dyDescent="0.25">
      <c r="A911" s="5"/>
      <c r="B911" s="5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 spans="1:15" ht="15.75" customHeight="1" x14ac:dyDescent="0.25">
      <c r="A912" s="5"/>
      <c r="B912" s="5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 spans="1:15" ht="15.75" customHeight="1" x14ac:dyDescent="0.25">
      <c r="A913" s="5"/>
      <c r="B913" s="5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  <row r="914" spans="1:15" ht="15.75" customHeight="1" x14ac:dyDescent="0.25">
      <c r="A914" s="5"/>
      <c r="B914" s="5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</row>
    <row r="915" spans="1:15" ht="15.75" customHeight="1" x14ac:dyDescent="0.25">
      <c r="A915" s="5"/>
      <c r="B915" s="5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</row>
    <row r="916" spans="1:15" ht="15.75" customHeight="1" x14ac:dyDescent="0.25">
      <c r="A916" s="5"/>
      <c r="B916" s="5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</row>
    <row r="917" spans="1:15" ht="15.75" customHeight="1" x14ac:dyDescent="0.25">
      <c r="A917" s="5"/>
      <c r="B917" s="5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</row>
    <row r="918" spans="1:15" ht="15.75" customHeight="1" x14ac:dyDescent="0.25">
      <c r="A918" s="5"/>
      <c r="B918" s="5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</row>
    <row r="919" spans="1:15" ht="15.75" customHeight="1" x14ac:dyDescent="0.25">
      <c r="A919" s="5"/>
      <c r="B919" s="5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</row>
    <row r="920" spans="1:15" ht="15.75" customHeight="1" x14ac:dyDescent="0.25">
      <c r="A920" s="5"/>
      <c r="B920" s="5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</row>
    <row r="921" spans="1:15" ht="15.75" customHeight="1" x14ac:dyDescent="0.25">
      <c r="A921" s="5"/>
      <c r="B921" s="5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</row>
    <row r="922" spans="1:15" ht="15.75" customHeight="1" x14ac:dyDescent="0.25">
      <c r="A922" s="5"/>
      <c r="B922" s="5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</row>
    <row r="923" spans="1:15" ht="15.75" customHeight="1" x14ac:dyDescent="0.25">
      <c r="A923" s="5"/>
      <c r="B923" s="5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</row>
    <row r="924" spans="1:15" ht="15.75" customHeight="1" x14ac:dyDescent="0.25">
      <c r="A924" s="5"/>
      <c r="B924" s="5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</row>
    <row r="925" spans="1:15" ht="15.75" customHeight="1" x14ac:dyDescent="0.25">
      <c r="A925" s="5"/>
      <c r="B925" s="5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</row>
    <row r="926" spans="1:15" ht="15.75" customHeight="1" x14ac:dyDescent="0.25">
      <c r="A926" s="5"/>
      <c r="B926" s="5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</row>
    <row r="927" spans="1:15" ht="15.75" customHeight="1" x14ac:dyDescent="0.25">
      <c r="A927" s="5"/>
      <c r="B927" s="5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</row>
    <row r="928" spans="1:15" ht="15.75" customHeight="1" x14ac:dyDescent="0.25">
      <c r="A928" s="5"/>
      <c r="B928" s="5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</row>
    <row r="929" spans="1:15" ht="15.75" customHeight="1" x14ac:dyDescent="0.25">
      <c r="A929" s="5"/>
      <c r="B929" s="5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</row>
    <row r="930" spans="1:15" ht="15.75" customHeight="1" x14ac:dyDescent="0.25">
      <c r="A930" s="5"/>
      <c r="B930" s="5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</row>
    <row r="931" spans="1:15" ht="15.75" customHeight="1" x14ac:dyDescent="0.25">
      <c r="A931" s="5"/>
      <c r="B931" s="5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 spans="1:15" ht="15.75" customHeight="1" x14ac:dyDescent="0.25">
      <c r="A932" s="5"/>
      <c r="B932" s="5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</row>
    <row r="933" spans="1:15" ht="15.75" customHeight="1" x14ac:dyDescent="0.25">
      <c r="A933" s="5"/>
      <c r="B933" s="5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</row>
    <row r="934" spans="1:15" ht="15.75" customHeight="1" x14ac:dyDescent="0.25">
      <c r="A934" s="5"/>
      <c r="B934" s="5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</row>
    <row r="935" spans="1:15" ht="15.75" customHeight="1" x14ac:dyDescent="0.25">
      <c r="A935" s="5"/>
      <c r="B935" s="5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 spans="1:15" ht="15.75" customHeight="1" x14ac:dyDescent="0.25">
      <c r="A936" s="5"/>
      <c r="B936" s="5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</row>
    <row r="937" spans="1:15" ht="15.75" customHeight="1" x14ac:dyDescent="0.25">
      <c r="A937" s="5"/>
      <c r="B937" s="5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</row>
    <row r="938" spans="1:15" ht="15.75" customHeight="1" x14ac:dyDescent="0.25">
      <c r="A938" s="5"/>
      <c r="B938" s="5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</row>
    <row r="939" spans="1:15" ht="15.75" customHeight="1" x14ac:dyDescent="0.25">
      <c r="A939" s="5"/>
      <c r="B939" s="5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</row>
    <row r="940" spans="1:15" ht="15.75" customHeight="1" x14ac:dyDescent="0.25">
      <c r="A940" s="5"/>
      <c r="B940" s="5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</row>
    <row r="941" spans="1:15" ht="15.75" customHeight="1" x14ac:dyDescent="0.25">
      <c r="A941" s="5"/>
      <c r="B941" s="5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</row>
    <row r="942" spans="1:15" ht="15.75" customHeight="1" x14ac:dyDescent="0.25">
      <c r="A942" s="5"/>
      <c r="B942" s="5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</row>
    <row r="943" spans="1:15" ht="15.75" customHeight="1" x14ac:dyDescent="0.25">
      <c r="A943" s="5"/>
      <c r="B943" s="5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</row>
    <row r="944" spans="1:15" ht="15.75" customHeight="1" x14ac:dyDescent="0.25">
      <c r="A944" s="5"/>
      <c r="B944" s="5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</row>
    <row r="945" spans="1:15" ht="15.75" customHeight="1" x14ac:dyDescent="0.25">
      <c r="A945" s="5"/>
      <c r="B945" s="5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</row>
    <row r="946" spans="1:15" ht="15.75" customHeight="1" x14ac:dyDescent="0.25">
      <c r="A946" s="5"/>
      <c r="B946" s="5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</row>
    <row r="947" spans="1:15" ht="15.75" customHeight="1" x14ac:dyDescent="0.25">
      <c r="A947" s="5"/>
      <c r="B947" s="5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</row>
    <row r="948" spans="1:15" ht="15.75" customHeight="1" x14ac:dyDescent="0.25">
      <c r="A948" s="5"/>
      <c r="B948" s="5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</row>
    <row r="949" spans="1:15" ht="15.75" customHeight="1" x14ac:dyDescent="0.25">
      <c r="A949" s="5"/>
      <c r="B949" s="5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</row>
    <row r="950" spans="1:15" ht="15.75" customHeight="1" x14ac:dyDescent="0.25">
      <c r="A950" s="5"/>
      <c r="B950" s="5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</row>
    <row r="951" spans="1:15" ht="15.75" customHeight="1" x14ac:dyDescent="0.25">
      <c r="A951" s="5"/>
      <c r="B951" s="5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</row>
    <row r="952" spans="1:15" ht="15.75" customHeight="1" x14ac:dyDescent="0.25">
      <c r="A952" s="5"/>
      <c r="B952" s="5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</row>
    <row r="953" spans="1:15" ht="15.75" customHeight="1" x14ac:dyDescent="0.25">
      <c r="A953" s="5"/>
      <c r="B953" s="5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</row>
    <row r="954" spans="1:15" ht="15.75" customHeight="1" x14ac:dyDescent="0.25">
      <c r="A954" s="5"/>
      <c r="B954" s="5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</row>
    <row r="955" spans="1:15" ht="15.75" customHeight="1" x14ac:dyDescent="0.25">
      <c r="A955" s="5"/>
      <c r="B955" s="5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</row>
    <row r="956" spans="1:15" ht="15.75" customHeight="1" x14ac:dyDescent="0.25">
      <c r="A956" s="5"/>
      <c r="B956" s="5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</row>
    <row r="957" spans="1:15" ht="15.75" customHeight="1" x14ac:dyDescent="0.25">
      <c r="A957" s="5"/>
      <c r="B957" s="5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</row>
    <row r="958" spans="1:15" ht="15.75" customHeight="1" x14ac:dyDescent="0.25">
      <c r="A958" s="5"/>
      <c r="B958" s="5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</row>
    <row r="959" spans="1:15" ht="15.75" customHeight="1" x14ac:dyDescent="0.25">
      <c r="A959" s="5"/>
      <c r="B959" s="5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</row>
    <row r="960" spans="1:15" ht="15.75" customHeight="1" x14ac:dyDescent="0.25">
      <c r="A960" s="5"/>
      <c r="B960" s="5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</row>
    <row r="961" spans="1:15" ht="15.75" customHeight="1" x14ac:dyDescent="0.25">
      <c r="A961" s="5"/>
      <c r="B961" s="5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</row>
    <row r="962" spans="1:15" ht="15.75" customHeight="1" x14ac:dyDescent="0.25">
      <c r="A962" s="5"/>
      <c r="B962" s="5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</row>
    <row r="963" spans="1:15" ht="15.75" customHeight="1" x14ac:dyDescent="0.25">
      <c r="A963" s="5"/>
      <c r="B963" s="5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</row>
    <row r="964" spans="1:15" ht="15.75" customHeight="1" x14ac:dyDescent="0.25">
      <c r="A964" s="5"/>
      <c r="B964" s="5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</row>
    <row r="965" spans="1:15" ht="15.75" customHeight="1" x14ac:dyDescent="0.25">
      <c r="A965" s="5"/>
      <c r="B965" s="5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</row>
    <row r="966" spans="1:15" ht="15.75" customHeight="1" x14ac:dyDescent="0.25">
      <c r="A966" s="5"/>
      <c r="B966" s="5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</row>
    <row r="967" spans="1:15" ht="15.75" customHeight="1" x14ac:dyDescent="0.25">
      <c r="A967" s="5"/>
      <c r="B967" s="5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</row>
    <row r="968" spans="1:15" ht="15.75" customHeight="1" x14ac:dyDescent="0.25">
      <c r="A968" s="5"/>
      <c r="B968" s="5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</row>
    <row r="969" spans="1:15" ht="15.75" customHeight="1" x14ac:dyDescent="0.25">
      <c r="A969" s="5"/>
      <c r="B969" s="5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</row>
    <row r="970" spans="1:15" ht="15.75" customHeight="1" x14ac:dyDescent="0.25">
      <c r="A970" s="5"/>
      <c r="B970" s="5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</row>
    <row r="971" spans="1:15" ht="15.75" customHeight="1" x14ac:dyDescent="0.25">
      <c r="A971" s="5"/>
      <c r="B971" s="5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</row>
    <row r="972" spans="1:15" ht="15.75" customHeight="1" x14ac:dyDescent="0.25">
      <c r="A972" s="5"/>
      <c r="B972" s="5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</row>
    <row r="973" spans="1:15" ht="15.75" customHeight="1" x14ac:dyDescent="0.25">
      <c r="A973" s="5"/>
      <c r="B973" s="5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</row>
    <row r="974" spans="1:15" ht="15.75" customHeight="1" x14ac:dyDescent="0.25">
      <c r="A974" s="5"/>
      <c r="B974" s="5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</row>
    <row r="975" spans="1:15" ht="15.75" customHeight="1" x14ac:dyDescent="0.25">
      <c r="A975" s="5"/>
      <c r="B975" s="5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</row>
    <row r="976" spans="1:15" ht="15.75" customHeight="1" x14ac:dyDescent="0.25">
      <c r="A976" s="5"/>
      <c r="B976" s="5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</row>
    <row r="977" spans="1:15" ht="15.75" customHeight="1" x14ac:dyDescent="0.25">
      <c r="A977" s="5"/>
      <c r="B977" s="5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</row>
    <row r="978" spans="1:15" ht="15.75" customHeight="1" x14ac:dyDescent="0.25">
      <c r="A978" s="5"/>
      <c r="B978" s="5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</row>
    <row r="979" spans="1:15" ht="15.75" customHeight="1" x14ac:dyDescent="0.25">
      <c r="A979" s="5"/>
      <c r="B979" s="5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</row>
    <row r="980" spans="1:15" ht="15.75" customHeight="1" x14ac:dyDescent="0.25">
      <c r="A980" s="5"/>
      <c r="B980" s="5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</row>
    <row r="981" spans="1:15" ht="15.75" customHeight="1" x14ac:dyDescent="0.25">
      <c r="A981" s="5"/>
      <c r="B981" s="5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</row>
    <row r="982" spans="1:15" ht="15.75" customHeight="1" x14ac:dyDescent="0.25">
      <c r="A982" s="5"/>
      <c r="B982" s="5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</row>
    <row r="983" spans="1:15" ht="15.75" customHeight="1" x14ac:dyDescent="0.25">
      <c r="A983" s="5"/>
      <c r="B983" s="5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</row>
    <row r="984" spans="1:15" ht="15.75" customHeight="1" x14ac:dyDescent="0.25">
      <c r="A984" s="5"/>
      <c r="B984" s="5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</row>
    <row r="985" spans="1:15" ht="15.75" customHeight="1" x14ac:dyDescent="0.25">
      <c r="A985" s="5"/>
      <c r="B985" s="5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</row>
    <row r="986" spans="1:15" ht="15.75" customHeight="1" x14ac:dyDescent="0.25">
      <c r="A986" s="5"/>
      <c r="B986" s="5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</row>
    <row r="987" spans="1:15" ht="15.75" customHeight="1" x14ac:dyDescent="0.25">
      <c r="A987" s="5"/>
      <c r="B987" s="5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</row>
    <row r="988" spans="1:15" ht="15.75" customHeight="1" x14ac:dyDescent="0.25">
      <c r="A988" s="5"/>
      <c r="B988" s="5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</row>
    <row r="989" spans="1:15" ht="15.75" customHeight="1" x14ac:dyDescent="0.25">
      <c r="A989" s="5"/>
      <c r="B989" s="5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</row>
    <row r="990" spans="1:15" ht="15.75" customHeight="1" x14ac:dyDescent="0.25">
      <c r="A990" s="5"/>
      <c r="B990" s="5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</row>
    <row r="991" spans="1:15" ht="15.75" customHeight="1" x14ac:dyDescent="0.25">
      <c r="A991" s="5"/>
      <c r="B991" s="5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</row>
    <row r="992" spans="1:15" ht="15.75" customHeight="1" x14ac:dyDescent="0.25">
      <c r="A992" s="5"/>
      <c r="B992" s="5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</row>
    <row r="993" spans="1:15" ht="15.75" customHeight="1" x14ac:dyDescent="0.25">
      <c r="A993" s="5"/>
      <c r="B993" s="5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</row>
    <row r="994" spans="1:15" ht="15.75" customHeight="1" x14ac:dyDescent="0.25">
      <c r="A994" s="5"/>
      <c r="B994" s="5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</row>
    <row r="995" spans="1:15" ht="15.75" customHeight="1" x14ac:dyDescent="0.25">
      <c r="A995" s="5"/>
      <c r="B995" s="5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</row>
    <row r="996" spans="1:15" ht="15.75" customHeight="1" x14ac:dyDescent="0.25">
      <c r="A996" s="5"/>
      <c r="B996" s="5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</row>
    <row r="997" spans="1:15" ht="15.75" customHeight="1" x14ac:dyDescent="0.25">
      <c r="A997" s="5"/>
      <c r="B997" s="5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</row>
    <row r="998" spans="1:15" ht="15.75" customHeight="1" x14ac:dyDescent="0.25">
      <c r="A998" s="5"/>
      <c r="B998" s="5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</row>
    <row r="999" spans="1:15" ht="15.75" customHeight="1" x14ac:dyDescent="0.25">
      <c r="A999" s="5"/>
      <c r="B999" s="5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</row>
    <row r="1000" spans="1:15" ht="15.75" customHeight="1" x14ac:dyDescent="0.25">
      <c r="A1000" s="5"/>
      <c r="B1000" s="5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</row>
    <row r="1001" spans="1:15" ht="15.75" customHeight="1" x14ac:dyDescent="0.25">
      <c r="A1001" s="5"/>
      <c r="B1001" s="5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</row>
  </sheetData>
  <printOptions horizontalCentered="1"/>
  <pageMargins left="0" right="0" top="0.75" bottom="0.75" header="0" footer="0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8206E"/>
  </sheetPr>
  <dimension ref="A1:H1001"/>
  <sheetViews>
    <sheetView zoomScale="70" zoomScaleNormal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38" sqref="L38"/>
    </sheetView>
  </sheetViews>
  <sheetFormatPr defaultColWidth="12.5703125" defaultRowHeight="15" customHeight="1" x14ac:dyDescent="0.25"/>
  <cols>
    <col min="1" max="1" width="1.85546875" customWidth="1"/>
    <col min="2" max="2" width="31.85546875" bestFit="1" customWidth="1"/>
    <col min="3" max="3" width="16" customWidth="1"/>
    <col min="4" max="4" width="13.85546875" customWidth="1"/>
    <col min="5" max="7" width="11.5703125" customWidth="1"/>
    <col min="8" max="8" width="13.85546875" customWidth="1"/>
    <col min="9" max="9" width="10.5703125" customWidth="1"/>
    <col min="10" max="10" width="11.7109375" bestFit="1" customWidth="1"/>
    <col min="11" max="22" width="10.5703125" customWidth="1"/>
  </cols>
  <sheetData>
    <row r="1" spans="1:8" ht="15.75" customHeight="1" x14ac:dyDescent="0.25">
      <c r="A1" s="6" t="str">
        <f>TableofContent!A1</f>
        <v>POWER FINANCIAL WELLNESS  INC</v>
      </c>
      <c r="B1" s="5"/>
      <c r="C1" s="18"/>
      <c r="D1" s="18"/>
      <c r="E1" s="18"/>
      <c r="F1" s="18"/>
      <c r="G1" s="18"/>
      <c r="H1" s="18"/>
    </row>
    <row r="2" spans="1:8" ht="15.75" customHeight="1" x14ac:dyDescent="0.25">
      <c r="A2" s="6" t="str">
        <f>TableofContent!A2</f>
        <v>CONSOLIDATED MANAGEMENT ACCOUNTS</v>
      </c>
      <c r="B2" s="5"/>
      <c r="C2" s="18"/>
      <c r="D2" s="18"/>
      <c r="E2" s="18"/>
      <c r="F2" s="18"/>
      <c r="G2" s="18"/>
      <c r="H2" s="18"/>
    </row>
    <row r="3" spans="1:8" ht="15.75" customHeight="1" x14ac:dyDescent="0.25">
      <c r="A3" s="6" t="str">
        <f>TableofContent!A3</f>
        <v>TABLE OF CONTENT</v>
      </c>
      <c r="B3" s="5"/>
      <c r="C3" s="18"/>
      <c r="D3" s="18"/>
      <c r="E3" s="18"/>
      <c r="F3" s="18"/>
      <c r="G3" s="18"/>
      <c r="H3" s="18"/>
    </row>
    <row r="4" spans="1:8" ht="15.75" customHeight="1" x14ac:dyDescent="0.25">
      <c r="A4" s="6" t="str">
        <f>TableofContent!A4</f>
        <v>FOR PERIOD ENDED JULY 31,  2025</v>
      </c>
      <c r="B4" s="5"/>
      <c r="C4" s="18"/>
      <c r="D4" s="18"/>
      <c r="E4" s="18"/>
      <c r="F4" s="18"/>
      <c r="G4" s="18"/>
      <c r="H4" s="18"/>
    </row>
    <row r="5" spans="1:8" ht="15.75" customHeight="1" x14ac:dyDescent="0.25">
      <c r="A5" s="6" t="str">
        <f>TableofContent!A5</f>
        <v>PREPARED BY: MOSES KIGO</v>
      </c>
      <c r="B5" s="5"/>
      <c r="C5" s="18"/>
      <c r="D5" s="18"/>
      <c r="E5" s="18"/>
      <c r="F5" s="18"/>
      <c r="G5" s="18"/>
      <c r="H5" s="18"/>
    </row>
    <row r="6" spans="1:8" ht="15.75" customHeight="1" x14ac:dyDescent="0.25">
      <c r="A6" s="5"/>
      <c r="B6" s="5"/>
      <c r="C6" s="18"/>
      <c r="D6" s="18"/>
      <c r="E6" s="18"/>
      <c r="F6" s="18"/>
      <c r="G6" s="18"/>
      <c r="H6" s="18"/>
    </row>
    <row r="7" spans="1:8" ht="15.75" customHeight="1" x14ac:dyDescent="0.25">
      <c r="A7" s="5"/>
      <c r="B7" s="5"/>
      <c r="C7" s="18"/>
      <c r="D7" s="18"/>
      <c r="E7" s="18"/>
      <c r="F7" s="18"/>
      <c r="G7" s="18"/>
      <c r="H7" s="18"/>
    </row>
    <row r="8" spans="1:8" ht="78.75" x14ac:dyDescent="0.25">
      <c r="A8" s="41" t="s">
        <v>122</v>
      </c>
      <c r="B8" s="42" t="s">
        <v>92</v>
      </c>
      <c r="C8" s="38" t="s">
        <v>117</v>
      </c>
      <c r="D8" s="38" t="s">
        <v>118</v>
      </c>
      <c r="E8" s="38" t="s">
        <v>119</v>
      </c>
      <c r="F8" s="38" t="s">
        <v>144</v>
      </c>
      <c r="G8" s="38" t="s">
        <v>120</v>
      </c>
      <c r="H8" s="38" t="s">
        <v>121</v>
      </c>
    </row>
    <row r="9" spans="1:8" ht="15.75" customHeight="1" x14ac:dyDescent="0.25">
      <c r="A9" s="20" t="s">
        <v>28</v>
      </c>
      <c r="B9" s="5" t="s">
        <v>28</v>
      </c>
      <c r="C9" s="5"/>
      <c r="D9" s="5"/>
      <c r="E9" s="5"/>
      <c r="F9" s="5"/>
      <c r="G9" s="5"/>
      <c r="H9" s="5"/>
    </row>
    <row r="10" spans="1:8" ht="15.75" customHeight="1" x14ac:dyDescent="0.25">
      <c r="A10" s="20" t="s">
        <v>124</v>
      </c>
      <c r="B10" s="5" t="s">
        <v>93</v>
      </c>
      <c r="C10" s="21">
        <f>'IS_BU(MoM)'!U4</f>
        <v>0</v>
      </c>
      <c r="D10" s="21">
        <f>'IS_BU(MoM)'!V4</f>
        <v>50557.17</v>
      </c>
      <c r="E10" s="21">
        <f>'IS_BU(MoM)'!W4</f>
        <v>0</v>
      </c>
      <c r="F10" s="21">
        <f>'IS_BU(MoM)'!X4</f>
        <v>0</v>
      </c>
      <c r="G10" s="21">
        <f>'IS_BU(MoM)'!Y4</f>
        <v>1362.43</v>
      </c>
      <c r="H10" s="21">
        <f>SUM(C10:G10)</f>
        <v>51919.6</v>
      </c>
    </row>
    <row r="11" spans="1:8" ht="15.75" customHeight="1" x14ac:dyDescent="0.25">
      <c r="A11" s="20" t="s">
        <v>125</v>
      </c>
      <c r="B11" s="5" t="s">
        <v>94</v>
      </c>
      <c r="C11" s="21">
        <f>'IS_BU(MoM)'!U5</f>
        <v>359.41</v>
      </c>
      <c r="D11" s="21">
        <f>'IS_BU(MoM)'!V5</f>
        <v>4705.46</v>
      </c>
      <c r="E11" s="21">
        <f>'IS_BU(MoM)'!W5</f>
        <v>0</v>
      </c>
      <c r="F11" s="21">
        <f>'IS_BU(MoM)'!X5</f>
        <v>0</v>
      </c>
      <c r="G11" s="21">
        <f>'IS_BU(MoM)'!Y5</f>
        <v>0</v>
      </c>
      <c r="H11" s="21">
        <f t="shared" ref="H11:H12" si="0">SUM(C11:G11)</f>
        <v>5064.87</v>
      </c>
    </row>
    <row r="12" spans="1:8" ht="15.75" customHeight="1" x14ac:dyDescent="0.25">
      <c r="A12" s="35" t="s">
        <v>126</v>
      </c>
      <c r="B12" s="12" t="s">
        <v>95</v>
      </c>
      <c r="C12" s="21">
        <f>'IS_BU(MoM)'!U6</f>
        <v>0</v>
      </c>
      <c r="D12" s="22">
        <f>'IS_BU(MoM)'!V6</f>
        <v>-34403.71</v>
      </c>
      <c r="E12" s="22">
        <f>'IS_BU(MoM)'!W6</f>
        <v>0</v>
      </c>
      <c r="F12" s="22">
        <f>'IS_BU(MoM)'!X6</f>
        <v>0</v>
      </c>
      <c r="G12" s="22">
        <f>'IS_BU(MoM)'!Y6</f>
        <v>0</v>
      </c>
      <c r="H12" s="21">
        <f t="shared" si="0"/>
        <v>-34403.71</v>
      </c>
    </row>
    <row r="13" spans="1:8" ht="15.75" customHeight="1" x14ac:dyDescent="0.25">
      <c r="A13" s="36" t="s">
        <v>51</v>
      </c>
      <c r="B13" s="6" t="s">
        <v>96</v>
      </c>
      <c r="C13" s="82">
        <f t="shared" ref="C13:G13" si="1">SUM(C10:C12)</f>
        <v>359.41</v>
      </c>
      <c r="D13" s="23">
        <f t="shared" si="1"/>
        <v>20858.919999999998</v>
      </c>
      <c r="E13" s="23">
        <f t="shared" si="1"/>
        <v>0</v>
      </c>
      <c r="F13" s="23">
        <f t="shared" si="1"/>
        <v>0</v>
      </c>
      <c r="G13" s="23">
        <f t="shared" si="1"/>
        <v>1362.43</v>
      </c>
      <c r="H13" s="82">
        <f>SUM(H10:H12)</f>
        <v>22580.760000000002</v>
      </c>
    </row>
    <row r="14" spans="1:8" ht="15.75" customHeight="1" x14ac:dyDescent="0.25">
      <c r="A14" s="20" t="s">
        <v>28</v>
      </c>
      <c r="B14" s="5" t="s">
        <v>28</v>
      </c>
      <c r="C14" s="21"/>
      <c r="D14" s="21"/>
      <c r="E14" s="21"/>
      <c r="F14" s="21"/>
      <c r="G14" s="21"/>
      <c r="H14" s="21"/>
    </row>
    <row r="15" spans="1:8" ht="15.75" customHeight="1" x14ac:dyDescent="0.25">
      <c r="A15" s="20" t="s">
        <v>127</v>
      </c>
      <c r="B15" s="5" t="s">
        <v>97</v>
      </c>
      <c r="C15" s="21">
        <f>'IS_BU(MoM)'!U9</f>
        <v>14000</v>
      </c>
      <c r="D15" s="21">
        <f>'IS_BU(MoM)'!V9</f>
        <v>30495.54</v>
      </c>
      <c r="E15" s="21">
        <f>'IS_BU(MoM)'!W9</f>
        <v>0</v>
      </c>
      <c r="F15" s="21">
        <f>'IS_BU(MoM)'!X9</f>
        <v>0</v>
      </c>
      <c r="G15" s="21">
        <f>'IS_BU(MoM)'!Y9</f>
        <v>1658.2</v>
      </c>
      <c r="H15" s="21">
        <f>SUM(C15:G15)</f>
        <v>46153.74</v>
      </c>
    </row>
    <row r="16" spans="1:8" ht="15.75" customHeight="1" x14ac:dyDescent="0.25">
      <c r="A16" s="20" t="s">
        <v>128</v>
      </c>
      <c r="B16" s="5" t="s">
        <v>98</v>
      </c>
      <c r="C16" s="21">
        <f>'IS_BU(MoM)'!U10</f>
        <v>0</v>
      </c>
      <c r="D16" s="21">
        <f>'IS_BU(MoM)'!V10</f>
        <v>859.46</v>
      </c>
      <c r="E16" s="21">
        <f>'IS_BU(MoM)'!W10</f>
        <v>0</v>
      </c>
      <c r="F16" s="21">
        <f>'IS_BU(MoM)'!X10</f>
        <v>0</v>
      </c>
      <c r="G16" s="21">
        <f>'IS_BU(MoM)'!Y10</f>
        <v>1</v>
      </c>
      <c r="H16" s="21">
        <f t="shared" ref="H16:H17" si="2">SUM(C16:G16)</f>
        <v>860.46</v>
      </c>
    </row>
    <row r="17" spans="1:8" ht="15.75" customHeight="1" x14ac:dyDescent="0.25">
      <c r="A17" s="35" t="s">
        <v>129</v>
      </c>
      <c r="B17" s="12" t="s">
        <v>99</v>
      </c>
      <c r="C17" s="22">
        <f>'IS_BU(MoM)'!U11</f>
        <v>253.8</v>
      </c>
      <c r="D17" s="22">
        <f>'IS_BU(MoM)'!V11</f>
        <v>2266.34</v>
      </c>
      <c r="E17" s="22">
        <f>'IS_BU(MoM)'!W11</f>
        <v>0</v>
      </c>
      <c r="F17" s="22">
        <f>'IS_BU(MoM)'!X11</f>
        <v>0</v>
      </c>
      <c r="G17" s="22">
        <f>'IS_BU(MoM)'!Y11</f>
        <v>0</v>
      </c>
      <c r="H17" s="21">
        <f t="shared" si="2"/>
        <v>2520.1400000000003</v>
      </c>
    </row>
    <row r="18" spans="1:8" ht="15.75" customHeight="1" x14ac:dyDescent="0.25">
      <c r="A18" s="36" t="s">
        <v>88</v>
      </c>
      <c r="B18" s="6" t="s">
        <v>100</v>
      </c>
      <c r="C18" s="23">
        <f t="shared" ref="C18:H18" si="3">SUM(C15:C17)</f>
        <v>14253.8</v>
      </c>
      <c r="D18" s="23">
        <f t="shared" si="3"/>
        <v>33621.339999999997</v>
      </c>
      <c r="E18" s="23">
        <f t="shared" si="3"/>
        <v>0</v>
      </c>
      <c r="F18" s="23">
        <f t="shared" si="3"/>
        <v>0</v>
      </c>
      <c r="G18" s="23">
        <f t="shared" si="3"/>
        <v>1659.2</v>
      </c>
      <c r="H18" s="23">
        <f t="shared" si="3"/>
        <v>49534.34</v>
      </c>
    </row>
    <row r="19" spans="1:8" ht="15.75" customHeight="1" x14ac:dyDescent="0.25">
      <c r="A19" s="20" t="s">
        <v>28</v>
      </c>
      <c r="B19" s="5" t="s">
        <v>28</v>
      </c>
      <c r="C19" s="21"/>
      <c r="D19" s="21"/>
      <c r="E19" s="21"/>
      <c r="F19" s="21"/>
      <c r="G19" s="21"/>
      <c r="H19" s="21"/>
    </row>
    <row r="20" spans="1:8" ht="15.75" customHeight="1" x14ac:dyDescent="0.25">
      <c r="A20" s="36" t="s">
        <v>130</v>
      </c>
      <c r="B20" s="6" t="s">
        <v>101</v>
      </c>
      <c r="C20" s="23">
        <f t="shared" ref="C20:H20" si="4">C13+C18</f>
        <v>14613.21</v>
      </c>
      <c r="D20" s="23">
        <f t="shared" si="4"/>
        <v>54480.259999999995</v>
      </c>
      <c r="E20" s="23">
        <f t="shared" si="4"/>
        <v>0</v>
      </c>
      <c r="F20" s="23">
        <f t="shared" si="4"/>
        <v>0</v>
      </c>
      <c r="G20" s="23">
        <f t="shared" si="4"/>
        <v>3021.63</v>
      </c>
      <c r="H20" s="23">
        <f t="shared" si="4"/>
        <v>72115.100000000006</v>
      </c>
    </row>
    <row r="21" spans="1:8" ht="15.75" customHeight="1" x14ac:dyDescent="0.25">
      <c r="A21" s="20"/>
      <c r="B21" s="5"/>
      <c r="C21" s="21"/>
      <c r="D21" s="21"/>
      <c r="E21" s="21"/>
      <c r="F21" s="21"/>
      <c r="G21" s="21"/>
      <c r="H21" s="21"/>
    </row>
    <row r="22" spans="1:8" ht="15.75" customHeight="1" x14ac:dyDescent="0.25">
      <c r="A22" s="20" t="s">
        <v>131</v>
      </c>
      <c r="B22" s="5" t="s">
        <v>102</v>
      </c>
      <c r="C22" s="21">
        <f>-'IS_BU(MoM)'!U16</f>
        <v>0</v>
      </c>
      <c r="D22" s="21">
        <f>-'IS_BU(MoM)'!V16</f>
        <v>-10471.74</v>
      </c>
      <c r="E22" s="21">
        <f>-'IS_BU(MoM)'!W16</f>
        <v>0</v>
      </c>
      <c r="F22" s="21">
        <f>-'IS_BU(MoM)'!X16</f>
        <v>0</v>
      </c>
      <c r="G22" s="21">
        <f>-'IS_BU(MoM)'!Y16</f>
        <v>0</v>
      </c>
      <c r="H22" s="21">
        <f>-'IS_BU(MoM)'!Z16</f>
        <v>-10471.74</v>
      </c>
    </row>
    <row r="23" spans="1:8" ht="15.75" customHeight="1" x14ac:dyDescent="0.25">
      <c r="A23" s="51" t="s">
        <v>132</v>
      </c>
      <c r="B23" s="52" t="s">
        <v>103</v>
      </c>
      <c r="C23" s="53">
        <f>-'IS_BU(MoM)'!U17</f>
        <v>0</v>
      </c>
      <c r="D23" s="53">
        <f>-'IS_BU(MoM)'!V17</f>
        <v>-1297.69</v>
      </c>
      <c r="E23" s="53">
        <f>-'IS_BU(MoM)'!W17</f>
        <v>0</v>
      </c>
      <c r="F23" s="53">
        <f>-'IS_BU(MoM)'!X17</f>
        <v>0</v>
      </c>
      <c r="G23" s="53">
        <f>-'IS_BU(MoM)'!Y17</f>
        <v>-64.13</v>
      </c>
      <c r="H23" s="53">
        <f>-'IS_BU(MoM)'!Z17</f>
        <v>-1361.82</v>
      </c>
    </row>
    <row r="24" spans="1:8" ht="15.75" customHeight="1" x14ac:dyDescent="0.25">
      <c r="A24" s="36" t="s">
        <v>133</v>
      </c>
      <c r="B24" s="6" t="s">
        <v>104</v>
      </c>
      <c r="C24" s="23">
        <f t="shared" ref="C24:H24" si="5">SUM(C22:C23)</f>
        <v>0</v>
      </c>
      <c r="D24" s="23">
        <f t="shared" si="5"/>
        <v>-11769.43</v>
      </c>
      <c r="E24" s="23">
        <f t="shared" si="5"/>
        <v>0</v>
      </c>
      <c r="F24" s="23">
        <f t="shared" si="5"/>
        <v>0</v>
      </c>
      <c r="G24" s="23">
        <f t="shared" si="5"/>
        <v>-64.13</v>
      </c>
      <c r="H24" s="23">
        <f t="shared" si="5"/>
        <v>-11833.56</v>
      </c>
    </row>
    <row r="25" spans="1:8" ht="15.75" customHeight="1" x14ac:dyDescent="0.25">
      <c r="A25" s="20"/>
      <c r="B25" s="5"/>
      <c r="C25" s="21"/>
      <c r="D25" s="21"/>
      <c r="E25" s="21"/>
      <c r="F25" s="21"/>
      <c r="G25" s="21"/>
      <c r="H25" s="21"/>
    </row>
    <row r="26" spans="1:8" ht="15.75" customHeight="1" x14ac:dyDescent="0.25">
      <c r="A26" s="36" t="s">
        <v>134</v>
      </c>
      <c r="B26" s="6" t="s">
        <v>105</v>
      </c>
      <c r="C26" s="23">
        <f>C20+C24</f>
        <v>14613.21</v>
      </c>
      <c r="D26" s="23">
        <f>D20+D24</f>
        <v>42710.829999999994</v>
      </c>
      <c r="E26" s="23">
        <f t="shared" ref="E26:H26" si="6">E20+E24</f>
        <v>0</v>
      </c>
      <c r="F26" s="23">
        <f t="shared" si="6"/>
        <v>0</v>
      </c>
      <c r="G26" s="23">
        <f t="shared" si="6"/>
        <v>2957.5</v>
      </c>
      <c r="H26" s="23">
        <f t="shared" si="6"/>
        <v>60281.540000000008</v>
      </c>
    </row>
    <row r="27" spans="1:8" ht="15.75" customHeight="1" x14ac:dyDescent="0.25">
      <c r="A27" s="20"/>
      <c r="B27" s="5"/>
      <c r="C27" s="21"/>
      <c r="D27" s="21"/>
      <c r="E27" s="21"/>
      <c r="F27" s="21"/>
      <c r="G27" s="21"/>
      <c r="H27" s="21"/>
    </row>
    <row r="28" spans="1:8" ht="15.75" customHeight="1" x14ac:dyDescent="0.25">
      <c r="A28" s="20" t="s">
        <v>135</v>
      </c>
      <c r="B28" s="5" t="s">
        <v>106</v>
      </c>
      <c r="C28" s="21">
        <f>-'IS_BU(MoM)'!U22</f>
        <v>-4998.3100000000004</v>
      </c>
      <c r="D28" s="21">
        <f>-'IS_BU(MoM)'!V22</f>
        <v>-8606.86</v>
      </c>
      <c r="E28" s="21">
        <f>-'IS_BU(MoM)'!W22</f>
        <v>0</v>
      </c>
      <c r="F28" s="21">
        <f>-'IS_BU(MoM)'!X22</f>
        <v>0</v>
      </c>
      <c r="G28" s="21">
        <f>-'IS_BU(MoM)'!Y22</f>
        <v>-3873.42</v>
      </c>
      <c r="H28" s="21">
        <f t="shared" ref="H28:H29" si="7">SUM(C28:G28)</f>
        <v>-17478.590000000004</v>
      </c>
    </row>
    <row r="29" spans="1:8" ht="15.75" customHeight="1" x14ac:dyDescent="0.25">
      <c r="A29" s="20" t="s">
        <v>136</v>
      </c>
      <c r="B29" s="5" t="s">
        <v>107</v>
      </c>
      <c r="C29" s="21">
        <f>-'IS_BU(MoM)'!U23-'IS_BU(MoM)'!U24</f>
        <v>-62880.49</v>
      </c>
      <c r="D29" s="21">
        <f>-'IS_BU(MoM)'!V23-'IS_BU(MoM)'!V24</f>
        <v>-42778.06</v>
      </c>
      <c r="E29" s="21">
        <f>-'IS_BU(MoM)'!W23-'IS_BU(MoM)'!W24</f>
        <v>850.45999999999913</v>
      </c>
      <c r="F29" s="21">
        <f>-'IS_BU(MoM)'!X23-'IS_BU(MoM)'!X24</f>
        <v>-1101.92</v>
      </c>
      <c r="G29" s="21">
        <f>-'IS_BU(MoM)'!Y23-'IS_BU(MoM)'!Y24</f>
        <v>-4956.33</v>
      </c>
      <c r="H29" s="21">
        <f t="shared" si="7"/>
        <v>-110866.34</v>
      </c>
    </row>
    <row r="30" spans="1:8" ht="15.75" customHeight="1" thickBot="1" x14ac:dyDescent="0.3">
      <c r="A30" s="40"/>
      <c r="B30" s="112"/>
      <c r="C30" s="83"/>
      <c r="D30" s="83"/>
      <c r="E30" s="83"/>
      <c r="F30" s="83"/>
      <c r="G30" s="83"/>
      <c r="H30" s="83"/>
    </row>
    <row r="31" spans="1:8" ht="15.75" customHeight="1" x14ac:dyDescent="0.25">
      <c r="A31" s="36" t="s">
        <v>137</v>
      </c>
      <c r="B31" s="6" t="s">
        <v>262</v>
      </c>
      <c r="C31" s="23">
        <f>C26+C28+C29</f>
        <v>-53265.59</v>
      </c>
      <c r="D31" s="23">
        <f t="shared" ref="D31:G31" si="8">D26+D28+D29</f>
        <v>-8674.0900000000038</v>
      </c>
      <c r="E31" s="23">
        <f t="shared" si="8"/>
        <v>850.45999999999913</v>
      </c>
      <c r="F31" s="23">
        <f t="shared" si="8"/>
        <v>-1101.92</v>
      </c>
      <c r="G31" s="23">
        <f t="shared" si="8"/>
        <v>-5872.25</v>
      </c>
      <c r="H31" s="23">
        <f>SUM(C31:G31)</f>
        <v>-68063.39</v>
      </c>
    </row>
    <row r="32" spans="1:8" ht="15.75" customHeight="1" x14ac:dyDescent="0.25">
      <c r="A32" s="20" t="s">
        <v>28</v>
      </c>
      <c r="B32" s="5" t="s">
        <v>28</v>
      </c>
      <c r="C32" s="21"/>
      <c r="D32" s="21"/>
      <c r="E32" s="21"/>
      <c r="F32" s="21"/>
      <c r="G32" s="21"/>
      <c r="H32" s="21"/>
    </row>
    <row r="33" spans="1:8" ht="15.75" customHeight="1" thickBot="1" x14ac:dyDescent="0.3">
      <c r="A33" s="40"/>
      <c r="B33" s="24"/>
      <c r="C33" s="25"/>
      <c r="D33" s="25"/>
      <c r="E33" s="25"/>
      <c r="F33" s="25"/>
      <c r="G33" s="25"/>
      <c r="H33" s="25"/>
    </row>
    <row r="34" spans="1:8" ht="15.75" customHeight="1" x14ac:dyDescent="0.25">
      <c r="A34" s="55"/>
      <c r="B34" s="56" t="s">
        <v>108</v>
      </c>
      <c r="C34" s="57">
        <f t="shared" ref="C34:H34" si="9">C31-C33</f>
        <v>-53265.59</v>
      </c>
      <c r="D34" s="57">
        <f t="shared" si="9"/>
        <v>-8674.0900000000038</v>
      </c>
      <c r="E34" s="57">
        <f t="shared" si="9"/>
        <v>850.45999999999913</v>
      </c>
      <c r="F34" s="57">
        <f t="shared" si="9"/>
        <v>-1101.92</v>
      </c>
      <c r="G34" s="57">
        <f t="shared" si="9"/>
        <v>-5872.25</v>
      </c>
      <c r="H34" s="57">
        <f t="shared" si="9"/>
        <v>-68063.39</v>
      </c>
    </row>
    <row r="35" spans="1:8" ht="15.75" customHeight="1" x14ac:dyDescent="0.25">
      <c r="A35" s="20"/>
      <c r="B35" s="5"/>
      <c r="C35" s="21"/>
      <c r="D35" s="21"/>
      <c r="E35" s="21"/>
      <c r="F35" s="21"/>
      <c r="G35" s="21"/>
      <c r="H35" s="21"/>
    </row>
    <row r="36" spans="1:8" ht="15.75" customHeight="1" x14ac:dyDescent="0.25">
      <c r="A36" s="20" t="s">
        <v>138</v>
      </c>
      <c r="B36" s="5" t="s">
        <v>109</v>
      </c>
      <c r="C36" s="21">
        <f>-'IS_BU(MoM)'!U30</f>
        <v>-204.44</v>
      </c>
      <c r="D36" s="21">
        <f>-'IS_BU(MoM)'!V30</f>
        <v>-918.32</v>
      </c>
      <c r="E36" s="21">
        <f>-'IS_BU(MoM)'!W30</f>
        <v>0</v>
      </c>
      <c r="F36" s="21">
        <f>-'IS_BU(MoM)'!X30</f>
        <v>0</v>
      </c>
      <c r="G36" s="21">
        <f>-'IS_BU(MoM)'!Y30</f>
        <v>-81.400000000000006</v>
      </c>
      <c r="H36" s="21">
        <f>-'IS_BU(MoM)'!Z30</f>
        <v>-1204.1600000000001</v>
      </c>
    </row>
    <row r="37" spans="1:8" ht="15.75" customHeight="1" x14ac:dyDescent="0.25">
      <c r="A37" s="20" t="s">
        <v>139</v>
      </c>
      <c r="B37" s="5" t="s">
        <v>110</v>
      </c>
      <c r="C37" s="21">
        <f>-'IS_BU(MoM)'!U31</f>
        <v>0</v>
      </c>
      <c r="D37" s="21">
        <f>-'IS_BU(MoM)'!V31</f>
        <v>-287.7</v>
      </c>
      <c r="E37" s="21">
        <f>-'IS_BU(MoM)'!W31</f>
        <v>0</v>
      </c>
      <c r="F37" s="21">
        <f>-'IS_BU(MoM)'!X31</f>
        <v>0</v>
      </c>
      <c r="G37" s="21">
        <f>-'IS_BU(MoM)'!Y31</f>
        <v>0</v>
      </c>
      <c r="H37" s="21">
        <f>-'IS_BU(MoM)'!Z31</f>
        <v>-287.7</v>
      </c>
    </row>
    <row r="38" spans="1:8" ht="15.75" customHeight="1" x14ac:dyDescent="0.25">
      <c r="A38" s="20" t="s">
        <v>140</v>
      </c>
      <c r="B38" s="5" t="s">
        <v>111</v>
      </c>
      <c r="C38" s="21">
        <f>-'IS_BU(MoM)'!U32</f>
        <v>0</v>
      </c>
      <c r="D38" s="21">
        <f>-'IS_BU(MoM)'!V32</f>
        <v>-5483.75</v>
      </c>
      <c r="E38" s="21">
        <f>-'IS_BU(MoM)'!W32</f>
        <v>0</v>
      </c>
      <c r="F38" s="21">
        <f>-'IS_BU(MoM)'!X32</f>
        <v>0</v>
      </c>
      <c r="G38" s="21">
        <f>-'IS_BU(MoM)'!Y32</f>
        <v>0</v>
      </c>
      <c r="H38" s="21">
        <f>-'IS_BU(MoM)'!Z32</f>
        <v>-5483.75</v>
      </c>
    </row>
    <row r="39" spans="1:8" ht="15.75" customHeight="1" x14ac:dyDescent="0.25">
      <c r="A39" s="20" t="s">
        <v>141</v>
      </c>
      <c r="B39" s="5" t="s">
        <v>143</v>
      </c>
      <c r="C39" s="21">
        <f>-'IS_BU(MoM)'!U33</f>
        <v>-700</v>
      </c>
      <c r="D39" s="21">
        <f>-'IS_BU(MoM)'!V33</f>
        <v>-1167.32</v>
      </c>
      <c r="E39" s="21">
        <f>-'IS_BU(MoM)'!W33</f>
        <v>0</v>
      </c>
      <c r="F39" s="21">
        <f>-'IS_BU(MoM)'!X33</f>
        <v>0</v>
      </c>
      <c r="G39" s="21">
        <f>-'IS_BU(MoM)'!Y33</f>
        <v>0</v>
      </c>
      <c r="H39" s="21">
        <f>-'IS_BU(MoM)'!Z33</f>
        <v>-1867.32</v>
      </c>
    </row>
    <row r="40" spans="1:8" ht="15.75" customHeight="1" thickBot="1" x14ac:dyDescent="0.3">
      <c r="A40" s="40"/>
      <c r="B40" s="24"/>
      <c r="C40" s="25"/>
      <c r="D40" s="25"/>
      <c r="E40" s="25"/>
      <c r="F40" s="25"/>
      <c r="G40" s="25"/>
      <c r="H40" s="25"/>
    </row>
    <row r="41" spans="1:8" ht="15.75" customHeight="1" x14ac:dyDescent="0.25">
      <c r="A41" s="36" t="s">
        <v>28</v>
      </c>
      <c r="B41" s="6" t="s">
        <v>113</v>
      </c>
      <c r="C41" s="23">
        <f>C34+SUM(C36:C39)</f>
        <v>-54170.03</v>
      </c>
      <c r="D41" s="23">
        <f t="shared" ref="D41:H41" si="10">D34+SUM(D36:D39)</f>
        <v>-16531.180000000004</v>
      </c>
      <c r="E41" s="23">
        <f t="shared" si="10"/>
        <v>850.45999999999913</v>
      </c>
      <c r="F41" s="23">
        <f t="shared" si="10"/>
        <v>-1101.92</v>
      </c>
      <c r="G41" s="23">
        <f t="shared" si="10"/>
        <v>-5953.65</v>
      </c>
      <c r="H41" s="23">
        <f t="shared" si="10"/>
        <v>-76906.320000000007</v>
      </c>
    </row>
    <row r="42" spans="1:8" ht="15.75" customHeight="1" x14ac:dyDescent="0.25">
      <c r="A42" s="5"/>
      <c r="B42" s="5"/>
      <c r="C42" s="81"/>
      <c r="D42" s="81"/>
      <c r="E42" s="81"/>
      <c r="F42" s="81"/>
      <c r="G42" s="81"/>
      <c r="H42" s="81"/>
    </row>
    <row r="43" spans="1:8" ht="15.75" customHeight="1" x14ac:dyDescent="0.25">
      <c r="A43" s="5"/>
      <c r="B43" s="5"/>
      <c r="C43" s="21"/>
      <c r="D43" s="21"/>
      <c r="E43" s="21"/>
      <c r="F43" s="21"/>
      <c r="G43" s="21"/>
      <c r="H43" s="21"/>
    </row>
    <row r="44" spans="1:8" ht="15.75" customHeight="1" x14ac:dyDescent="0.25">
      <c r="A44" s="5"/>
      <c r="B44" s="5"/>
      <c r="C44" s="26"/>
      <c r="D44" s="18"/>
      <c r="E44" s="18"/>
      <c r="F44" s="18"/>
      <c r="G44" s="18"/>
      <c r="H44" s="18"/>
    </row>
    <row r="45" spans="1:8" ht="15.75" customHeight="1" x14ac:dyDescent="0.25">
      <c r="A45" s="5"/>
      <c r="B45" s="5"/>
      <c r="C45" s="26"/>
      <c r="D45" s="18"/>
      <c r="E45" s="18"/>
      <c r="F45" s="18"/>
      <c r="G45" s="18"/>
      <c r="H45" s="18"/>
    </row>
    <row r="46" spans="1:8" ht="15.75" customHeight="1" x14ac:dyDescent="0.25">
      <c r="A46" s="5"/>
      <c r="B46" s="5"/>
      <c r="C46" s="26"/>
      <c r="D46" s="18"/>
      <c r="E46" s="18"/>
      <c r="F46" s="18"/>
      <c r="G46" s="18"/>
      <c r="H46" s="18"/>
    </row>
    <row r="47" spans="1:8" ht="15.75" customHeight="1" x14ac:dyDescent="0.25">
      <c r="A47" s="5"/>
      <c r="B47" s="5"/>
      <c r="C47" s="26"/>
      <c r="D47" s="18"/>
      <c r="E47" s="18"/>
      <c r="F47" s="18"/>
      <c r="G47" s="18"/>
      <c r="H47" s="18"/>
    </row>
    <row r="48" spans="1:8" ht="15.75" customHeight="1" x14ac:dyDescent="0.25">
      <c r="A48" s="5"/>
      <c r="B48" s="5"/>
      <c r="C48" s="26"/>
      <c r="D48" s="18"/>
      <c r="E48" s="18"/>
      <c r="F48" s="18"/>
      <c r="G48" s="18"/>
      <c r="H48" s="18"/>
    </row>
    <row r="49" spans="1:8" ht="15.75" customHeight="1" x14ac:dyDescent="0.25">
      <c r="A49" s="5"/>
      <c r="B49" s="5"/>
      <c r="C49" s="18"/>
      <c r="D49" s="18"/>
      <c r="E49" s="18"/>
      <c r="F49" s="18"/>
      <c r="G49" s="18"/>
      <c r="H49" s="18"/>
    </row>
    <row r="50" spans="1:8" ht="15.75" customHeight="1" x14ac:dyDescent="0.25">
      <c r="A50" s="5"/>
      <c r="B50" s="5"/>
      <c r="C50" s="18"/>
      <c r="D50" s="18"/>
      <c r="E50" s="18"/>
      <c r="F50" s="18"/>
      <c r="G50" s="18"/>
      <c r="H50" s="18"/>
    </row>
    <row r="51" spans="1:8" ht="15.75" customHeight="1" x14ac:dyDescent="0.25">
      <c r="A51" s="5"/>
      <c r="B51" s="5"/>
      <c r="C51" s="18"/>
      <c r="D51" s="18"/>
      <c r="E51" s="18"/>
      <c r="F51" s="18"/>
      <c r="G51" s="18"/>
      <c r="H51" s="18"/>
    </row>
    <row r="52" spans="1:8" ht="15.75" customHeight="1" x14ac:dyDescent="0.25">
      <c r="A52" s="5"/>
      <c r="B52" s="5"/>
      <c r="C52" s="21"/>
      <c r="D52" s="21"/>
      <c r="E52" s="21"/>
      <c r="F52" s="21"/>
      <c r="G52" s="21"/>
      <c r="H52" s="21"/>
    </row>
    <row r="53" spans="1:8" ht="15.75" customHeight="1" x14ac:dyDescent="0.25">
      <c r="A53" s="5"/>
      <c r="B53" s="5"/>
      <c r="C53" s="21"/>
      <c r="D53" s="18"/>
      <c r="E53" s="18"/>
      <c r="F53" s="18"/>
      <c r="G53" s="18"/>
      <c r="H53" s="18"/>
    </row>
    <row r="54" spans="1:8" ht="15.75" customHeight="1" x14ac:dyDescent="0.25">
      <c r="A54" s="5"/>
      <c r="B54" s="5"/>
      <c r="C54" s="18"/>
      <c r="D54" s="18"/>
      <c r="E54" s="18"/>
      <c r="F54" s="18"/>
      <c r="G54" s="18"/>
      <c r="H54" s="18"/>
    </row>
    <row r="55" spans="1:8" ht="15.75" customHeight="1" x14ac:dyDescent="0.25">
      <c r="A55" s="5"/>
      <c r="B55" s="5"/>
      <c r="C55" s="18"/>
      <c r="D55" s="18"/>
      <c r="E55" s="18"/>
      <c r="F55" s="18"/>
      <c r="G55" s="18"/>
      <c r="H55" s="18"/>
    </row>
    <row r="56" spans="1:8" ht="15.75" customHeight="1" x14ac:dyDescent="0.25">
      <c r="A56" s="5"/>
      <c r="B56" s="5"/>
      <c r="C56" s="18"/>
      <c r="D56" s="18"/>
      <c r="E56" s="18"/>
      <c r="F56" s="18"/>
      <c r="G56" s="18"/>
      <c r="H56" s="18"/>
    </row>
    <row r="57" spans="1:8" ht="15.75" customHeight="1" x14ac:dyDescent="0.25">
      <c r="A57" s="5"/>
      <c r="B57" s="5"/>
      <c r="C57" s="18"/>
      <c r="D57" s="18"/>
      <c r="E57" s="18"/>
      <c r="F57" s="18"/>
      <c r="G57" s="18"/>
      <c r="H57" s="18"/>
    </row>
    <row r="58" spans="1:8" ht="15.75" customHeight="1" x14ac:dyDescent="0.25">
      <c r="A58" s="5"/>
      <c r="B58" s="5"/>
      <c r="C58" s="18"/>
      <c r="D58" s="18"/>
      <c r="E58" s="18"/>
      <c r="F58" s="18"/>
      <c r="G58" s="18"/>
      <c r="H58" s="18"/>
    </row>
    <row r="59" spans="1:8" ht="15.75" customHeight="1" x14ac:dyDescent="0.25">
      <c r="A59" s="5"/>
      <c r="B59" s="5"/>
      <c r="C59" s="18"/>
      <c r="D59" s="18"/>
      <c r="E59" s="18"/>
      <c r="F59" s="18"/>
      <c r="G59" s="18"/>
      <c r="H59" s="18"/>
    </row>
    <row r="60" spans="1:8" ht="15.75" customHeight="1" x14ac:dyDescent="0.25">
      <c r="A60" s="5"/>
      <c r="B60" s="5"/>
      <c r="C60" s="18"/>
      <c r="D60" s="18"/>
      <c r="E60" s="18"/>
      <c r="F60" s="18"/>
      <c r="G60" s="18"/>
      <c r="H60" s="18"/>
    </row>
    <row r="61" spans="1:8" ht="15.75" customHeight="1" x14ac:dyDescent="0.25">
      <c r="A61" s="5"/>
      <c r="B61" s="5"/>
      <c r="C61" s="18"/>
      <c r="D61" s="18"/>
      <c r="E61" s="18"/>
      <c r="F61" s="18"/>
      <c r="G61" s="18"/>
      <c r="H61" s="18"/>
    </row>
    <row r="62" spans="1:8" ht="15.75" customHeight="1" x14ac:dyDescent="0.25">
      <c r="A62" s="5"/>
      <c r="B62" s="5"/>
      <c r="C62" s="18"/>
      <c r="D62" s="18"/>
      <c r="E62" s="18"/>
      <c r="F62" s="18"/>
      <c r="G62" s="18"/>
      <c r="H62" s="18"/>
    </row>
    <row r="63" spans="1:8" ht="15.75" customHeight="1" x14ac:dyDescent="0.25">
      <c r="A63" s="5"/>
      <c r="B63" s="5"/>
      <c r="C63" s="18"/>
      <c r="D63" s="18"/>
      <c r="E63" s="18"/>
      <c r="F63" s="18"/>
      <c r="G63" s="18"/>
      <c r="H63" s="18"/>
    </row>
    <row r="64" spans="1:8" ht="15.75" customHeight="1" x14ac:dyDescent="0.25">
      <c r="A64" s="5"/>
      <c r="B64" s="5"/>
      <c r="C64" s="18"/>
      <c r="D64" s="18"/>
      <c r="E64" s="18"/>
      <c r="F64" s="18"/>
      <c r="G64" s="18"/>
      <c r="H64" s="18"/>
    </row>
    <row r="65" spans="1:8" ht="15.75" customHeight="1" x14ac:dyDescent="0.25">
      <c r="A65" s="5"/>
      <c r="B65" s="5"/>
      <c r="C65" s="18"/>
      <c r="D65" s="18"/>
      <c r="E65" s="18"/>
      <c r="F65" s="18"/>
      <c r="G65" s="18"/>
      <c r="H65" s="18"/>
    </row>
    <row r="66" spans="1:8" ht="15.75" customHeight="1" x14ac:dyDescent="0.25">
      <c r="A66" s="5"/>
      <c r="B66" s="5"/>
      <c r="C66" s="18"/>
      <c r="D66" s="18"/>
      <c r="E66" s="18"/>
      <c r="F66" s="18"/>
      <c r="G66" s="18"/>
      <c r="H66" s="18"/>
    </row>
    <row r="67" spans="1:8" ht="15.75" customHeight="1" x14ac:dyDescent="0.25">
      <c r="A67" s="5"/>
      <c r="B67" s="5"/>
      <c r="C67" s="18"/>
      <c r="D67" s="18"/>
      <c r="E67" s="18"/>
      <c r="F67" s="18"/>
      <c r="G67" s="18"/>
      <c r="H67" s="18"/>
    </row>
    <row r="68" spans="1:8" ht="15.75" customHeight="1" x14ac:dyDescent="0.25">
      <c r="A68" s="5"/>
      <c r="B68" s="5"/>
      <c r="C68" s="18"/>
      <c r="D68" s="18"/>
      <c r="E68" s="18"/>
      <c r="F68" s="18"/>
      <c r="G68" s="18"/>
      <c r="H68" s="18"/>
    </row>
    <row r="69" spans="1:8" ht="15.75" customHeight="1" x14ac:dyDescent="0.25">
      <c r="A69" s="5"/>
      <c r="B69" s="5"/>
      <c r="C69" s="18"/>
      <c r="D69" s="18"/>
      <c r="E69" s="18"/>
      <c r="F69" s="18"/>
      <c r="G69" s="18"/>
      <c r="H69" s="18"/>
    </row>
    <row r="70" spans="1:8" ht="15.75" customHeight="1" x14ac:dyDescent="0.25">
      <c r="A70" s="5"/>
      <c r="B70" s="5"/>
      <c r="C70" s="18"/>
      <c r="D70" s="18"/>
      <c r="E70" s="18"/>
      <c r="F70" s="18"/>
      <c r="G70" s="18"/>
      <c r="H70" s="18"/>
    </row>
    <row r="71" spans="1:8" ht="15.75" customHeight="1" x14ac:dyDescent="0.25">
      <c r="A71" s="5"/>
      <c r="B71" s="5"/>
      <c r="C71" s="18"/>
      <c r="D71" s="18"/>
      <c r="E71" s="18"/>
      <c r="F71" s="18"/>
      <c r="G71" s="18"/>
      <c r="H71" s="18"/>
    </row>
    <row r="72" spans="1:8" ht="15.75" customHeight="1" x14ac:dyDescent="0.25">
      <c r="A72" s="5"/>
      <c r="B72" s="5"/>
      <c r="C72" s="18"/>
      <c r="D72" s="18"/>
      <c r="E72" s="18"/>
      <c r="F72" s="18"/>
      <c r="G72" s="18"/>
      <c r="H72" s="18"/>
    </row>
    <row r="73" spans="1:8" ht="15.75" customHeight="1" x14ac:dyDescent="0.25">
      <c r="A73" s="5"/>
      <c r="B73" s="5"/>
      <c r="C73" s="18"/>
      <c r="D73" s="18"/>
      <c r="E73" s="18"/>
      <c r="F73" s="18"/>
      <c r="G73" s="18"/>
      <c r="H73" s="18"/>
    </row>
    <row r="74" spans="1:8" ht="15.75" customHeight="1" x14ac:dyDescent="0.25">
      <c r="A74" s="5"/>
      <c r="B74" s="5"/>
      <c r="C74" s="18"/>
      <c r="D74" s="18"/>
      <c r="E74" s="18"/>
      <c r="F74" s="18"/>
      <c r="G74" s="18"/>
      <c r="H74" s="18"/>
    </row>
    <row r="75" spans="1:8" ht="15.75" customHeight="1" x14ac:dyDescent="0.25">
      <c r="A75" s="5"/>
      <c r="B75" s="5"/>
      <c r="C75" s="18"/>
      <c r="D75" s="18"/>
      <c r="E75" s="18"/>
      <c r="F75" s="18"/>
      <c r="G75" s="18"/>
      <c r="H75" s="18"/>
    </row>
    <row r="76" spans="1:8" ht="15.75" customHeight="1" x14ac:dyDescent="0.25">
      <c r="A76" s="5"/>
      <c r="B76" s="5"/>
      <c r="C76" s="18"/>
      <c r="D76" s="18"/>
      <c r="E76" s="18"/>
      <c r="F76" s="18"/>
      <c r="G76" s="18"/>
      <c r="H76" s="18"/>
    </row>
    <row r="77" spans="1:8" ht="15.75" customHeight="1" x14ac:dyDescent="0.25">
      <c r="A77" s="5"/>
      <c r="B77" s="5"/>
      <c r="C77" s="18"/>
      <c r="D77" s="18"/>
      <c r="E77" s="18"/>
      <c r="F77" s="18"/>
      <c r="G77" s="18"/>
      <c r="H77" s="18"/>
    </row>
    <row r="78" spans="1:8" ht="15.75" customHeight="1" x14ac:dyDescent="0.25">
      <c r="A78" s="5"/>
      <c r="B78" s="5"/>
      <c r="C78" s="18"/>
      <c r="D78" s="18"/>
      <c r="E78" s="18"/>
      <c r="F78" s="18"/>
      <c r="G78" s="18"/>
      <c r="H78" s="18"/>
    </row>
    <row r="79" spans="1:8" ht="15.75" customHeight="1" x14ac:dyDescent="0.25">
      <c r="A79" s="5"/>
      <c r="B79" s="5"/>
      <c r="C79" s="18"/>
      <c r="D79" s="18"/>
      <c r="E79" s="18"/>
      <c r="F79" s="18"/>
      <c r="G79" s="18"/>
      <c r="H79" s="18"/>
    </row>
    <row r="80" spans="1:8" ht="15.75" customHeight="1" x14ac:dyDescent="0.25">
      <c r="A80" s="5"/>
      <c r="B80" s="5"/>
      <c r="C80" s="18"/>
      <c r="D80" s="18"/>
      <c r="E80" s="18"/>
      <c r="F80" s="18"/>
      <c r="G80" s="18"/>
      <c r="H80" s="18"/>
    </row>
    <row r="81" spans="1:8" ht="15.75" customHeight="1" x14ac:dyDescent="0.25">
      <c r="A81" s="5"/>
      <c r="B81" s="5"/>
      <c r="C81" s="18"/>
      <c r="D81" s="18"/>
      <c r="E81" s="18"/>
      <c r="F81" s="18"/>
      <c r="G81" s="18"/>
      <c r="H81" s="18"/>
    </row>
    <row r="82" spans="1:8" ht="15.75" customHeight="1" x14ac:dyDescent="0.25">
      <c r="A82" s="5"/>
      <c r="B82" s="5"/>
      <c r="C82" s="18"/>
      <c r="D82" s="18"/>
      <c r="E82" s="18"/>
      <c r="F82" s="18"/>
      <c r="G82" s="18"/>
      <c r="H82" s="18"/>
    </row>
    <row r="83" spans="1:8" ht="15.75" customHeight="1" x14ac:dyDescent="0.25">
      <c r="A83" s="5"/>
      <c r="B83" s="5"/>
      <c r="C83" s="18"/>
      <c r="D83" s="18"/>
      <c r="E83" s="18"/>
      <c r="F83" s="18"/>
      <c r="G83" s="18"/>
      <c r="H83" s="18"/>
    </row>
    <row r="84" spans="1:8" ht="15.75" customHeight="1" x14ac:dyDescent="0.25">
      <c r="A84" s="5"/>
      <c r="B84" s="5"/>
      <c r="C84" s="18"/>
      <c r="D84" s="18"/>
      <c r="E84" s="18"/>
      <c r="F84" s="18"/>
      <c r="G84" s="18"/>
      <c r="H84" s="18"/>
    </row>
    <row r="85" spans="1:8" ht="15.75" customHeight="1" x14ac:dyDescent="0.25">
      <c r="A85" s="5"/>
      <c r="B85" s="5"/>
      <c r="C85" s="18"/>
      <c r="D85" s="18"/>
      <c r="E85" s="18"/>
      <c r="F85" s="18"/>
      <c r="G85" s="18"/>
      <c r="H85" s="18"/>
    </row>
    <row r="86" spans="1:8" ht="15.75" customHeight="1" x14ac:dyDescent="0.25">
      <c r="A86" s="5"/>
      <c r="B86" s="5"/>
      <c r="C86" s="18"/>
      <c r="D86" s="18"/>
      <c r="E86" s="18"/>
      <c r="F86" s="18"/>
      <c r="G86" s="18"/>
      <c r="H86" s="18"/>
    </row>
    <row r="87" spans="1:8" ht="15.75" customHeight="1" x14ac:dyDescent="0.25">
      <c r="A87" s="5"/>
      <c r="B87" s="5"/>
      <c r="C87" s="18"/>
      <c r="D87" s="18"/>
      <c r="E87" s="18"/>
      <c r="F87" s="18"/>
      <c r="G87" s="18"/>
      <c r="H87" s="18"/>
    </row>
    <row r="88" spans="1:8" ht="15.75" customHeight="1" x14ac:dyDescent="0.25">
      <c r="A88" s="5"/>
      <c r="B88" s="5"/>
      <c r="C88" s="18"/>
      <c r="D88" s="18"/>
      <c r="E88" s="18"/>
      <c r="F88" s="18"/>
      <c r="G88" s="18"/>
      <c r="H88" s="18"/>
    </row>
    <row r="89" spans="1:8" ht="15.75" customHeight="1" x14ac:dyDescent="0.25">
      <c r="A89" s="5"/>
      <c r="B89" s="5"/>
      <c r="C89" s="18"/>
      <c r="D89" s="18"/>
      <c r="E89" s="18"/>
      <c r="F89" s="18"/>
      <c r="G89" s="18"/>
      <c r="H89" s="18"/>
    </row>
    <row r="90" spans="1:8" ht="15.75" customHeight="1" x14ac:dyDescent="0.25">
      <c r="A90" s="5"/>
      <c r="B90" s="5"/>
      <c r="C90" s="18"/>
      <c r="D90" s="18"/>
      <c r="E90" s="18"/>
      <c r="F90" s="18"/>
      <c r="G90" s="18"/>
      <c r="H90" s="18"/>
    </row>
    <row r="91" spans="1:8" ht="15.75" customHeight="1" x14ac:dyDescent="0.25">
      <c r="A91" s="5"/>
      <c r="B91" s="5"/>
      <c r="C91" s="18"/>
      <c r="D91" s="18"/>
      <c r="E91" s="18"/>
      <c r="F91" s="18"/>
      <c r="G91" s="18"/>
      <c r="H91" s="18"/>
    </row>
    <row r="92" spans="1:8" ht="15.75" customHeight="1" x14ac:dyDescent="0.25">
      <c r="A92" s="5"/>
      <c r="B92" s="5"/>
      <c r="C92" s="18"/>
      <c r="D92" s="18"/>
      <c r="E92" s="18"/>
      <c r="F92" s="18"/>
      <c r="G92" s="18"/>
      <c r="H92" s="18"/>
    </row>
    <row r="93" spans="1:8" ht="15.75" customHeight="1" x14ac:dyDescent="0.25">
      <c r="A93" s="5"/>
      <c r="B93" s="5"/>
      <c r="C93" s="18"/>
      <c r="D93" s="18"/>
      <c r="E93" s="18"/>
      <c r="F93" s="18"/>
      <c r="G93" s="18"/>
      <c r="H93" s="18"/>
    </row>
    <row r="94" spans="1:8" ht="15.75" customHeight="1" x14ac:dyDescent="0.25">
      <c r="A94" s="5"/>
      <c r="B94" s="5"/>
      <c r="C94" s="18"/>
      <c r="D94" s="18"/>
      <c r="E94" s="18"/>
      <c r="F94" s="18"/>
      <c r="G94" s="18"/>
      <c r="H94" s="18"/>
    </row>
    <row r="95" spans="1:8" ht="15.75" customHeight="1" x14ac:dyDescent="0.25">
      <c r="A95" s="5"/>
      <c r="B95" s="5"/>
      <c r="C95" s="18"/>
      <c r="D95" s="18"/>
      <c r="E95" s="18"/>
      <c r="F95" s="18"/>
      <c r="G95" s="18"/>
      <c r="H95" s="18"/>
    </row>
    <row r="96" spans="1:8" ht="15.75" customHeight="1" x14ac:dyDescent="0.25">
      <c r="A96" s="5"/>
      <c r="B96" s="5"/>
      <c r="C96" s="18"/>
      <c r="D96" s="18"/>
      <c r="E96" s="18"/>
      <c r="F96" s="18"/>
      <c r="G96" s="18"/>
      <c r="H96" s="18"/>
    </row>
    <row r="97" spans="1:8" ht="15.75" customHeight="1" x14ac:dyDescent="0.25">
      <c r="A97" s="5"/>
      <c r="B97" s="5"/>
      <c r="C97" s="18"/>
      <c r="D97" s="18"/>
      <c r="E97" s="18"/>
      <c r="F97" s="18"/>
      <c r="G97" s="18"/>
      <c r="H97" s="18"/>
    </row>
    <row r="98" spans="1:8" ht="15.75" customHeight="1" x14ac:dyDescent="0.25">
      <c r="A98" s="5"/>
      <c r="B98" s="5"/>
      <c r="C98" s="18"/>
      <c r="D98" s="18"/>
      <c r="E98" s="18"/>
      <c r="F98" s="18"/>
      <c r="G98" s="18"/>
      <c r="H98" s="18"/>
    </row>
    <row r="99" spans="1:8" ht="15.75" customHeight="1" x14ac:dyDescent="0.25">
      <c r="A99" s="5"/>
      <c r="B99" s="5"/>
      <c r="C99" s="18"/>
      <c r="D99" s="18"/>
      <c r="E99" s="18"/>
      <c r="F99" s="18"/>
      <c r="G99" s="18"/>
      <c r="H99" s="18"/>
    </row>
    <row r="100" spans="1:8" ht="15.75" customHeight="1" x14ac:dyDescent="0.25">
      <c r="A100" s="5"/>
      <c r="B100" s="5"/>
      <c r="C100" s="18"/>
      <c r="D100" s="18"/>
      <c r="E100" s="18"/>
      <c r="F100" s="18"/>
      <c r="G100" s="18"/>
      <c r="H100" s="18"/>
    </row>
    <row r="101" spans="1:8" ht="15.75" customHeight="1" x14ac:dyDescent="0.25">
      <c r="A101" s="5"/>
      <c r="B101" s="5"/>
      <c r="C101" s="18"/>
      <c r="D101" s="18"/>
      <c r="E101" s="18"/>
      <c r="F101" s="18"/>
      <c r="G101" s="18"/>
      <c r="H101" s="18"/>
    </row>
    <row r="102" spans="1:8" ht="15.75" customHeight="1" x14ac:dyDescent="0.25">
      <c r="A102" s="5"/>
      <c r="B102" s="5"/>
      <c r="C102" s="18"/>
      <c r="D102" s="18"/>
      <c r="E102" s="18"/>
      <c r="F102" s="18"/>
      <c r="G102" s="18"/>
      <c r="H102" s="18"/>
    </row>
    <row r="103" spans="1:8" ht="15.75" customHeight="1" x14ac:dyDescent="0.25">
      <c r="A103" s="5"/>
      <c r="B103" s="5"/>
      <c r="C103" s="18"/>
      <c r="D103" s="18"/>
      <c r="E103" s="18"/>
      <c r="F103" s="18"/>
      <c r="G103" s="18"/>
      <c r="H103" s="18"/>
    </row>
    <row r="104" spans="1:8" ht="15.75" customHeight="1" x14ac:dyDescent="0.25">
      <c r="A104" s="5"/>
      <c r="B104" s="5"/>
      <c r="C104" s="18"/>
      <c r="D104" s="18"/>
      <c r="E104" s="18"/>
      <c r="F104" s="18"/>
      <c r="G104" s="18"/>
      <c r="H104" s="18"/>
    </row>
    <row r="105" spans="1:8" ht="15.75" customHeight="1" x14ac:dyDescent="0.25">
      <c r="A105" s="5"/>
      <c r="B105" s="5"/>
      <c r="C105" s="18"/>
      <c r="D105" s="18"/>
      <c r="E105" s="18"/>
      <c r="F105" s="18"/>
      <c r="G105" s="18"/>
      <c r="H105" s="18"/>
    </row>
    <row r="106" spans="1:8" ht="15.75" customHeight="1" x14ac:dyDescent="0.25">
      <c r="A106" s="5"/>
      <c r="B106" s="5"/>
      <c r="C106" s="18"/>
      <c r="D106" s="18"/>
      <c r="E106" s="18"/>
      <c r="F106" s="18"/>
      <c r="G106" s="18"/>
      <c r="H106" s="18"/>
    </row>
    <row r="107" spans="1:8" ht="15.75" customHeight="1" x14ac:dyDescent="0.25">
      <c r="A107" s="5"/>
      <c r="B107" s="5"/>
      <c r="C107" s="18"/>
      <c r="D107" s="18"/>
      <c r="E107" s="18"/>
      <c r="F107" s="18"/>
      <c r="G107" s="18"/>
      <c r="H107" s="18"/>
    </row>
    <row r="108" spans="1:8" ht="15.75" customHeight="1" x14ac:dyDescent="0.25">
      <c r="A108" s="5"/>
      <c r="B108" s="5"/>
      <c r="C108" s="18"/>
      <c r="D108" s="18"/>
      <c r="E108" s="18"/>
      <c r="F108" s="18"/>
      <c r="G108" s="18"/>
      <c r="H108" s="18"/>
    </row>
    <row r="109" spans="1:8" ht="15.75" customHeight="1" x14ac:dyDescent="0.25">
      <c r="A109" s="5"/>
      <c r="B109" s="5"/>
      <c r="C109" s="18"/>
      <c r="D109" s="18"/>
      <c r="E109" s="18"/>
      <c r="F109" s="18"/>
      <c r="G109" s="18"/>
      <c r="H109" s="18"/>
    </row>
    <row r="110" spans="1:8" ht="15.75" customHeight="1" x14ac:dyDescent="0.25">
      <c r="A110" s="5"/>
      <c r="B110" s="5"/>
      <c r="C110" s="18"/>
      <c r="D110" s="18"/>
      <c r="E110" s="18"/>
      <c r="F110" s="18"/>
      <c r="G110" s="18"/>
      <c r="H110" s="18"/>
    </row>
    <row r="111" spans="1:8" ht="15.75" customHeight="1" x14ac:dyDescent="0.25">
      <c r="A111" s="5"/>
      <c r="B111" s="5"/>
      <c r="C111" s="18"/>
      <c r="D111" s="18"/>
      <c r="E111" s="18"/>
      <c r="F111" s="18"/>
      <c r="G111" s="18"/>
      <c r="H111" s="18"/>
    </row>
    <row r="112" spans="1:8" ht="15.75" customHeight="1" x14ac:dyDescent="0.25">
      <c r="A112" s="5"/>
      <c r="B112" s="5"/>
      <c r="C112" s="18"/>
      <c r="D112" s="18"/>
      <c r="E112" s="18"/>
      <c r="F112" s="18"/>
      <c r="G112" s="18"/>
      <c r="H112" s="18"/>
    </row>
    <row r="113" spans="1:8" ht="15.75" customHeight="1" x14ac:dyDescent="0.25">
      <c r="A113" s="5"/>
      <c r="B113" s="5"/>
      <c r="C113" s="18"/>
      <c r="D113" s="18"/>
      <c r="E113" s="18"/>
      <c r="F113" s="18"/>
      <c r="G113" s="18"/>
      <c r="H113" s="18"/>
    </row>
    <row r="114" spans="1:8" ht="15.75" customHeight="1" x14ac:dyDescent="0.25">
      <c r="A114" s="5"/>
      <c r="B114" s="5"/>
      <c r="C114" s="18"/>
      <c r="D114" s="18"/>
      <c r="E114" s="18"/>
      <c r="F114" s="18"/>
      <c r="G114" s="18"/>
      <c r="H114" s="18"/>
    </row>
    <row r="115" spans="1:8" ht="15.75" customHeight="1" x14ac:dyDescent="0.25">
      <c r="A115" s="5"/>
      <c r="B115" s="5"/>
      <c r="C115" s="18"/>
      <c r="D115" s="18"/>
      <c r="E115" s="18"/>
      <c r="F115" s="18"/>
      <c r="G115" s="18"/>
      <c r="H115" s="18"/>
    </row>
    <row r="116" spans="1:8" ht="15.75" customHeight="1" x14ac:dyDescent="0.25">
      <c r="A116" s="5"/>
      <c r="B116" s="5"/>
      <c r="C116" s="18"/>
      <c r="D116" s="18"/>
      <c r="E116" s="18"/>
      <c r="F116" s="18"/>
      <c r="G116" s="18"/>
      <c r="H116" s="18"/>
    </row>
    <row r="117" spans="1:8" ht="15.75" customHeight="1" x14ac:dyDescent="0.25">
      <c r="A117" s="5"/>
      <c r="B117" s="5"/>
      <c r="C117" s="18"/>
      <c r="D117" s="18"/>
      <c r="E117" s="18"/>
      <c r="F117" s="18"/>
      <c r="G117" s="18"/>
      <c r="H117" s="18"/>
    </row>
    <row r="118" spans="1:8" ht="15.75" customHeight="1" x14ac:dyDescent="0.25">
      <c r="A118" s="5"/>
      <c r="B118" s="5"/>
      <c r="C118" s="18"/>
      <c r="D118" s="18"/>
      <c r="E118" s="18"/>
      <c r="F118" s="18"/>
      <c r="G118" s="18"/>
      <c r="H118" s="18"/>
    </row>
    <row r="119" spans="1:8" ht="15.75" customHeight="1" x14ac:dyDescent="0.25">
      <c r="A119" s="5"/>
      <c r="B119" s="5"/>
      <c r="C119" s="18"/>
      <c r="D119" s="18"/>
      <c r="E119" s="18"/>
      <c r="F119" s="18"/>
      <c r="G119" s="18"/>
      <c r="H119" s="18"/>
    </row>
    <row r="120" spans="1:8" ht="15.75" customHeight="1" x14ac:dyDescent="0.25">
      <c r="A120" s="5"/>
      <c r="B120" s="5"/>
      <c r="C120" s="18"/>
      <c r="D120" s="18"/>
      <c r="E120" s="18"/>
      <c r="F120" s="18"/>
      <c r="G120" s="18"/>
      <c r="H120" s="18"/>
    </row>
    <row r="121" spans="1:8" ht="15.75" customHeight="1" x14ac:dyDescent="0.25">
      <c r="A121" s="5"/>
      <c r="B121" s="5"/>
      <c r="C121" s="18"/>
      <c r="D121" s="18"/>
      <c r="E121" s="18"/>
      <c r="F121" s="18"/>
      <c r="G121" s="18"/>
      <c r="H121" s="18"/>
    </row>
    <row r="122" spans="1:8" ht="15.75" customHeight="1" x14ac:dyDescent="0.25">
      <c r="A122" s="5"/>
      <c r="B122" s="5"/>
      <c r="C122" s="18"/>
      <c r="D122" s="18"/>
      <c r="E122" s="18"/>
      <c r="F122" s="18"/>
      <c r="G122" s="18"/>
      <c r="H122" s="18"/>
    </row>
    <row r="123" spans="1:8" ht="15.75" customHeight="1" x14ac:dyDescent="0.25">
      <c r="A123" s="5"/>
      <c r="B123" s="5"/>
      <c r="C123" s="18"/>
      <c r="D123" s="18"/>
      <c r="E123" s="18"/>
      <c r="F123" s="18"/>
      <c r="G123" s="18"/>
      <c r="H123" s="18"/>
    </row>
    <row r="124" spans="1:8" ht="15.75" customHeight="1" x14ac:dyDescent="0.25">
      <c r="A124" s="5"/>
      <c r="B124" s="5"/>
      <c r="C124" s="18"/>
      <c r="D124" s="18"/>
      <c r="E124" s="18"/>
      <c r="F124" s="18"/>
      <c r="G124" s="18"/>
      <c r="H124" s="18"/>
    </row>
    <row r="125" spans="1:8" ht="15.75" customHeight="1" x14ac:dyDescent="0.25">
      <c r="A125" s="5"/>
      <c r="B125" s="5"/>
      <c r="C125" s="18"/>
      <c r="D125" s="18"/>
      <c r="E125" s="18"/>
      <c r="F125" s="18"/>
      <c r="G125" s="18"/>
      <c r="H125" s="18"/>
    </row>
    <row r="126" spans="1:8" ht="15.75" customHeight="1" x14ac:dyDescent="0.25">
      <c r="A126" s="5"/>
      <c r="B126" s="5"/>
      <c r="C126" s="18"/>
      <c r="D126" s="18"/>
      <c r="E126" s="18"/>
      <c r="F126" s="18"/>
      <c r="G126" s="18"/>
      <c r="H126" s="18"/>
    </row>
    <row r="127" spans="1:8" ht="15.75" customHeight="1" x14ac:dyDescent="0.25">
      <c r="A127" s="5"/>
      <c r="B127" s="5"/>
      <c r="C127" s="18"/>
      <c r="D127" s="18"/>
      <c r="E127" s="18"/>
      <c r="F127" s="18"/>
      <c r="G127" s="18"/>
      <c r="H127" s="18"/>
    </row>
    <row r="128" spans="1:8" ht="15.75" customHeight="1" x14ac:dyDescent="0.25">
      <c r="A128" s="5"/>
      <c r="B128" s="5"/>
      <c r="C128" s="18"/>
      <c r="D128" s="18"/>
      <c r="E128" s="18"/>
      <c r="F128" s="18"/>
      <c r="G128" s="18"/>
      <c r="H128" s="18"/>
    </row>
    <row r="129" spans="1:8" ht="15.75" customHeight="1" x14ac:dyDescent="0.25">
      <c r="A129" s="5"/>
      <c r="B129" s="5"/>
      <c r="C129" s="18"/>
      <c r="D129" s="18"/>
      <c r="E129" s="18"/>
      <c r="F129" s="18"/>
      <c r="G129" s="18"/>
      <c r="H129" s="18"/>
    </row>
    <row r="130" spans="1:8" ht="15.75" customHeight="1" x14ac:dyDescent="0.25">
      <c r="A130" s="5"/>
      <c r="B130" s="5"/>
      <c r="C130" s="18"/>
      <c r="D130" s="18"/>
      <c r="E130" s="18"/>
      <c r="F130" s="18"/>
      <c r="G130" s="18"/>
      <c r="H130" s="18"/>
    </row>
    <row r="131" spans="1:8" ht="15.75" customHeight="1" x14ac:dyDescent="0.25">
      <c r="A131" s="5"/>
      <c r="B131" s="5"/>
      <c r="C131" s="18"/>
      <c r="D131" s="18"/>
      <c r="E131" s="18"/>
      <c r="F131" s="18"/>
      <c r="G131" s="18"/>
      <c r="H131" s="18"/>
    </row>
    <row r="132" spans="1:8" ht="15.75" customHeight="1" x14ac:dyDescent="0.25">
      <c r="A132" s="5"/>
      <c r="B132" s="5"/>
      <c r="C132" s="18"/>
      <c r="D132" s="18"/>
      <c r="E132" s="18"/>
      <c r="F132" s="18"/>
      <c r="G132" s="18"/>
      <c r="H132" s="18"/>
    </row>
    <row r="133" spans="1:8" ht="15.75" customHeight="1" x14ac:dyDescent="0.25">
      <c r="A133" s="5"/>
      <c r="B133" s="5"/>
      <c r="C133" s="18"/>
      <c r="D133" s="18"/>
      <c r="E133" s="18"/>
      <c r="F133" s="18"/>
      <c r="G133" s="18"/>
      <c r="H133" s="18"/>
    </row>
    <row r="134" spans="1:8" ht="15.75" customHeight="1" x14ac:dyDescent="0.25">
      <c r="A134" s="5"/>
      <c r="B134" s="5"/>
      <c r="C134" s="18"/>
      <c r="D134" s="18"/>
      <c r="E134" s="18"/>
      <c r="F134" s="18"/>
      <c r="G134" s="18"/>
      <c r="H134" s="18"/>
    </row>
    <row r="135" spans="1:8" ht="15.75" customHeight="1" x14ac:dyDescent="0.25">
      <c r="A135" s="5"/>
      <c r="B135" s="5"/>
      <c r="C135" s="18"/>
      <c r="D135" s="18"/>
      <c r="E135" s="18"/>
      <c r="F135" s="18"/>
      <c r="G135" s="18"/>
      <c r="H135" s="18"/>
    </row>
    <row r="136" spans="1:8" ht="15.75" customHeight="1" x14ac:dyDescent="0.25">
      <c r="A136" s="5"/>
      <c r="B136" s="5"/>
      <c r="C136" s="18"/>
      <c r="D136" s="18"/>
      <c r="E136" s="18"/>
      <c r="F136" s="18"/>
      <c r="G136" s="18"/>
      <c r="H136" s="18"/>
    </row>
    <row r="137" spans="1:8" ht="15.75" customHeight="1" x14ac:dyDescent="0.25">
      <c r="A137" s="5"/>
      <c r="B137" s="5"/>
      <c r="C137" s="18"/>
      <c r="D137" s="18"/>
      <c r="E137" s="18"/>
      <c r="F137" s="18"/>
      <c r="G137" s="18"/>
      <c r="H137" s="18"/>
    </row>
    <row r="138" spans="1:8" ht="15.75" customHeight="1" x14ac:dyDescent="0.25">
      <c r="A138" s="5"/>
      <c r="B138" s="5"/>
      <c r="C138" s="18"/>
      <c r="D138" s="18"/>
      <c r="E138" s="18"/>
      <c r="F138" s="18"/>
      <c r="G138" s="18"/>
      <c r="H138" s="18"/>
    </row>
    <row r="139" spans="1:8" ht="15.75" customHeight="1" x14ac:dyDescent="0.25">
      <c r="A139" s="5"/>
      <c r="B139" s="5"/>
      <c r="C139" s="18"/>
      <c r="D139" s="18"/>
      <c r="E139" s="18"/>
      <c r="F139" s="18"/>
      <c r="G139" s="18"/>
      <c r="H139" s="18"/>
    </row>
    <row r="140" spans="1:8" ht="15.75" customHeight="1" x14ac:dyDescent="0.25">
      <c r="A140" s="5"/>
      <c r="B140" s="5"/>
      <c r="C140" s="18"/>
      <c r="D140" s="18"/>
      <c r="E140" s="18"/>
      <c r="F140" s="18"/>
      <c r="G140" s="18"/>
      <c r="H140" s="18"/>
    </row>
    <row r="141" spans="1:8" ht="15.75" customHeight="1" x14ac:dyDescent="0.25">
      <c r="A141" s="5"/>
      <c r="B141" s="5"/>
      <c r="C141" s="18"/>
      <c r="D141" s="18"/>
      <c r="E141" s="18"/>
      <c r="F141" s="18"/>
      <c r="G141" s="18"/>
      <c r="H141" s="18"/>
    </row>
    <row r="142" spans="1:8" ht="15.75" customHeight="1" x14ac:dyDescent="0.25">
      <c r="A142" s="5"/>
      <c r="B142" s="5"/>
      <c r="C142" s="18"/>
      <c r="D142" s="18"/>
      <c r="E142" s="18"/>
      <c r="F142" s="18"/>
      <c r="G142" s="18"/>
      <c r="H142" s="18"/>
    </row>
    <row r="143" spans="1:8" ht="15.75" customHeight="1" x14ac:dyDescent="0.25">
      <c r="A143" s="5"/>
      <c r="B143" s="5"/>
      <c r="C143" s="18"/>
      <c r="D143" s="18"/>
      <c r="E143" s="18"/>
      <c r="F143" s="18"/>
      <c r="G143" s="18"/>
      <c r="H143" s="18"/>
    </row>
    <row r="144" spans="1:8" ht="15.75" customHeight="1" x14ac:dyDescent="0.25">
      <c r="A144" s="5"/>
      <c r="B144" s="5"/>
      <c r="C144" s="18"/>
      <c r="D144" s="18"/>
      <c r="E144" s="18"/>
      <c r="F144" s="18"/>
      <c r="G144" s="18"/>
      <c r="H144" s="18"/>
    </row>
    <row r="145" spans="1:8" ht="15.75" customHeight="1" x14ac:dyDescent="0.25">
      <c r="A145" s="5"/>
      <c r="B145" s="5"/>
      <c r="C145" s="18"/>
      <c r="D145" s="18"/>
      <c r="E145" s="18"/>
      <c r="F145" s="18"/>
      <c r="G145" s="18"/>
      <c r="H145" s="18"/>
    </row>
    <row r="146" spans="1:8" ht="15.75" customHeight="1" x14ac:dyDescent="0.25">
      <c r="A146" s="5"/>
      <c r="B146" s="5"/>
      <c r="C146" s="18"/>
      <c r="D146" s="18"/>
      <c r="E146" s="18"/>
      <c r="F146" s="18"/>
      <c r="G146" s="18"/>
      <c r="H146" s="18"/>
    </row>
    <row r="147" spans="1:8" ht="15.75" customHeight="1" x14ac:dyDescent="0.25">
      <c r="A147" s="5"/>
      <c r="B147" s="5"/>
      <c r="C147" s="18"/>
      <c r="D147" s="18"/>
      <c r="E147" s="18"/>
      <c r="F147" s="18"/>
      <c r="G147" s="18"/>
      <c r="H147" s="18"/>
    </row>
    <row r="148" spans="1:8" ht="15.75" customHeight="1" x14ac:dyDescent="0.25">
      <c r="A148" s="5"/>
      <c r="B148" s="5"/>
      <c r="C148" s="18"/>
      <c r="D148" s="18"/>
      <c r="E148" s="18"/>
      <c r="F148" s="18"/>
      <c r="G148" s="18"/>
      <c r="H148" s="18"/>
    </row>
    <row r="149" spans="1:8" ht="15.75" customHeight="1" x14ac:dyDescent="0.25">
      <c r="A149" s="5"/>
      <c r="B149" s="5"/>
      <c r="C149" s="18"/>
      <c r="D149" s="18"/>
      <c r="E149" s="18"/>
      <c r="F149" s="18"/>
      <c r="G149" s="18"/>
      <c r="H149" s="18"/>
    </row>
    <row r="150" spans="1:8" ht="15.75" customHeight="1" x14ac:dyDescent="0.25">
      <c r="A150" s="5"/>
      <c r="B150" s="5"/>
      <c r="C150" s="18"/>
      <c r="D150" s="18"/>
      <c r="E150" s="18"/>
      <c r="F150" s="18"/>
      <c r="G150" s="18"/>
      <c r="H150" s="18"/>
    </row>
    <row r="151" spans="1:8" ht="15.75" customHeight="1" x14ac:dyDescent="0.25">
      <c r="A151" s="5"/>
      <c r="B151" s="5"/>
      <c r="C151" s="18"/>
      <c r="D151" s="18"/>
      <c r="E151" s="18"/>
      <c r="F151" s="18"/>
      <c r="G151" s="18"/>
      <c r="H151" s="18"/>
    </row>
    <row r="152" spans="1:8" ht="15.75" customHeight="1" x14ac:dyDescent="0.25">
      <c r="A152" s="5"/>
      <c r="B152" s="5"/>
      <c r="C152" s="18"/>
      <c r="D152" s="18"/>
      <c r="E152" s="18"/>
      <c r="F152" s="18"/>
      <c r="G152" s="18"/>
      <c r="H152" s="18"/>
    </row>
    <row r="153" spans="1:8" ht="15.75" customHeight="1" x14ac:dyDescent="0.25">
      <c r="A153" s="5"/>
      <c r="B153" s="5"/>
      <c r="C153" s="18"/>
      <c r="D153" s="18"/>
      <c r="E153" s="18"/>
      <c r="F153" s="18"/>
      <c r="G153" s="18"/>
      <c r="H153" s="18"/>
    </row>
    <row r="154" spans="1:8" ht="15.75" customHeight="1" x14ac:dyDescent="0.25">
      <c r="A154" s="5"/>
      <c r="B154" s="5"/>
      <c r="C154" s="18"/>
      <c r="D154" s="18"/>
      <c r="E154" s="18"/>
      <c r="F154" s="18"/>
      <c r="G154" s="18"/>
      <c r="H154" s="18"/>
    </row>
    <row r="155" spans="1:8" ht="15.75" customHeight="1" x14ac:dyDescent="0.25">
      <c r="A155" s="5"/>
      <c r="B155" s="5"/>
      <c r="C155" s="18"/>
      <c r="D155" s="18"/>
      <c r="E155" s="18"/>
      <c r="F155" s="18"/>
      <c r="G155" s="18"/>
      <c r="H155" s="18"/>
    </row>
    <row r="156" spans="1:8" ht="15.75" customHeight="1" x14ac:dyDescent="0.25">
      <c r="A156" s="5"/>
      <c r="B156" s="5"/>
      <c r="C156" s="18"/>
      <c r="D156" s="18"/>
      <c r="E156" s="18"/>
      <c r="F156" s="18"/>
      <c r="G156" s="18"/>
      <c r="H156" s="18"/>
    </row>
    <row r="157" spans="1:8" ht="15.75" customHeight="1" x14ac:dyDescent="0.25">
      <c r="A157" s="5"/>
      <c r="B157" s="5"/>
      <c r="C157" s="18"/>
      <c r="D157" s="18"/>
      <c r="E157" s="18"/>
      <c r="F157" s="18"/>
      <c r="G157" s="18"/>
      <c r="H157" s="18"/>
    </row>
    <row r="158" spans="1:8" ht="15.75" customHeight="1" x14ac:dyDescent="0.25">
      <c r="A158" s="5"/>
      <c r="B158" s="5"/>
      <c r="C158" s="18"/>
      <c r="D158" s="18"/>
      <c r="E158" s="18"/>
      <c r="F158" s="18"/>
      <c r="G158" s="18"/>
      <c r="H158" s="18"/>
    </row>
    <row r="159" spans="1:8" ht="15.75" customHeight="1" x14ac:dyDescent="0.25">
      <c r="A159" s="5"/>
      <c r="B159" s="5"/>
      <c r="C159" s="18"/>
      <c r="D159" s="18"/>
      <c r="E159" s="18"/>
      <c r="F159" s="18"/>
      <c r="G159" s="18"/>
      <c r="H159" s="18"/>
    </row>
    <row r="160" spans="1:8" ht="15.75" customHeight="1" x14ac:dyDescent="0.25">
      <c r="A160" s="5"/>
      <c r="B160" s="5"/>
      <c r="C160" s="18"/>
      <c r="D160" s="18"/>
      <c r="E160" s="18"/>
      <c r="F160" s="18"/>
      <c r="G160" s="18"/>
      <c r="H160" s="18"/>
    </row>
    <row r="161" spans="1:8" ht="15.75" customHeight="1" x14ac:dyDescent="0.25">
      <c r="A161" s="5"/>
      <c r="B161" s="5"/>
      <c r="C161" s="18"/>
      <c r="D161" s="18"/>
      <c r="E161" s="18"/>
      <c r="F161" s="18"/>
      <c r="G161" s="18"/>
      <c r="H161" s="18"/>
    </row>
    <row r="162" spans="1:8" ht="15.75" customHeight="1" x14ac:dyDescent="0.25">
      <c r="A162" s="5"/>
      <c r="B162" s="5"/>
      <c r="C162" s="18"/>
      <c r="D162" s="18"/>
      <c r="E162" s="18"/>
      <c r="F162" s="18"/>
      <c r="G162" s="18"/>
      <c r="H162" s="18"/>
    </row>
    <row r="163" spans="1:8" ht="15.75" customHeight="1" x14ac:dyDescent="0.25">
      <c r="A163" s="5"/>
      <c r="B163" s="5"/>
      <c r="C163" s="18"/>
      <c r="D163" s="18"/>
      <c r="E163" s="18"/>
      <c r="F163" s="18"/>
      <c r="G163" s="18"/>
      <c r="H163" s="18"/>
    </row>
    <row r="164" spans="1:8" ht="15.75" customHeight="1" x14ac:dyDescent="0.25">
      <c r="A164" s="5"/>
      <c r="B164" s="5"/>
      <c r="C164" s="18"/>
      <c r="D164" s="18"/>
      <c r="E164" s="18"/>
      <c r="F164" s="18"/>
      <c r="G164" s="18"/>
      <c r="H164" s="18"/>
    </row>
    <row r="165" spans="1:8" ht="15.75" customHeight="1" x14ac:dyDescent="0.25">
      <c r="A165" s="5"/>
      <c r="B165" s="5"/>
      <c r="C165" s="18"/>
      <c r="D165" s="18"/>
      <c r="E165" s="18"/>
      <c r="F165" s="18"/>
      <c r="G165" s="18"/>
      <c r="H165" s="18"/>
    </row>
    <row r="166" spans="1:8" ht="15.75" customHeight="1" x14ac:dyDescent="0.25">
      <c r="A166" s="5"/>
      <c r="B166" s="5"/>
      <c r="C166" s="18"/>
      <c r="D166" s="18"/>
      <c r="E166" s="18"/>
      <c r="F166" s="18"/>
      <c r="G166" s="18"/>
      <c r="H166" s="18"/>
    </row>
    <row r="167" spans="1:8" ht="15.75" customHeight="1" x14ac:dyDescent="0.25">
      <c r="A167" s="5"/>
      <c r="B167" s="5"/>
      <c r="C167" s="18"/>
      <c r="D167" s="18"/>
      <c r="E167" s="18"/>
      <c r="F167" s="18"/>
      <c r="G167" s="18"/>
      <c r="H167" s="18"/>
    </row>
    <row r="168" spans="1:8" ht="15.75" customHeight="1" x14ac:dyDescent="0.25">
      <c r="A168" s="5"/>
      <c r="B168" s="5"/>
      <c r="C168" s="18"/>
      <c r="D168" s="18"/>
      <c r="E168" s="18"/>
      <c r="F168" s="18"/>
      <c r="G168" s="18"/>
      <c r="H168" s="18"/>
    </row>
    <row r="169" spans="1:8" ht="15.75" customHeight="1" x14ac:dyDescent="0.25">
      <c r="A169" s="5"/>
      <c r="B169" s="5"/>
      <c r="C169" s="18"/>
      <c r="D169" s="18"/>
      <c r="E169" s="18"/>
      <c r="F169" s="18"/>
      <c r="G169" s="18"/>
      <c r="H169" s="18"/>
    </row>
    <row r="170" spans="1:8" ht="15.75" customHeight="1" x14ac:dyDescent="0.25">
      <c r="A170" s="5"/>
      <c r="B170" s="5"/>
      <c r="C170" s="18"/>
      <c r="D170" s="18"/>
      <c r="E170" s="18"/>
      <c r="F170" s="18"/>
      <c r="G170" s="18"/>
      <c r="H170" s="18"/>
    </row>
    <row r="171" spans="1:8" ht="15.75" customHeight="1" x14ac:dyDescent="0.25">
      <c r="A171" s="5"/>
      <c r="B171" s="5"/>
      <c r="C171" s="18"/>
      <c r="D171" s="18"/>
      <c r="E171" s="18"/>
      <c r="F171" s="18"/>
      <c r="G171" s="18"/>
      <c r="H171" s="18"/>
    </row>
    <row r="172" spans="1:8" ht="15.75" customHeight="1" x14ac:dyDescent="0.25">
      <c r="A172" s="5"/>
      <c r="B172" s="5"/>
      <c r="C172" s="18"/>
      <c r="D172" s="18"/>
      <c r="E172" s="18"/>
      <c r="F172" s="18"/>
      <c r="G172" s="18"/>
      <c r="H172" s="18"/>
    </row>
    <row r="173" spans="1:8" ht="15.75" customHeight="1" x14ac:dyDescent="0.25">
      <c r="A173" s="5"/>
      <c r="B173" s="5"/>
      <c r="C173" s="18"/>
      <c r="D173" s="18"/>
      <c r="E173" s="18"/>
      <c r="F173" s="18"/>
      <c r="G173" s="18"/>
      <c r="H173" s="18"/>
    </row>
    <row r="174" spans="1:8" ht="15.75" customHeight="1" x14ac:dyDescent="0.25">
      <c r="A174" s="5"/>
      <c r="B174" s="5"/>
      <c r="C174" s="18"/>
      <c r="D174" s="18"/>
      <c r="E174" s="18"/>
      <c r="F174" s="18"/>
      <c r="G174" s="18"/>
      <c r="H174" s="18"/>
    </row>
    <row r="175" spans="1:8" ht="15.75" customHeight="1" x14ac:dyDescent="0.25">
      <c r="A175" s="5"/>
      <c r="B175" s="5"/>
      <c r="C175" s="18"/>
      <c r="D175" s="18"/>
      <c r="E175" s="18"/>
      <c r="F175" s="18"/>
      <c r="G175" s="18"/>
      <c r="H175" s="18"/>
    </row>
    <row r="176" spans="1:8" ht="15.75" customHeight="1" x14ac:dyDescent="0.25">
      <c r="A176" s="5"/>
      <c r="B176" s="5"/>
      <c r="C176" s="18"/>
      <c r="D176" s="18"/>
      <c r="E176" s="18"/>
      <c r="F176" s="18"/>
      <c r="G176" s="18"/>
      <c r="H176" s="18"/>
    </row>
    <row r="177" spans="1:8" ht="15.75" customHeight="1" x14ac:dyDescent="0.25">
      <c r="A177" s="5"/>
      <c r="B177" s="5"/>
      <c r="C177" s="18"/>
      <c r="D177" s="18"/>
      <c r="E177" s="18"/>
      <c r="F177" s="18"/>
      <c r="G177" s="18"/>
      <c r="H177" s="18"/>
    </row>
    <row r="178" spans="1:8" ht="15.75" customHeight="1" x14ac:dyDescent="0.25">
      <c r="A178" s="5"/>
      <c r="B178" s="5"/>
      <c r="C178" s="18"/>
      <c r="D178" s="18"/>
      <c r="E178" s="18"/>
      <c r="F178" s="18"/>
      <c r="G178" s="18"/>
      <c r="H178" s="18"/>
    </row>
    <row r="179" spans="1:8" ht="15.75" customHeight="1" x14ac:dyDescent="0.25">
      <c r="A179" s="5"/>
      <c r="B179" s="5"/>
      <c r="C179" s="18"/>
      <c r="D179" s="18"/>
      <c r="E179" s="18"/>
      <c r="F179" s="18"/>
      <c r="G179" s="18"/>
      <c r="H179" s="18"/>
    </row>
    <row r="180" spans="1:8" ht="15.75" customHeight="1" x14ac:dyDescent="0.25">
      <c r="A180" s="5"/>
      <c r="B180" s="5"/>
      <c r="C180" s="18"/>
      <c r="D180" s="18"/>
      <c r="E180" s="18"/>
      <c r="F180" s="18"/>
      <c r="G180" s="18"/>
      <c r="H180" s="18"/>
    </row>
    <row r="181" spans="1:8" ht="15.75" customHeight="1" x14ac:dyDescent="0.25">
      <c r="A181" s="5"/>
      <c r="B181" s="5"/>
      <c r="C181" s="18"/>
      <c r="D181" s="18"/>
      <c r="E181" s="18"/>
      <c r="F181" s="18"/>
      <c r="G181" s="18"/>
      <c r="H181" s="18"/>
    </row>
    <row r="182" spans="1:8" ht="15.75" customHeight="1" x14ac:dyDescent="0.25">
      <c r="A182" s="5"/>
      <c r="B182" s="5"/>
      <c r="C182" s="18"/>
      <c r="D182" s="18"/>
      <c r="E182" s="18"/>
      <c r="F182" s="18"/>
      <c r="G182" s="18"/>
      <c r="H182" s="18"/>
    </row>
    <row r="183" spans="1:8" ht="15.75" customHeight="1" x14ac:dyDescent="0.25">
      <c r="A183" s="5"/>
      <c r="B183" s="5"/>
      <c r="C183" s="18"/>
      <c r="D183" s="18"/>
      <c r="E183" s="18"/>
      <c r="F183" s="18"/>
      <c r="G183" s="18"/>
      <c r="H183" s="18"/>
    </row>
    <row r="184" spans="1:8" ht="15.75" customHeight="1" x14ac:dyDescent="0.25">
      <c r="A184" s="5"/>
      <c r="B184" s="5"/>
      <c r="C184" s="18"/>
      <c r="D184" s="18"/>
      <c r="E184" s="18"/>
      <c r="F184" s="18"/>
      <c r="G184" s="18"/>
      <c r="H184" s="18"/>
    </row>
    <row r="185" spans="1:8" ht="15.75" customHeight="1" x14ac:dyDescent="0.25">
      <c r="A185" s="5"/>
      <c r="B185" s="5"/>
      <c r="C185" s="18"/>
      <c r="D185" s="18"/>
      <c r="E185" s="18"/>
      <c r="F185" s="18"/>
      <c r="G185" s="18"/>
      <c r="H185" s="18"/>
    </row>
    <row r="186" spans="1:8" ht="15.75" customHeight="1" x14ac:dyDescent="0.25">
      <c r="A186" s="5"/>
      <c r="B186" s="5"/>
      <c r="C186" s="18"/>
      <c r="D186" s="18"/>
      <c r="E186" s="18"/>
      <c r="F186" s="18"/>
      <c r="G186" s="18"/>
      <c r="H186" s="18"/>
    </row>
    <row r="187" spans="1:8" ht="15.75" customHeight="1" x14ac:dyDescent="0.25">
      <c r="A187" s="5"/>
      <c r="B187" s="5"/>
      <c r="C187" s="18"/>
      <c r="D187" s="18"/>
      <c r="E187" s="18"/>
      <c r="F187" s="18"/>
      <c r="G187" s="18"/>
      <c r="H187" s="18"/>
    </row>
    <row r="188" spans="1:8" ht="15.75" customHeight="1" x14ac:dyDescent="0.25">
      <c r="A188" s="5"/>
      <c r="B188" s="5"/>
      <c r="C188" s="18"/>
      <c r="D188" s="18"/>
      <c r="E188" s="18"/>
      <c r="F188" s="18"/>
      <c r="G188" s="18"/>
      <c r="H188" s="18"/>
    </row>
    <row r="189" spans="1:8" ht="15.75" customHeight="1" x14ac:dyDescent="0.25">
      <c r="A189" s="5"/>
      <c r="B189" s="5"/>
      <c r="C189" s="18"/>
      <c r="D189" s="18"/>
      <c r="E189" s="18"/>
      <c r="F189" s="18"/>
      <c r="G189" s="18"/>
      <c r="H189" s="18"/>
    </row>
    <row r="190" spans="1:8" ht="15.75" customHeight="1" x14ac:dyDescent="0.25">
      <c r="A190" s="5"/>
      <c r="B190" s="5"/>
      <c r="C190" s="18"/>
      <c r="D190" s="18"/>
      <c r="E190" s="18"/>
      <c r="F190" s="18"/>
      <c r="G190" s="18"/>
      <c r="H190" s="18"/>
    </row>
    <row r="191" spans="1:8" ht="15.75" customHeight="1" x14ac:dyDescent="0.25">
      <c r="A191" s="5"/>
      <c r="B191" s="5"/>
      <c r="C191" s="18"/>
      <c r="D191" s="18"/>
      <c r="E191" s="18"/>
      <c r="F191" s="18"/>
      <c r="G191" s="18"/>
      <c r="H191" s="18"/>
    </row>
    <row r="192" spans="1:8" ht="15.75" customHeight="1" x14ac:dyDescent="0.25">
      <c r="A192" s="5"/>
      <c r="B192" s="5"/>
      <c r="C192" s="18"/>
      <c r="D192" s="18"/>
      <c r="E192" s="18"/>
      <c r="F192" s="18"/>
      <c r="G192" s="18"/>
      <c r="H192" s="18"/>
    </row>
    <row r="193" spans="1:8" ht="15.75" customHeight="1" x14ac:dyDescent="0.25">
      <c r="A193" s="5"/>
      <c r="B193" s="5"/>
      <c r="C193" s="18"/>
      <c r="D193" s="18"/>
      <c r="E193" s="18"/>
      <c r="F193" s="18"/>
      <c r="G193" s="18"/>
      <c r="H193" s="18"/>
    </row>
    <row r="194" spans="1:8" ht="15.75" customHeight="1" x14ac:dyDescent="0.25">
      <c r="A194" s="5"/>
      <c r="B194" s="5"/>
      <c r="C194" s="18"/>
      <c r="D194" s="18"/>
      <c r="E194" s="18"/>
      <c r="F194" s="18"/>
      <c r="G194" s="18"/>
      <c r="H194" s="18"/>
    </row>
    <row r="195" spans="1:8" ht="15.75" customHeight="1" x14ac:dyDescent="0.25">
      <c r="A195" s="5"/>
      <c r="B195" s="5"/>
      <c r="C195" s="18"/>
      <c r="D195" s="18"/>
      <c r="E195" s="18"/>
      <c r="F195" s="18"/>
      <c r="G195" s="18"/>
      <c r="H195" s="18"/>
    </row>
    <row r="196" spans="1:8" ht="15.75" customHeight="1" x14ac:dyDescent="0.25">
      <c r="A196" s="5"/>
      <c r="B196" s="5"/>
      <c r="C196" s="18"/>
      <c r="D196" s="18"/>
      <c r="E196" s="18"/>
      <c r="F196" s="18"/>
      <c r="G196" s="18"/>
      <c r="H196" s="18"/>
    </row>
    <row r="197" spans="1:8" ht="15.75" customHeight="1" x14ac:dyDescent="0.25">
      <c r="A197" s="5"/>
      <c r="B197" s="5"/>
      <c r="C197" s="18"/>
      <c r="D197" s="18"/>
      <c r="E197" s="18"/>
      <c r="F197" s="18"/>
      <c r="G197" s="18"/>
      <c r="H197" s="18"/>
    </row>
    <row r="198" spans="1:8" ht="15.75" customHeight="1" x14ac:dyDescent="0.25">
      <c r="A198" s="5"/>
      <c r="B198" s="5"/>
      <c r="C198" s="18"/>
      <c r="D198" s="18"/>
      <c r="E198" s="18"/>
      <c r="F198" s="18"/>
      <c r="G198" s="18"/>
      <c r="H198" s="18"/>
    </row>
    <row r="199" spans="1:8" ht="15.75" customHeight="1" x14ac:dyDescent="0.25">
      <c r="A199" s="5"/>
      <c r="B199" s="5"/>
      <c r="C199" s="18"/>
      <c r="D199" s="18"/>
      <c r="E199" s="18"/>
      <c r="F199" s="18"/>
      <c r="G199" s="18"/>
      <c r="H199" s="18"/>
    </row>
    <row r="200" spans="1:8" ht="15.75" customHeight="1" x14ac:dyDescent="0.25">
      <c r="A200" s="5"/>
      <c r="B200" s="5"/>
      <c r="C200" s="18"/>
      <c r="D200" s="18"/>
      <c r="E200" s="18"/>
      <c r="F200" s="18"/>
      <c r="G200" s="18"/>
      <c r="H200" s="18"/>
    </row>
    <row r="201" spans="1:8" ht="15.75" customHeight="1" x14ac:dyDescent="0.25">
      <c r="A201" s="5"/>
      <c r="B201" s="5"/>
      <c r="C201" s="18"/>
      <c r="D201" s="18"/>
      <c r="E201" s="18"/>
      <c r="F201" s="18"/>
      <c r="G201" s="18"/>
      <c r="H201" s="18"/>
    </row>
    <row r="202" spans="1:8" ht="15.75" customHeight="1" x14ac:dyDescent="0.25">
      <c r="A202" s="5"/>
      <c r="B202" s="5"/>
      <c r="C202" s="18"/>
      <c r="D202" s="18"/>
      <c r="E202" s="18"/>
      <c r="F202" s="18"/>
      <c r="G202" s="18"/>
      <c r="H202" s="18"/>
    </row>
    <row r="203" spans="1:8" ht="15.75" customHeight="1" x14ac:dyDescent="0.25">
      <c r="A203" s="5"/>
      <c r="B203" s="5"/>
      <c r="C203" s="18"/>
      <c r="D203" s="18"/>
      <c r="E203" s="18"/>
      <c r="F203" s="18"/>
      <c r="G203" s="18"/>
      <c r="H203" s="18"/>
    </row>
    <row r="204" spans="1:8" ht="15.75" customHeight="1" x14ac:dyDescent="0.25">
      <c r="A204" s="5"/>
      <c r="B204" s="5"/>
      <c r="C204" s="18"/>
      <c r="D204" s="18"/>
      <c r="E204" s="18"/>
      <c r="F204" s="18"/>
      <c r="G204" s="18"/>
      <c r="H204" s="18"/>
    </row>
    <row r="205" spans="1:8" ht="15.75" customHeight="1" x14ac:dyDescent="0.25">
      <c r="A205" s="5"/>
      <c r="B205" s="5"/>
      <c r="C205" s="18"/>
      <c r="D205" s="18"/>
      <c r="E205" s="18"/>
      <c r="F205" s="18"/>
      <c r="G205" s="18"/>
      <c r="H205" s="18"/>
    </row>
    <row r="206" spans="1:8" ht="15.75" customHeight="1" x14ac:dyDescent="0.25">
      <c r="A206" s="5"/>
      <c r="B206" s="5"/>
      <c r="C206" s="18"/>
      <c r="D206" s="18"/>
      <c r="E206" s="18"/>
      <c r="F206" s="18"/>
      <c r="G206" s="18"/>
      <c r="H206" s="18"/>
    </row>
    <row r="207" spans="1:8" ht="15.75" customHeight="1" x14ac:dyDescent="0.25">
      <c r="A207" s="5"/>
      <c r="B207" s="5"/>
      <c r="C207" s="18"/>
      <c r="D207" s="18"/>
      <c r="E207" s="18"/>
      <c r="F207" s="18"/>
      <c r="G207" s="18"/>
      <c r="H207" s="18"/>
    </row>
    <row r="208" spans="1:8" ht="15.75" customHeight="1" x14ac:dyDescent="0.25">
      <c r="A208" s="5"/>
      <c r="B208" s="5"/>
      <c r="C208" s="18"/>
      <c r="D208" s="18"/>
      <c r="E208" s="18"/>
      <c r="F208" s="18"/>
      <c r="G208" s="18"/>
      <c r="H208" s="18"/>
    </row>
    <row r="209" spans="1:8" ht="15.75" customHeight="1" x14ac:dyDescent="0.25">
      <c r="A209" s="5"/>
      <c r="B209" s="5"/>
      <c r="C209" s="18"/>
      <c r="D209" s="18"/>
      <c r="E209" s="18"/>
      <c r="F209" s="18"/>
      <c r="G209" s="18"/>
      <c r="H209" s="18"/>
    </row>
    <row r="210" spans="1:8" ht="15.75" customHeight="1" x14ac:dyDescent="0.25">
      <c r="A210" s="5"/>
      <c r="B210" s="5"/>
      <c r="C210" s="18"/>
      <c r="D210" s="18"/>
      <c r="E210" s="18"/>
      <c r="F210" s="18"/>
      <c r="G210" s="18"/>
      <c r="H210" s="18"/>
    </row>
    <row r="211" spans="1:8" ht="15.75" customHeight="1" x14ac:dyDescent="0.25">
      <c r="A211" s="5"/>
      <c r="B211" s="5"/>
      <c r="C211" s="18"/>
      <c r="D211" s="18"/>
      <c r="E211" s="18"/>
      <c r="F211" s="18"/>
      <c r="G211" s="18"/>
      <c r="H211" s="18"/>
    </row>
    <row r="212" spans="1:8" ht="15.75" customHeight="1" x14ac:dyDescent="0.25">
      <c r="A212" s="5"/>
      <c r="B212" s="5"/>
      <c r="C212" s="18"/>
      <c r="D212" s="18"/>
      <c r="E212" s="18"/>
      <c r="F212" s="18"/>
      <c r="G212" s="18"/>
      <c r="H212" s="18"/>
    </row>
    <row r="213" spans="1:8" ht="15.75" customHeight="1" x14ac:dyDescent="0.25">
      <c r="A213" s="5"/>
      <c r="B213" s="5"/>
      <c r="C213" s="18"/>
      <c r="D213" s="18"/>
      <c r="E213" s="18"/>
      <c r="F213" s="18"/>
      <c r="G213" s="18"/>
      <c r="H213" s="18"/>
    </row>
    <row r="214" spans="1:8" ht="15.75" customHeight="1" x14ac:dyDescent="0.25">
      <c r="A214" s="5"/>
      <c r="B214" s="5"/>
      <c r="C214" s="18"/>
      <c r="D214" s="18"/>
      <c r="E214" s="18"/>
      <c r="F214" s="18"/>
      <c r="G214" s="18"/>
      <c r="H214" s="18"/>
    </row>
    <row r="215" spans="1:8" ht="15.75" customHeight="1" x14ac:dyDescent="0.25">
      <c r="A215" s="5"/>
      <c r="B215" s="5"/>
      <c r="C215" s="18"/>
      <c r="D215" s="18"/>
      <c r="E215" s="18"/>
      <c r="F215" s="18"/>
      <c r="G215" s="18"/>
      <c r="H215" s="18"/>
    </row>
    <row r="216" spans="1:8" ht="15.75" customHeight="1" x14ac:dyDescent="0.25">
      <c r="A216" s="5"/>
      <c r="B216" s="5"/>
      <c r="C216" s="18"/>
      <c r="D216" s="18"/>
      <c r="E216" s="18"/>
      <c r="F216" s="18"/>
      <c r="G216" s="18"/>
      <c r="H216" s="18"/>
    </row>
    <row r="217" spans="1:8" ht="15.75" customHeight="1" x14ac:dyDescent="0.25">
      <c r="A217" s="5"/>
      <c r="B217" s="5"/>
      <c r="C217" s="18"/>
      <c r="D217" s="18"/>
      <c r="E217" s="18"/>
      <c r="F217" s="18"/>
      <c r="G217" s="18"/>
      <c r="H217" s="18"/>
    </row>
    <row r="218" spans="1:8" ht="15.75" customHeight="1" x14ac:dyDescent="0.25">
      <c r="A218" s="5"/>
      <c r="B218" s="5"/>
      <c r="C218" s="18"/>
      <c r="D218" s="18"/>
      <c r="E218" s="18"/>
      <c r="F218" s="18"/>
      <c r="G218" s="18"/>
      <c r="H218" s="18"/>
    </row>
    <row r="219" spans="1:8" ht="15.75" customHeight="1" x14ac:dyDescent="0.25">
      <c r="A219" s="5"/>
      <c r="B219" s="5"/>
      <c r="C219" s="18"/>
      <c r="D219" s="18"/>
      <c r="E219" s="18"/>
      <c r="F219" s="18"/>
      <c r="G219" s="18"/>
      <c r="H219" s="18"/>
    </row>
    <row r="220" spans="1:8" ht="15.75" customHeight="1" x14ac:dyDescent="0.25">
      <c r="A220" s="5"/>
      <c r="B220" s="5"/>
      <c r="C220" s="18"/>
      <c r="D220" s="18"/>
      <c r="E220" s="18"/>
      <c r="F220" s="18"/>
      <c r="G220" s="18"/>
      <c r="H220" s="18"/>
    </row>
    <row r="221" spans="1:8" ht="15.75" customHeight="1" x14ac:dyDescent="0.25">
      <c r="A221" s="5"/>
      <c r="B221" s="5"/>
      <c r="C221" s="18"/>
      <c r="D221" s="18"/>
      <c r="E221" s="18"/>
      <c r="F221" s="18"/>
      <c r="G221" s="18"/>
      <c r="H221" s="18"/>
    </row>
    <row r="222" spans="1:8" ht="15.75" customHeight="1" x14ac:dyDescent="0.25">
      <c r="A222" s="5"/>
      <c r="B222" s="5"/>
      <c r="C222" s="18"/>
      <c r="D222" s="18"/>
      <c r="E222" s="18"/>
      <c r="F222" s="18"/>
      <c r="G222" s="18"/>
      <c r="H222" s="18"/>
    </row>
    <row r="223" spans="1:8" ht="15.75" customHeight="1" x14ac:dyDescent="0.25">
      <c r="A223" s="5"/>
      <c r="B223" s="5"/>
      <c r="C223" s="18"/>
      <c r="D223" s="18"/>
      <c r="E223" s="18"/>
      <c r="F223" s="18"/>
      <c r="G223" s="18"/>
      <c r="H223" s="18"/>
    </row>
    <row r="224" spans="1:8" ht="15.75" customHeight="1" x14ac:dyDescent="0.25">
      <c r="A224" s="5"/>
      <c r="B224" s="5"/>
      <c r="C224" s="18"/>
      <c r="D224" s="18"/>
      <c r="E224" s="18"/>
      <c r="F224" s="18"/>
      <c r="G224" s="18"/>
      <c r="H224" s="18"/>
    </row>
    <row r="225" spans="1:8" ht="15.75" customHeight="1" x14ac:dyDescent="0.25">
      <c r="A225" s="5"/>
      <c r="B225" s="5"/>
      <c r="C225" s="18"/>
      <c r="D225" s="18"/>
      <c r="E225" s="18"/>
      <c r="F225" s="18"/>
      <c r="G225" s="18"/>
      <c r="H225" s="18"/>
    </row>
    <row r="226" spans="1:8" ht="15.75" customHeight="1" x14ac:dyDescent="0.25">
      <c r="A226" s="5"/>
      <c r="B226" s="5"/>
      <c r="C226" s="18"/>
      <c r="D226" s="18"/>
      <c r="E226" s="18"/>
      <c r="F226" s="18"/>
      <c r="G226" s="18"/>
      <c r="H226" s="18"/>
    </row>
    <row r="227" spans="1:8" ht="15.75" customHeight="1" x14ac:dyDescent="0.25">
      <c r="A227" s="5"/>
      <c r="B227" s="5"/>
      <c r="C227" s="18"/>
      <c r="D227" s="18"/>
      <c r="E227" s="18"/>
      <c r="F227" s="18"/>
      <c r="G227" s="18"/>
      <c r="H227" s="18"/>
    </row>
    <row r="228" spans="1:8" ht="15.75" customHeight="1" x14ac:dyDescent="0.25">
      <c r="A228" s="5"/>
      <c r="B228" s="5"/>
      <c r="C228" s="18"/>
      <c r="D228" s="18"/>
      <c r="E228" s="18"/>
      <c r="F228" s="18"/>
      <c r="G228" s="18"/>
      <c r="H228" s="18"/>
    </row>
    <row r="229" spans="1:8" ht="15.75" customHeight="1" x14ac:dyDescent="0.25">
      <c r="A229" s="5"/>
      <c r="B229" s="5"/>
      <c r="C229" s="18"/>
      <c r="D229" s="18"/>
      <c r="E229" s="18"/>
      <c r="F229" s="18"/>
      <c r="G229" s="18"/>
      <c r="H229" s="18"/>
    </row>
    <row r="230" spans="1:8" ht="15.75" customHeight="1" x14ac:dyDescent="0.25">
      <c r="A230" s="5"/>
      <c r="B230" s="5"/>
      <c r="C230" s="18"/>
      <c r="D230" s="18"/>
      <c r="E230" s="18"/>
      <c r="F230" s="18"/>
      <c r="G230" s="18"/>
      <c r="H230" s="18"/>
    </row>
    <row r="231" spans="1:8" ht="15.75" customHeight="1" x14ac:dyDescent="0.25">
      <c r="A231" s="5"/>
      <c r="B231" s="5"/>
      <c r="C231" s="18"/>
      <c r="D231" s="18"/>
      <c r="E231" s="18"/>
      <c r="F231" s="18"/>
      <c r="G231" s="18"/>
      <c r="H231" s="18"/>
    </row>
    <row r="232" spans="1:8" ht="15.75" customHeight="1" x14ac:dyDescent="0.25">
      <c r="A232" s="5"/>
      <c r="B232" s="5"/>
      <c r="C232" s="18"/>
      <c r="D232" s="18"/>
      <c r="E232" s="18"/>
      <c r="F232" s="18"/>
      <c r="G232" s="18"/>
      <c r="H232" s="18"/>
    </row>
    <row r="233" spans="1:8" ht="15.75" customHeight="1" x14ac:dyDescent="0.25">
      <c r="A233" s="5"/>
      <c r="B233" s="5"/>
      <c r="C233" s="18"/>
      <c r="D233" s="18"/>
      <c r="E233" s="18"/>
      <c r="F233" s="18"/>
      <c r="G233" s="18"/>
      <c r="H233" s="18"/>
    </row>
    <row r="234" spans="1:8" ht="15.75" customHeight="1" x14ac:dyDescent="0.25">
      <c r="A234" s="5"/>
      <c r="B234" s="5"/>
      <c r="C234" s="18"/>
      <c r="D234" s="18"/>
      <c r="E234" s="18"/>
      <c r="F234" s="18"/>
      <c r="G234" s="18"/>
      <c r="H234" s="18"/>
    </row>
    <row r="235" spans="1:8" ht="15.75" customHeight="1" x14ac:dyDescent="0.25">
      <c r="A235" s="5"/>
      <c r="B235" s="5"/>
      <c r="C235" s="18"/>
      <c r="D235" s="18"/>
      <c r="E235" s="18"/>
      <c r="F235" s="18"/>
      <c r="G235" s="18"/>
      <c r="H235" s="18"/>
    </row>
    <row r="236" spans="1:8" ht="15.75" customHeight="1" x14ac:dyDescent="0.25">
      <c r="A236" s="5"/>
      <c r="B236" s="5"/>
      <c r="C236" s="18"/>
      <c r="D236" s="18"/>
      <c r="E236" s="18"/>
      <c r="F236" s="18"/>
      <c r="G236" s="18"/>
      <c r="H236" s="18"/>
    </row>
    <row r="237" spans="1:8" ht="15.75" customHeight="1" x14ac:dyDescent="0.25">
      <c r="A237" s="5"/>
      <c r="B237" s="5"/>
      <c r="C237" s="18"/>
      <c r="D237" s="18"/>
      <c r="E237" s="18"/>
      <c r="F237" s="18"/>
      <c r="G237" s="18"/>
      <c r="H237" s="18"/>
    </row>
    <row r="238" spans="1:8" ht="15.75" customHeight="1" x14ac:dyDescent="0.25">
      <c r="A238" s="5"/>
      <c r="B238" s="5"/>
      <c r="C238" s="18"/>
      <c r="D238" s="18"/>
      <c r="E238" s="18"/>
      <c r="F238" s="18"/>
      <c r="G238" s="18"/>
      <c r="H238" s="18"/>
    </row>
    <row r="239" spans="1:8" ht="15.75" customHeight="1" x14ac:dyDescent="0.25">
      <c r="A239" s="5"/>
      <c r="B239" s="5"/>
      <c r="C239" s="18"/>
      <c r="D239" s="18"/>
      <c r="E239" s="18"/>
      <c r="F239" s="18"/>
      <c r="G239" s="18"/>
      <c r="H239" s="18"/>
    </row>
    <row r="240" spans="1:8" ht="15.75" customHeight="1" x14ac:dyDescent="0.25">
      <c r="A240" s="5"/>
      <c r="B240" s="5"/>
      <c r="C240" s="18"/>
      <c r="D240" s="18"/>
      <c r="E240" s="18"/>
      <c r="F240" s="18"/>
      <c r="G240" s="18"/>
      <c r="H240" s="18"/>
    </row>
    <row r="241" spans="1:8" ht="15.75" customHeight="1" x14ac:dyDescent="0.25">
      <c r="A241" s="5"/>
      <c r="B241" s="5"/>
      <c r="C241" s="18"/>
      <c r="D241" s="18"/>
      <c r="E241" s="18"/>
      <c r="F241" s="18"/>
      <c r="G241" s="18"/>
      <c r="H241" s="18"/>
    </row>
    <row r="242" spans="1:8" ht="15.75" customHeight="1" x14ac:dyDescent="0.25">
      <c r="A242" s="5"/>
      <c r="B242" s="5"/>
      <c r="C242" s="18"/>
      <c r="D242" s="18"/>
      <c r="E242" s="18"/>
      <c r="F242" s="18"/>
      <c r="G242" s="18"/>
      <c r="H242" s="18"/>
    </row>
    <row r="243" spans="1:8" ht="15.75" customHeight="1" x14ac:dyDescent="0.25">
      <c r="A243" s="5"/>
      <c r="B243" s="5"/>
      <c r="C243" s="18"/>
      <c r="D243" s="18"/>
      <c r="E243" s="18"/>
      <c r="F243" s="18"/>
      <c r="G243" s="18"/>
      <c r="H243" s="18"/>
    </row>
    <row r="244" spans="1:8" ht="15.75" customHeight="1" x14ac:dyDescent="0.25">
      <c r="A244" s="5"/>
      <c r="B244" s="5"/>
      <c r="C244" s="18"/>
      <c r="D244" s="18"/>
      <c r="E244" s="18"/>
      <c r="F244" s="18"/>
      <c r="G244" s="18"/>
      <c r="H244" s="18"/>
    </row>
    <row r="245" spans="1:8" ht="15.75" customHeight="1" x14ac:dyDescent="0.25">
      <c r="A245" s="5"/>
      <c r="B245" s="5"/>
      <c r="C245" s="18"/>
      <c r="D245" s="18"/>
      <c r="E245" s="18"/>
      <c r="F245" s="18"/>
      <c r="G245" s="18"/>
      <c r="H245" s="18"/>
    </row>
    <row r="246" spans="1:8" ht="15.75" customHeight="1" x14ac:dyDescent="0.25">
      <c r="A246" s="5"/>
      <c r="B246" s="5"/>
      <c r="C246" s="18"/>
      <c r="D246" s="18"/>
      <c r="E246" s="18"/>
      <c r="F246" s="18"/>
      <c r="G246" s="18"/>
      <c r="H246" s="18"/>
    </row>
    <row r="247" spans="1:8" ht="15.75" customHeight="1" x14ac:dyDescent="0.25">
      <c r="A247" s="5"/>
      <c r="B247" s="5"/>
      <c r="C247" s="18"/>
      <c r="D247" s="18"/>
      <c r="E247" s="18"/>
      <c r="F247" s="18"/>
      <c r="G247" s="18"/>
      <c r="H247" s="18"/>
    </row>
    <row r="248" spans="1:8" ht="15.75" customHeight="1" x14ac:dyDescent="0.25">
      <c r="A248" s="5"/>
      <c r="B248" s="5"/>
      <c r="C248" s="18"/>
      <c r="D248" s="18"/>
      <c r="E248" s="18"/>
      <c r="F248" s="18"/>
      <c r="G248" s="18"/>
      <c r="H248" s="18"/>
    </row>
    <row r="249" spans="1:8" ht="15.75" customHeight="1" x14ac:dyDescent="0.25">
      <c r="A249" s="5"/>
      <c r="B249" s="5"/>
      <c r="C249" s="18"/>
      <c r="D249" s="18"/>
      <c r="E249" s="18"/>
      <c r="F249" s="18"/>
      <c r="G249" s="18"/>
      <c r="H249" s="18"/>
    </row>
    <row r="250" spans="1:8" ht="15.75" customHeight="1" x14ac:dyDescent="0.25">
      <c r="A250" s="5"/>
      <c r="B250" s="5"/>
      <c r="C250" s="18"/>
      <c r="D250" s="18"/>
      <c r="E250" s="18"/>
      <c r="F250" s="18"/>
      <c r="G250" s="18"/>
      <c r="H250" s="18"/>
    </row>
    <row r="251" spans="1:8" ht="15.75" customHeight="1" x14ac:dyDescent="0.25">
      <c r="A251" s="5"/>
      <c r="B251" s="5"/>
      <c r="C251" s="18"/>
      <c r="D251" s="18"/>
      <c r="E251" s="18"/>
      <c r="F251" s="18"/>
      <c r="G251" s="18"/>
      <c r="H251" s="18"/>
    </row>
    <row r="252" spans="1:8" ht="15.75" customHeight="1" x14ac:dyDescent="0.25">
      <c r="A252" s="5"/>
      <c r="B252" s="5"/>
      <c r="C252" s="18"/>
      <c r="D252" s="18"/>
      <c r="E252" s="18"/>
      <c r="F252" s="18"/>
      <c r="G252" s="18"/>
      <c r="H252" s="18"/>
    </row>
    <row r="253" spans="1:8" ht="15.75" customHeight="1" x14ac:dyDescent="0.25">
      <c r="A253" s="5"/>
      <c r="B253" s="5"/>
      <c r="C253" s="18"/>
      <c r="D253" s="18"/>
      <c r="E253" s="18"/>
      <c r="F253" s="18"/>
      <c r="G253" s="18"/>
      <c r="H253" s="18"/>
    </row>
    <row r="254" spans="1:8" ht="15.75" customHeight="1" x14ac:dyDescent="0.25">
      <c r="A254" s="5"/>
      <c r="B254" s="5"/>
      <c r="C254" s="18"/>
      <c r="D254" s="18"/>
      <c r="E254" s="18"/>
      <c r="F254" s="18"/>
      <c r="G254" s="18"/>
      <c r="H254" s="18"/>
    </row>
    <row r="255" spans="1:8" ht="15.75" customHeight="1" x14ac:dyDescent="0.25">
      <c r="A255" s="5"/>
      <c r="B255" s="5"/>
      <c r="C255" s="18"/>
      <c r="D255" s="18"/>
      <c r="E255" s="18"/>
      <c r="F255" s="18"/>
      <c r="G255" s="18"/>
      <c r="H255" s="18"/>
    </row>
    <row r="256" spans="1:8" ht="15.75" customHeight="1" x14ac:dyDescent="0.25">
      <c r="A256" s="5"/>
      <c r="B256" s="5"/>
      <c r="C256" s="18"/>
      <c r="D256" s="18"/>
      <c r="E256" s="18"/>
      <c r="F256" s="18"/>
      <c r="G256" s="18"/>
      <c r="H256" s="18"/>
    </row>
    <row r="257" spans="1:8" ht="15.75" customHeight="1" x14ac:dyDescent="0.25">
      <c r="A257" s="5"/>
      <c r="B257" s="5"/>
      <c r="C257" s="18"/>
      <c r="D257" s="18"/>
      <c r="E257" s="18"/>
      <c r="F257" s="18"/>
      <c r="G257" s="18"/>
      <c r="H257" s="18"/>
    </row>
    <row r="258" spans="1:8" ht="15.75" customHeight="1" x14ac:dyDescent="0.25">
      <c r="A258" s="5"/>
      <c r="B258" s="5"/>
      <c r="C258" s="18"/>
      <c r="D258" s="18"/>
      <c r="E258" s="18"/>
      <c r="F258" s="18"/>
      <c r="G258" s="18"/>
      <c r="H258" s="18"/>
    </row>
    <row r="259" spans="1:8" ht="15.75" customHeight="1" x14ac:dyDescent="0.25">
      <c r="A259" s="5"/>
      <c r="B259" s="5"/>
      <c r="C259" s="18"/>
      <c r="D259" s="18"/>
      <c r="E259" s="18"/>
      <c r="F259" s="18"/>
      <c r="G259" s="18"/>
      <c r="H259" s="18"/>
    </row>
    <row r="260" spans="1:8" ht="15.75" customHeight="1" x14ac:dyDescent="0.25">
      <c r="A260" s="5"/>
      <c r="B260" s="5"/>
      <c r="C260" s="18"/>
      <c r="D260" s="18"/>
      <c r="E260" s="18"/>
      <c r="F260" s="18"/>
      <c r="G260" s="18"/>
      <c r="H260" s="18"/>
    </row>
    <row r="261" spans="1:8" ht="15.75" customHeight="1" x14ac:dyDescent="0.25">
      <c r="A261" s="5"/>
      <c r="B261" s="5"/>
      <c r="C261" s="18"/>
      <c r="D261" s="18"/>
      <c r="E261" s="18"/>
      <c r="F261" s="18"/>
      <c r="G261" s="18"/>
      <c r="H261" s="18"/>
    </row>
    <row r="262" spans="1:8" ht="15.75" customHeight="1" x14ac:dyDescent="0.25">
      <c r="A262" s="5"/>
      <c r="B262" s="5"/>
      <c r="C262" s="18"/>
      <c r="D262" s="18"/>
      <c r="E262" s="18"/>
      <c r="F262" s="18"/>
      <c r="G262" s="18"/>
      <c r="H262" s="18"/>
    </row>
    <row r="263" spans="1:8" ht="15.75" customHeight="1" x14ac:dyDescent="0.25">
      <c r="A263" s="5"/>
      <c r="B263" s="5"/>
      <c r="C263" s="18"/>
      <c r="D263" s="18"/>
      <c r="E263" s="18"/>
      <c r="F263" s="18"/>
      <c r="G263" s="18"/>
      <c r="H263" s="18"/>
    </row>
    <row r="264" spans="1:8" ht="15.75" customHeight="1" x14ac:dyDescent="0.25">
      <c r="A264" s="5"/>
      <c r="B264" s="5"/>
      <c r="C264" s="18"/>
      <c r="D264" s="18"/>
      <c r="E264" s="18"/>
      <c r="F264" s="18"/>
      <c r="G264" s="18"/>
      <c r="H264" s="18"/>
    </row>
    <row r="265" spans="1:8" ht="15.75" customHeight="1" x14ac:dyDescent="0.25">
      <c r="A265" s="5"/>
      <c r="B265" s="5"/>
      <c r="C265" s="18"/>
      <c r="D265" s="18"/>
      <c r="E265" s="18"/>
      <c r="F265" s="18"/>
      <c r="G265" s="18"/>
      <c r="H265" s="18"/>
    </row>
    <row r="266" spans="1:8" ht="15.75" customHeight="1" x14ac:dyDescent="0.25">
      <c r="A266" s="5"/>
      <c r="B266" s="5"/>
      <c r="C266" s="18"/>
      <c r="D266" s="18"/>
      <c r="E266" s="18"/>
      <c r="F266" s="18"/>
      <c r="G266" s="18"/>
      <c r="H266" s="18"/>
    </row>
    <row r="267" spans="1:8" ht="15.75" customHeight="1" x14ac:dyDescent="0.25">
      <c r="A267" s="5"/>
      <c r="B267" s="5"/>
      <c r="C267" s="18"/>
      <c r="D267" s="18"/>
      <c r="E267" s="18"/>
      <c r="F267" s="18"/>
      <c r="G267" s="18"/>
      <c r="H267" s="18"/>
    </row>
    <row r="268" spans="1:8" ht="15.75" customHeight="1" x14ac:dyDescent="0.25">
      <c r="A268" s="5"/>
      <c r="B268" s="5"/>
      <c r="C268" s="18"/>
      <c r="D268" s="18"/>
      <c r="E268" s="18"/>
      <c r="F268" s="18"/>
      <c r="G268" s="18"/>
      <c r="H268" s="18"/>
    </row>
    <row r="269" spans="1:8" ht="15.75" customHeight="1" x14ac:dyDescent="0.25">
      <c r="A269" s="5"/>
      <c r="B269" s="5"/>
      <c r="C269" s="18"/>
      <c r="D269" s="18"/>
      <c r="E269" s="18"/>
      <c r="F269" s="18"/>
      <c r="G269" s="18"/>
      <c r="H269" s="18"/>
    </row>
    <row r="270" spans="1:8" ht="15.75" customHeight="1" x14ac:dyDescent="0.25">
      <c r="A270" s="5"/>
      <c r="B270" s="5"/>
      <c r="C270" s="18"/>
      <c r="D270" s="18"/>
      <c r="E270" s="18"/>
      <c r="F270" s="18"/>
      <c r="G270" s="18"/>
      <c r="H270" s="18"/>
    </row>
    <row r="271" spans="1:8" ht="15.75" customHeight="1" x14ac:dyDescent="0.25">
      <c r="A271" s="5"/>
      <c r="B271" s="5"/>
      <c r="C271" s="18"/>
      <c r="D271" s="18"/>
      <c r="E271" s="18"/>
      <c r="F271" s="18"/>
      <c r="G271" s="18"/>
      <c r="H271" s="18"/>
    </row>
    <row r="272" spans="1:8" ht="15.75" customHeight="1" x14ac:dyDescent="0.25">
      <c r="A272" s="5"/>
      <c r="B272" s="5"/>
      <c r="C272" s="18"/>
      <c r="D272" s="18"/>
      <c r="E272" s="18"/>
      <c r="F272" s="18"/>
      <c r="G272" s="18"/>
      <c r="H272" s="18"/>
    </row>
    <row r="273" spans="1:8" ht="15.75" customHeight="1" x14ac:dyDescent="0.25">
      <c r="A273" s="5"/>
      <c r="B273" s="5"/>
      <c r="C273" s="18"/>
      <c r="D273" s="18"/>
      <c r="E273" s="18"/>
      <c r="F273" s="18"/>
      <c r="G273" s="18"/>
      <c r="H273" s="18"/>
    </row>
    <row r="274" spans="1:8" ht="15.75" customHeight="1" x14ac:dyDescent="0.25">
      <c r="A274" s="5"/>
      <c r="B274" s="5"/>
      <c r="C274" s="18"/>
      <c r="D274" s="18"/>
      <c r="E274" s="18"/>
      <c r="F274" s="18"/>
      <c r="G274" s="18"/>
      <c r="H274" s="18"/>
    </row>
    <row r="275" spans="1:8" ht="15.75" customHeight="1" x14ac:dyDescent="0.25">
      <c r="A275" s="5"/>
      <c r="B275" s="5"/>
      <c r="C275" s="18"/>
      <c r="D275" s="18"/>
      <c r="E275" s="18"/>
      <c r="F275" s="18"/>
      <c r="G275" s="18"/>
      <c r="H275" s="18"/>
    </row>
    <row r="276" spans="1:8" ht="15.75" customHeight="1" x14ac:dyDescent="0.25">
      <c r="A276" s="5"/>
      <c r="B276" s="5"/>
      <c r="C276" s="18"/>
      <c r="D276" s="18"/>
      <c r="E276" s="18"/>
      <c r="F276" s="18"/>
      <c r="G276" s="18"/>
      <c r="H276" s="18"/>
    </row>
    <row r="277" spans="1:8" ht="15.75" customHeight="1" x14ac:dyDescent="0.25">
      <c r="A277" s="5"/>
      <c r="B277" s="5"/>
      <c r="C277" s="18"/>
      <c r="D277" s="18"/>
      <c r="E277" s="18"/>
      <c r="F277" s="18"/>
      <c r="G277" s="18"/>
      <c r="H277" s="18"/>
    </row>
    <row r="278" spans="1:8" ht="15.75" customHeight="1" x14ac:dyDescent="0.25">
      <c r="A278" s="5"/>
      <c r="B278" s="5"/>
      <c r="C278" s="18"/>
      <c r="D278" s="18"/>
      <c r="E278" s="18"/>
      <c r="F278" s="18"/>
      <c r="G278" s="18"/>
      <c r="H278" s="18"/>
    </row>
    <row r="279" spans="1:8" ht="15.75" customHeight="1" x14ac:dyDescent="0.25">
      <c r="A279" s="5"/>
      <c r="B279" s="5"/>
      <c r="C279" s="18"/>
      <c r="D279" s="18"/>
      <c r="E279" s="18"/>
      <c r="F279" s="18"/>
      <c r="G279" s="18"/>
      <c r="H279" s="18"/>
    </row>
    <row r="280" spans="1:8" ht="15.75" customHeight="1" x14ac:dyDescent="0.25">
      <c r="A280" s="5"/>
      <c r="B280" s="5"/>
      <c r="C280" s="18"/>
      <c r="D280" s="18"/>
      <c r="E280" s="18"/>
      <c r="F280" s="18"/>
      <c r="G280" s="18"/>
      <c r="H280" s="18"/>
    </row>
    <row r="281" spans="1:8" ht="15.75" customHeight="1" x14ac:dyDescent="0.25">
      <c r="A281" s="5"/>
      <c r="B281" s="5"/>
      <c r="C281" s="18"/>
      <c r="D281" s="18"/>
      <c r="E281" s="18"/>
      <c r="F281" s="18"/>
      <c r="G281" s="18"/>
      <c r="H281" s="18"/>
    </row>
    <row r="282" spans="1:8" ht="15.75" customHeight="1" x14ac:dyDescent="0.25">
      <c r="A282" s="5"/>
      <c r="B282" s="5"/>
      <c r="C282" s="18"/>
      <c r="D282" s="18"/>
      <c r="E282" s="18"/>
      <c r="F282" s="18"/>
      <c r="G282" s="18"/>
      <c r="H282" s="18"/>
    </row>
    <row r="283" spans="1:8" ht="15.75" customHeight="1" x14ac:dyDescent="0.25">
      <c r="A283" s="5"/>
      <c r="B283" s="5"/>
      <c r="C283" s="18"/>
      <c r="D283" s="18"/>
      <c r="E283" s="18"/>
      <c r="F283" s="18"/>
      <c r="G283" s="18"/>
      <c r="H283" s="18"/>
    </row>
    <row r="284" spans="1:8" ht="15.75" customHeight="1" x14ac:dyDescent="0.25">
      <c r="A284" s="5"/>
      <c r="B284" s="5"/>
      <c r="C284" s="18"/>
      <c r="D284" s="18"/>
      <c r="E284" s="18"/>
      <c r="F284" s="18"/>
      <c r="G284" s="18"/>
      <c r="H284" s="18"/>
    </row>
    <row r="285" spans="1:8" ht="15.75" customHeight="1" x14ac:dyDescent="0.25">
      <c r="A285" s="5"/>
      <c r="B285" s="5"/>
      <c r="C285" s="18"/>
      <c r="D285" s="18"/>
      <c r="E285" s="18"/>
      <c r="F285" s="18"/>
      <c r="G285" s="18"/>
      <c r="H285" s="18"/>
    </row>
    <row r="286" spans="1:8" ht="15.75" customHeight="1" x14ac:dyDescent="0.25">
      <c r="A286" s="5"/>
      <c r="B286" s="5"/>
      <c r="C286" s="18"/>
      <c r="D286" s="18"/>
      <c r="E286" s="18"/>
      <c r="F286" s="18"/>
      <c r="G286" s="18"/>
      <c r="H286" s="18"/>
    </row>
    <row r="287" spans="1:8" ht="15.75" customHeight="1" x14ac:dyDescent="0.25">
      <c r="A287" s="5"/>
      <c r="B287" s="5"/>
      <c r="C287" s="18"/>
      <c r="D287" s="18"/>
      <c r="E287" s="18"/>
      <c r="F287" s="18"/>
      <c r="G287" s="18"/>
      <c r="H287" s="18"/>
    </row>
    <row r="288" spans="1:8" ht="15.75" customHeight="1" x14ac:dyDescent="0.25">
      <c r="A288" s="5"/>
      <c r="B288" s="5"/>
      <c r="C288" s="18"/>
      <c r="D288" s="18"/>
      <c r="E288" s="18"/>
      <c r="F288" s="18"/>
      <c r="G288" s="18"/>
      <c r="H288" s="18"/>
    </row>
    <row r="289" spans="1:8" ht="15.75" customHeight="1" x14ac:dyDescent="0.25">
      <c r="A289" s="5"/>
      <c r="B289" s="5"/>
      <c r="C289" s="18"/>
      <c r="D289" s="18"/>
      <c r="E289" s="18"/>
      <c r="F289" s="18"/>
      <c r="G289" s="18"/>
      <c r="H289" s="18"/>
    </row>
    <row r="290" spans="1:8" ht="15.75" customHeight="1" x14ac:dyDescent="0.25">
      <c r="A290" s="5"/>
      <c r="B290" s="5"/>
      <c r="C290" s="18"/>
      <c r="D290" s="18"/>
      <c r="E290" s="18"/>
      <c r="F290" s="18"/>
      <c r="G290" s="18"/>
      <c r="H290" s="18"/>
    </row>
    <row r="291" spans="1:8" ht="15.75" customHeight="1" x14ac:dyDescent="0.25">
      <c r="A291" s="5"/>
      <c r="B291" s="5"/>
      <c r="C291" s="18"/>
      <c r="D291" s="18"/>
      <c r="E291" s="18"/>
      <c r="F291" s="18"/>
      <c r="G291" s="18"/>
      <c r="H291" s="18"/>
    </row>
    <row r="292" spans="1:8" ht="15.75" customHeight="1" x14ac:dyDescent="0.25">
      <c r="A292" s="5"/>
      <c r="B292" s="5"/>
      <c r="C292" s="18"/>
      <c r="D292" s="18"/>
      <c r="E292" s="18"/>
      <c r="F292" s="18"/>
      <c r="G292" s="18"/>
      <c r="H292" s="18"/>
    </row>
    <row r="293" spans="1:8" ht="15.75" customHeight="1" x14ac:dyDescent="0.25">
      <c r="A293" s="5"/>
      <c r="B293" s="5"/>
      <c r="C293" s="18"/>
      <c r="D293" s="18"/>
      <c r="E293" s="18"/>
      <c r="F293" s="18"/>
      <c r="G293" s="18"/>
      <c r="H293" s="18"/>
    </row>
    <row r="294" spans="1:8" ht="15.75" customHeight="1" x14ac:dyDescent="0.25">
      <c r="A294" s="5"/>
      <c r="B294" s="5"/>
      <c r="C294" s="18"/>
      <c r="D294" s="18"/>
      <c r="E294" s="18"/>
      <c r="F294" s="18"/>
      <c r="G294" s="18"/>
      <c r="H294" s="18"/>
    </row>
    <row r="295" spans="1:8" ht="15.75" customHeight="1" x14ac:dyDescent="0.25">
      <c r="A295" s="5"/>
      <c r="B295" s="5"/>
      <c r="C295" s="18"/>
      <c r="D295" s="18"/>
      <c r="E295" s="18"/>
      <c r="F295" s="18"/>
      <c r="G295" s="18"/>
      <c r="H295" s="18"/>
    </row>
    <row r="296" spans="1:8" ht="15.75" customHeight="1" x14ac:dyDescent="0.25">
      <c r="A296" s="5"/>
      <c r="B296" s="5"/>
      <c r="C296" s="18"/>
      <c r="D296" s="18"/>
      <c r="E296" s="18"/>
      <c r="F296" s="18"/>
      <c r="G296" s="18"/>
      <c r="H296" s="18"/>
    </row>
    <row r="297" spans="1:8" ht="15.75" customHeight="1" x14ac:dyDescent="0.25">
      <c r="A297" s="5"/>
      <c r="B297" s="5"/>
      <c r="C297" s="18"/>
      <c r="D297" s="18"/>
      <c r="E297" s="18"/>
      <c r="F297" s="18"/>
      <c r="G297" s="18"/>
      <c r="H297" s="18"/>
    </row>
    <row r="298" spans="1:8" ht="15.75" customHeight="1" x14ac:dyDescent="0.25">
      <c r="A298" s="5"/>
      <c r="B298" s="5"/>
      <c r="C298" s="18"/>
      <c r="D298" s="18"/>
      <c r="E298" s="18"/>
      <c r="F298" s="18"/>
      <c r="G298" s="18"/>
      <c r="H298" s="18"/>
    </row>
    <row r="299" spans="1:8" ht="15.75" customHeight="1" x14ac:dyDescent="0.25">
      <c r="A299" s="5"/>
      <c r="B299" s="5"/>
      <c r="C299" s="18"/>
      <c r="D299" s="18"/>
      <c r="E299" s="18"/>
      <c r="F299" s="18"/>
      <c r="G299" s="18"/>
      <c r="H299" s="18"/>
    </row>
    <row r="300" spans="1:8" ht="15.75" customHeight="1" x14ac:dyDescent="0.25">
      <c r="A300" s="5"/>
      <c r="B300" s="5"/>
      <c r="C300" s="18"/>
      <c r="D300" s="18"/>
      <c r="E300" s="18"/>
      <c r="F300" s="18"/>
      <c r="G300" s="18"/>
      <c r="H300" s="18"/>
    </row>
    <row r="301" spans="1:8" ht="15.75" customHeight="1" x14ac:dyDescent="0.25">
      <c r="A301" s="5"/>
      <c r="B301" s="5"/>
      <c r="C301" s="18"/>
      <c r="D301" s="18"/>
      <c r="E301" s="18"/>
      <c r="F301" s="18"/>
      <c r="G301" s="18"/>
      <c r="H301" s="18"/>
    </row>
    <row r="302" spans="1:8" ht="15.75" customHeight="1" x14ac:dyDescent="0.25">
      <c r="A302" s="5"/>
      <c r="B302" s="5"/>
      <c r="C302" s="18"/>
      <c r="D302" s="18"/>
      <c r="E302" s="18"/>
      <c r="F302" s="18"/>
      <c r="G302" s="18"/>
      <c r="H302" s="18"/>
    </row>
    <row r="303" spans="1:8" ht="15.75" customHeight="1" x14ac:dyDescent="0.25">
      <c r="A303" s="5"/>
      <c r="B303" s="5"/>
      <c r="C303" s="18"/>
      <c r="D303" s="18"/>
      <c r="E303" s="18"/>
      <c r="F303" s="18"/>
      <c r="G303" s="18"/>
      <c r="H303" s="18"/>
    </row>
    <row r="304" spans="1:8" ht="15.75" customHeight="1" x14ac:dyDescent="0.25">
      <c r="A304" s="5"/>
      <c r="B304" s="5"/>
      <c r="C304" s="18"/>
      <c r="D304" s="18"/>
      <c r="E304" s="18"/>
      <c r="F304" s="18"/>
      <c r="G304" s="18"/>
      <c r="H304" s="18"/>
    </row>
    <row r="305" spans="1:8" ht="15.75" customHeight="1" x14ac:dyDescent="0.25">
      <c r="A305" s="5"/>
      <c r="B305" s="5"/>
      <c r="C305" s="18"/>
      <c r="D305" s="18"/>
      <c r="E305" s="18"/>
      <c r="F305" s="18"/>
      <c r="G305" s="18"/>
      <c r="H305" s="18"/>
    </row>
    <row r="306" spans="1:8" ht="15.75" customHeight="1" x14ac:dyDescent="0.25">
      <c r="A306" s="5"/>
      <c r="B306" s="5"/>
      <c r="C306" s="18"/>
      <c r="D306" s="18"/>
      <c r="E306" s="18"/>
      <c r="F306" s="18"/>
      <c r="G306" s="18"/>
      <c r="H306" s="18"/>
    </row>
    <row r="307" spans="1:8" ht="15.75" customHeight="1" x14ac:dyDescent="0.25">
      <c r="A307" s="5"/>
      <c r="B307" s="5"/>
      <c r="C307" s="18"/>
      <c r="D307" s="18"/>
      <c r="E307" s="18"/>
      <c r="F307" s="18"/>
      <c r="G307" s="18"/>
      <c r="H307" s="18"/>
    </row>
    <row r="308" spans="1:8" ht="15.75" customHeight="1" x14ac:dyDescent="0.25">
      <c r="A308" s="5"/>
      <c r="B308" s="5"/>
      <c r="C308" s="18"/>
      <c r="D308" s="18"/>
      <c r="E308" s="18"/>
      <c r="F308" s="18"/>
      <c r="G308" s="18"/>
      <c r="H308" s="18"/>
    </row>
    <row r="309" spans="1:8" ht="15.75" customHeight="1" x14ac:dyDescent="0.25">
      <c r="A309" s="5"/>
      <c r="B309" s="5"/>
      <c r="C309" s="18"/>
      <c r="D309" s="18"/>
      <c r="E309" s="18"/>
      <c r="F309" s="18"/>
      <c r="G309" s="18"/>
      <c r="H309" s="18"/>
    </row>
    <row r="310" spans="1:8" ht="15.75" customHeight="1" x14ac:dyDescent="0.25">
      <c r="A310" s="5"/>
      <c r="B310" s="5"/>
      <c r="C310" s="18"/>
      <c r="D310" s="18"/>
      <c r="E310" s="18"/>
      <c r="F310" s="18"/>
      <c r="G310" s="18"/>
      <c r="H310" s="18"/>
    </row>
    <row r="311" spans="1:8" ht="15.75" customHeight="1" x14ac:dyDescent="0.25">
      <c r="A311" s="5"/>
      <c r="B311" s="5"/>
      <c r="C311" s="18"/>
      <c r="D311" s="18"/>
      <c r="E311" s="18"/>
      <c r="F311" s="18"/>
      <c r="G311" s="18"/>
      <c r="H311" s="18"/>
    </row>
    <row r="312" spans="1:8" ht="15.75" customHeight="1" x14ac:dyDescent="0.25">
      <c r="A312" s="5"/>
      <c r="B312" s="5"/>
      <c r="C312" s="18"/>
      <c r="D312" s="18"/>
      <c r="E312" s="18"/>
      <c r="F312" s="18"/>
      <c r="G312" s="18"/>
      <c r="H312" s="18"/>
    </row>
    <row r="313" spans="1:8" ht="15.75" customHeight="1" x14ac:dyDescent="0.25">
      <c r="A313" s="5"/>
      <c r="B313" s="5"/>
      <c r="C313" s="18"/>
      <c r="D313" s="18"/>
      <c r="E313" s="18"/>
      <c r="F313" s="18"/>
      <c r="G313" s="18"/>
      <c r="H313" s="18"/>
    </row>
    <row r="314" spans="1:8" ht="15.75" customHeight="1" x14ac:dyDescent="0.25">
      <c r="A314" s="5"/>
      <c r="B314" s="5"/>
      <c r="C314" s="18"/>
      <c r="D314" s="18"/>
      <c r="E314" s="18"/>
      <c r="F314" s="18"/>
      <c r="G314" s="18"/>
      <c r="H314" s="18"/>
    </row>
    <row r="315" spans="1:8" ht="15.75" customHeight="1" x14ac:dyDescent="0.25">
      <c r="A315" s="5"/>
      <c r="B315" s="5"/>
      <c r="C315" s="18"/>
      <c r="D315" s="18"/>
      <c r="E315" s="18"/>
      <c r="F315" s="18"/>
      <c r="G315" s="18"/>
      <c r="H315" s="18"/>
    </row>
    <row r="316" spans="1:8" ht="15.75" customHeight="1" x14ac:dyDescent="0.25">
      <c r="A316" s="5"/>
      <c r="B316" s="5"/>
      <c r="C316" s="18"/>
      <c r="D316" s="18"/>
      <c r="E316" s="18"/>
      <c r="F316" s="18"/>
      <c r="G316" s="18"/>
      <c r="H316" s="18"/>
    </row>
    <row r="317" spans="1:8" ht="15.75" customHeight="1" x14ac:dyDescent="0.25">
      <c r="A317" s="5"/>
      <c r="B317" s="5"/>
      <c r="C317" s="18"/>
      <c r="D317" s="18"/>
      <c r="E317" s="18"/>
      <c r="F317" s="18"/>
      <c r="G317" s="18"/>
      <c r="H317" s="18"/>
    </row>
    <row r="318" spans="1:8" ht="15.75" customHeight="1" x14ac:dyDescent="0.25">
      <c r="A318" s="5"/>
      <c r="B318" s="5"/>
      <c r="C318" s="18"/>
      <c r="D318" s="18"/>
      <c r="E318" s="18"/>
      <c r="F318" s="18"/>
      <c r="G318" s="18"/>
      <c r="H318" s="18"/>
    </row>
    <row r="319" spans="1:8" ht="15.75" customHeight="1" x14ac:dyDescent="0.25">
      <c r="A319" s="5"/>
      <c r="B319" s="5"/>
      <c r="C319" s="18"/>
      <c r="D319" s="18"/>
      <c r="E319" s="18"/>
      <c r="F319" s="18"/>
      <c r="G319" s="18"/>
      <c r="H319" s="18"/>
    </row>
    <row r="320" spans="1:8" ht="15.75" customHeight="1" x14ac:dyDescent="0.25">
      <c r="A320" s="5"/>
      <c r="B320" s="5"/>
      <c r="C320" s="18"/>
      <c r="D320" s="18"/>
      <c r="E320" s="18"/>
      <c r="F320" s="18"/>
      <c r="G320" s="18"/>
      <c r="H320" s="18"/>
    </row>
    <row r="321" spans="1:8" ht="15.75" customHeight="1" x14ac:dyDescent="0.25">
      <c r="A321" s="5"/>
      <c r="B321" s="5"/>
      <c r="C321" s="18"/>
      <c r="D321" s="18"/>
      <c r="E321" s="18"/>
      <c r="F321" s="18"/>
      <c r="G321" s="18"/>
      <c r="H321" s="18"/>
    </row>
    <row r="322" spans="1:8" ht="15.75" customHeight="1" x14ac:dyDescent="0.25">
      <c r="A322" s="5"/>
      <c r="B322" s="5"/>
      <c r="C322" s="18"/>
      <c r="D322" s="18"/>
      <c r="E322" s="18"/>
      <c r="F322" s="18"/>
      <c r="G322" s="18"/>
      <c r="H322" s="18"/>
    </row>
    <row r="323" spans="1:8" ht="15.75" customHeight="1" x14ac:dyDescent="0.25">
      <c r="A323" s="5"/>
      <c r="B323" s="5"/>
      <c r="C323" s="18"/>
      <c r="D323" s="18"/>
      <c r="E323" s="18"/>
      <c r="F323" s="18"/>
      <c r="G323" s="18"/>
      <c r="H323" s="18"/>
    </row>
    <row r="324" spans="1:8" ht="15.75" customHeight="1" x14ac:dyDescent="0.25">
      <c r="A324" s="5"/>
      <c r="B324" s="5"/>
      <c r="C324" s="18"/>
      <c r="D324" s="18"/>
      <c r="E324" s="18"/>
      <c r="F324" s="18"/>
      <c r="G324" s="18"/>
      <c r="H324" s="18"/>
    </row>
    <row r="325" spans="1:8" ht="15.75" customHeight="1" x14ac:dyDescent="0.25">
      <c r="A325" s="5"/>
      <c r="B325" s="5"/>
      <c r="C325" s="18"/>
      <c r="D325" s="18"/>
      <c r="E325" s="18"/>
      <c r="F325" s="18"/>
      <c r="G325" s="18"/>
      <c r="H325" s="18"/>
    </row>
    <row r="326" spans="1:8" ht="15.75" customHeight="1" x14ac:dyDescent="0.25">
      <c r="A326" s="5"/>
      <c r="B326" s="5"/>
      <c r="C326" s="18"/>
      <c r="D326" s="18"/>
      <c r="E326" s="18"/>
      <c r="F326" s="18"/>
      <c r="G326" s="18"/>
      <c r="H326" s="18"/>
    </row>
    <row r="327" spans="1:8" ht="15.75" customHeight="1" x14ac:dyDescent="0.25">
      <c r="A327" s="5"/>
      <c r="B327" s="5"/>
      <c r="C327" s="18"/>
      <c r="D327" s="18"/>
      <c r="E327" s="18"/>
      <c r="F327" s="18"/>
      <c r="G327" s="18"/>
      <c r="H327" s="18"/>
    </row>
    <row r="328" spans="1:8" ht="15.75" customHeight="1" x14ac:dyDescent="0.25">
      <c r="A328" s="5"/>
      <c r="B328" s="5"/>
      <c r="C328" s="18"/>
      <c r="D328" s="18"/>
      <c r="E328" s="18"/>
      <c r="F328" s="18"/>
      <c r="G328" s="18"/>
      <c r="H328" s="18"/>
    </row>
    <row r="329" spans="1:8" ht="15.75" customHeight="1" x14ac:dyDescent="0.25">
      <c r="A329" s="5"/>
      <c r="B329" s="5"/>
      <c r="C329" s="18"/>
      <c r="D329" s="18"/>
      <c r="E329" s="18"/>
      <c r="F329" s="18"/>
      <c r="G329" s="18"/>
      <c r="H329" s="18"/>
    </row>
    <row r="330" spans="1:8" ht="15.75" customHeight="1" x14ac:dyDescent="0.25">
      <c r="A330" s="5"/>
      <c r="B330" s="5"/>
      <c r="C330" s="18"/>
      <c r="D330" s="18"/>
      <c r="E330" s="18"/>
      <c r="F330" s="18"/>
      <c r="G330" s="18"/>
      <c r="H330" s="18"/>
    </row>
    <row r="331" spans="1:8" ht="15.75" customHeight="1" x14ac:dyDescent="0.25">
      <c r="A331" s="5"/>
      <c r="B331" s="5"/>
      <c r="C331" s="18"/>
      <c r="D331" s="18"/>
      <c r="E331" s="18"/>
      <c r="F331" s="18"/>
      <c r="G331" s="18"/>
      <c r="H331" s="18"/>
    </row>
    <row r="332" spans="1:8" ht="15.75" customHeight="1" x14ac:dyDescent="0.25">
      <c r="A332" s="5"/>
      <c r="B332" s="5"/>
      <c r="C332" s="18"/>
      <c r="D332" s="18"/>
      <c r="E332" s="18"/>
      <c r="F332" s="18"/>
      <c r="G332" s="18"/>
      <c r="H332" s="18"/>
    </row>
    <row r="333" spans="1:8" ht="15.75" customHeight="1" x14ac:dyDescent="0.25">
      <c r="A333" s="5"/>
      <c r="B333" s="5"/>
      <c r="C333" s="18"/>
      <c r="D333" s="18"/>
      <c r="E333" s="18"/>
      <c r="F333" s="18"/>
      <c r="G333" s="18"/>
      <c r="H333" s="18"/>
    </row>
    <row r="334" spans="1:8" ht="15.75" customHeight="1" x14ac:dyDescent="0.25">
      <c r="A334" s="5"/>
      <c r="B334" s="5"/>
      <c r="C334" s="18"/>
      <c r="D334" s="18"/>
      <c r="E334" s="18"/>
      <c r="F334" s="18"/>
      <c r="G334" s="18"/>
      <c r="H334" s="18"/>
    </row>
    <row r="335" spans="1:8" ht="15.75" customHeight="1" x14ac:dyDescent="0.25">
      <c r="A335" s="5"/>
      <c r="B335" s="5"/>
      <c r="C335" s="18"/>
      <c r="D335" s="18"/>
      <c r="E335" s="18"/>
      <c r="F335" s="18"/>
      <c r="G335" s="18"/>
      <c r="H335" s="18"/>
    </row>
    <row r="336" spans="1:8" ht="15.75" customHeight="1" x14ac:dyDescent="0.25">
      <c r="A336" s="5"/>
      <c r="B336" s="5"/>
      <c r="C336" s="18"/>
      <c r="D336" s="18"/>
      <c r="E336" s="18"/>
      <c r="F336" s="18"/>
      <c r="G336" s="18"/>
      <c r="H336" s="18"/>
    </row>
    <row r="337" spans="1:8" ht="15.75" customHeight="1" x14ac:dyDescent="0.25">
      <c r="A337" s="5"/>
      <c r="B337" s="5"/>
      <c r="C337" s="18"/>
      <c r="D337" s="18"/>
      <c r="E337" s="18"/>
      <c r="F337" s="18"/>
      <c r="G337" s="18"/>
      <c r="H337" s="18"/>
    </row>
    <row r="338" spans="1:8" ht="15.75" customHeight="1" x14ac:dyDescent="0.25">
      <c r="A338" s="5"/>
      <c r="B338" s="5"/>
      <c r="C338" s="18"/>
      <c r="D338" s="18"/>
      <c r="E338" s="18"/>
      <c r="F338" s="18"/>
      <c r="G338" s="18"/>
      <c r="H338" s="18"/>
    </row>
    <row r="339" spans="1:8" ht="15.75" customHeight="1" x14ac:dyDescent="0.25">
      <c r="A339" s="5"/>
      <c r="B339" s="5"/>
      <c r="C339" s="18"/>
      <c r="D339" s="18"/>
      <c r="E339" s="18"/>
      <c r="F339" s="18"/>
      <c r="G339" s="18"/>
      <c r="H339" s="18"/>
    </row>
    <row r="340" spans="1:8" ht="15.75" customHeight="1" x14ac:dyDescent="0.25">
      <c r="A340" s="5"/>
      <c r="B340" s="5"/>
      <c r="C340" s="18"/>
      <c r="D340" s="18"/>
      <c r="E340" s="18"/>
      <c r="F340" s="18"/>
      <c r="G340" s="18"/>
      <c r="H340" s="18"/>
    </row>
    <row r="341" spans="1:8" ht="15.75" customHeight="1" x14ac:dyDescent="0.25">
      <c r="A341" s="5"/>
      <c r="B341" s="5"/>
      <c r="C341" s="18"/>
      <c r="D341" s="18"/>
      <c r="E341" s="18"/>
      <c r="F341" s="18"/>
      <c r="G341" s="18"/>
      <c r="H341" s="18"/>
    </row>
    <row r="342" spans="1:8" ht="15.75" customHeight="1" x14ac:dyDescent="0.25">
      <c r="A342" s="5"/>
      <c r="B342" s="5"/>
      <c r="C342" s="18"/>
      <c r="D342" s="18"/>
      <c r="E342" s="18"/>
      <c r="F342" s="18"/>
      <c r="G342" s="18"/>
      <c r="H342" s="18"/>
    </row>
    <row r="343" spans="1:8" ht="15.75" customHeight="1" x14ac:dyDescent="0.25">
      <c r="A343" s="5"/>
      <c r="B343" s="5"/>
      <c r="C343" s="18"/>
      <c r="D343" s="18"/>
      <c r="E343" s="18"/>
      <c r="F343" s="18"/>
      <c r="G343" s="18"/>
      <c r="H343" s="18"/>
    </row>
    <row r="344" spans="1:8" ht="15.75" customHeight="1" x14ac:dyDescent="0.25">
      <c r="A344" s="5"/>
      <c r="B344" s="5"/>
      <c r="C344" s="18"/>
      <c r="D344" s="18"/>
      <c r="E344" s="18"/>
      <c r="F344" s="18"/>
      <c r="G344" s="18"/>
      <c r="H344" s="18"/>
    </row>
    <row r="345" spans="1:8" ht="15.75" customHeight="1" x14ac:dyDescent="0.25">
      <c r="A345" s="5"/>
      <c r="B345" s="5"/>
      <c r="C345" s="18"/>
      <c r="D345" s="18"/>
      <c r="E345" s="18"/>
      <c r="F345" s="18"/>
      <c r="G345" s="18"/>
      <c r="H345" s="18"/>
    </row>
    <row r="346" spans="1:8" ht="15.75" customHeight="1" x14ac:dyDescent="0.25">
      <c r="A346" s="5"/>
      <c r="B346" s="5"/>
      <c r="C346" s="18"/>
      <c r="D346" s="18"/>
      <c r="E346" s="18"/>
      <c r="F346" s="18"/>
      <c r="G346" s="18"/>
      <c r="H346" s="18"/>
    </row>
    <row r="347" spans="1:8" ht="15.75" customHeight="1" x14ac:dyDescent="0.25">
      <c r="A347" s="5"/>
      <c r="B347" s="5"/>
      <c r="C347" s="18"/>
      <c r="D347" s="18"/>
      <c r="E347" s="18"/>
      <c r="F347" s="18"/>
      <c r="G347" s="18"/>
      <c r="H347" s="18"/>
    </row>
    <row r="348" spans="1:8" ht="15.75" customHeight="1" x14ac:dyDescent="0.25">
      <c r="A348" s="5"/>
      <c r="B348" s="5"/>
      <c r="C348" s="18"/>
      <c r="D348" s="18"/>
      <c r="E348" s="18"/>
      <c r="F348" s="18"/>
      <c r="G348" s="18"/>
      <c r="H348" s="18"/>
    </row>
    <row r="349" spans="1:8" ht="15.75" customHeight="1" x14ac:dyDescent="0.25">
      <c r="A349" s="5"/>
      <c r="B349" s="5"/>
      <c r="C349" s="18"/>
      <c r="D349" s="18"/>
      <c r="E349" s="18"/>
      <c r="F349" s="18"/>
      <c r="G349" s="18"/>
      <c r="H349" s="18"/>
    </row>
    <row r="350" spans="1:8" ht="15.75" customHeight="1" x14ac:dyDescent="0.25">
      <c r="A350" s="5"/>
      <c r="B350" s="5"/>
      <c r="C350" s="18"/>
      <c r="D350" s="18"/>
      <c r="E350" s="18"/>
      <c r="F350" s="18"/>
      <c r="G350" s="18"/>
      <c r="H350" s="18"/>
    </row>
    <row r="351" spans="1:8" ht="15.75" customHeight="1" x14ac:dyDescent="0.25">
      <c r="A351" s="5"/>
      <c r="B351" s="5"/>
      <c r="C351" s="18"/>
      <c r="D351" s="18"/>
      <c r="E351" s="18"/>
      <c r="F351" s="18"/>
      <c r="G351" s="18"/>
      <c r="H351" s="18"/>
    </row>
    <row r="352" spans="1:8" ht="15.75" customHeight="1" x14ac:dyDescent="0.25">
      <c r="A352" s="5"/>
      <c r="B352" s="5"/>
      <c r="C352" s="18"/>
      <c r="D352" s="18"/>
      <c r="E352" s="18"/>
      <c r="F352" s="18"/>
      <c r="G352" s="18"/>
      <c r="H352" s="18"/>
    </row>
    <row r="353" spans="1:8" ht="15.75" customHeight="1" x14ac:dyDescent="0.25">
      <c r="A353" s="5"/>
      <c r="B353" s="5"/>
      <c r="C353" s="18"/>
      <c r="D353" s="18"/>
      <c r="E353" s="18"/>
      <c r="F353" s="18"/>
      <c r="G353" s="18"/>
      <c r="H353" s="18"/>
    </row>
    <row r="354" spans="1:8" ht="15.75" customHeight="1" x14ac:dyDescent="0.25">
      <c r="A354" s="5"/>
      <c r="B354" s="5"/>
      <c r="C354" s="18"/>
      <c r="D354" s="18"/>
      <c r="E354" s="18"/>
      <c r="F354" s="18"/>
      <c r="G354" s="18"/>
      <c r="H354" s="18"/>
    </row>
    <row r="355" spans="1:8" ht="15.75" customHeight="1" x14ac:dyDescent="0.25">
      <c r="A355" s="5"/>
      <c r="B355" s="5"/>
      <c r="C355" s="18"/>
      <c r="D355" s="18"/>
      <c r="E355" s="18"/>
      <c r="F355" s="18"/>
      <c r="G355" s="18"/>
      <c r="H355" s="18"/>
    </row>
    <row r="356" spans="1:8" ht="15.75" customHeight="1" x14ac:dyDescent="0.25">
      <c r="A356" s="5"/>
      <c r="B356" s="5"/>
      <c r="C356" s="18"/>
      <c r="D356" s="18"/>
      <c r="E356" s="18"/>
      <c r="F356" s="18"/>
      <c r="G356" s="18"/>
      <c r="H356" s="18"/>
    </row>
    <row r="357" spans="1:8" ht="15.75" customHeight="1" x14ac:dyDescent="0.25">
      <c r="A357" s="5"/>
      <c r="B357" s="5"/>
      <c r="C357" s="18"/>
      <c r="D357" s="18"/>
      <c r="E357" s="18"/>
      <c r="F357" s="18"/>
      <c r="G357" s="18"/>
      <c r="H357" s="18"/>
    </row>
    <row r="358" spans="1:8" ht="15.75" customHeight="1" x14ac:dyDescent="0.25">
      <c r="A358" s="5"/>
      <c r="B358" s="5"/>
      <c r="C358" s="18"/>
      <c r="D358" s="18"/>
      <c r="E358" s="18"/>
      <c r="F358" s="18"/>
      <c r="G358" s="18"/>
      <c r="H358" s="18"/>
    </row>
    <row r="359" spans="1:8" ht="15.75" customHeight="1" x14ac:dyDescent="0.25">
      <c r="A359" s="5"/>
      <c r="B359" s="5"/>
      <c r="C359" s="18"/>
      <c r="D359" s="18"/>
      <c r="E359" s="18"/>
      <c r="F359" s="18"/>
      <c r="G359" s="18"/>
      <c r="H359" s="18"/>
    </row>
    <row r="360" spans="1:8" ht="15.75" customHeight="1" x14ac:dyDescent="0.25">
      <c r="A360" s="5"/>
      <c r="B360" s="5"/>
      <c r="C360" s="18"/>
      <c r="D360" s="18"/>
      <c r="E360" s="18"/>
      <c r="F360" s="18"/>
      <c r="G360" s="18"/>
      <c r="H360" s="18"/>
    </row>
    <row r="361" spans="1:8" ht="15.75" customHeight="1" x14ac:dyDescent="0.25">
      <c r="A361" s="5"/>
      <c r="B361" s="5"/>
      <c r="C361" s="18"/>
      <c r="D361" s="18"/>
      <c r="E361" s="18"/>
      <c r="F361" s="18"/>
      <c r="G361" s="18"/>
      <c r="H361" s="18"/>
    </row>
    <row r="362" spans="1:8" ht="15.75" customHeight="1" x14ac:dyDescent="0.25">
      <c r="A362" s="5"/>
      <c r="B362" s="5"/>
      <c r="C362" s="18"/>
      <c r="D362" s="18"/>
      <c r="E362" s="18"/>
      <c r="F362" s="18"/>
      <c r="G362" s="18"/>
      <c r="H362" s="18"/>
    </row>
    <row r="363" spans="1:8" ht="15.75" customHeight="1" x14ac:dyDescent="0.25">
      <c r="A363" s="5"/>
      <c r="B363" s="5"/>
      <c r="C363" s="18"/>
      <c r="D363" s="18"/>
      <c r="E363" s="18"/>
      <c r="F363" s="18"/>
      <c r="G363" s="18"/>
      <c r="H363" s="18"/>
    </row>
    <row r="364" spans="1:8" ht="15.75" customHeight="1" x14ac:dyDescent="0.25">
      <c r="A364" s="5"/>
      <c r="B364" s="5"/>
      <c r="C364" s="18"/>
      <c r="D364" s="18"/>
      <c r="E364" s="18"/>
      <c r="F364" s="18"/>
      <c r="G364" s="18"/>
      <c r="H364" s="18"/>
    </row>
    <row r="365" spans="1:8" ht="15.75" customHeight="1" x14ac:dyDescent="0.25">
      <c r="A365" s="5"/>
      <c r="B365" s="5"/>
      <c r="C365" s="18"/>
      <c r="D365" s="18"/>
      <c r="E365" s="18"/>
      <c r="F365" s="18"/>
      <c r="G365" s="18"/>
      <c r="H365" s="18"/>
    </row>
    <row r="366" spans="1:8" ht="15.75" customHeight="1" x14ac:dyDescent="0.25">
      <c r="A366" s="5"/>
      <c r="B366" s="5"/>
      <c r="C366" s="18"/>
      <c r="D366" s="18"/>
      <c r="E366" s="18"/>
      <c r="F366" s="18"/>
      <c r="G366" s="18"/>
      <c r="H366" s="18"/>
    </row>
    <row r="367" spans="1:8" ht="15.75" customHeight="1" x14ac:dyDescent="0.25">
      <c r="A367" s="5"/>
      <c r="B367" s="5"/>
      <c r="C367" s="18"/>
      <c r="D367" s="18"/>
      <c r="E367" s="18"/>
      <c r="F367" s="18"/>
      <c r="G367" s="18"/>
      <c r="H367" s="18"/>
    </row>
    <row r="368" spans="1:8" ht="15.75" customHeight="1" x14ac:dyDescent="0.25">
      <c r="A368" s="5"/>
      <c r="B368" s="5"/>
      <c r="C368" s="18"/>
      <c r="D368" s="18"/>
      <c r="E368" s="18"/>
      <c r="F368" s="18"/>
      <c r="G368" s="18"/>
      <c r="H368" s="18"/>
    </row>
    <row r="369" spans="1:8" ht="15.75" customHeight="1" x14ac:dyDescent="0.25">
      <c r="A369" s="5"/>
      <c r="B369" s="5"/>
      <c r="C369" s="18"/>
      <c r="D369" s="18"/>
      <c r="E369" s="18"/>
      <c r="F369" s="18"/>
      <c r="G369" s="18"/>
      <c r="H369" s="18"/>
    </row>
    <row r="370" spans="1:8" ht="15.75" customHeight="1" x14ac:dyDescent="0.25">
      <c r="A370" s="5"/>
      <c r="B370" s="5"/>
      <c r="C370" s="18"/>
      <c r="D370" s="18"/>
      <c r="E370" s="18"/>
      <c r="F370" s="18"/>
      <c r="G370" s="18"/>
      <c r="H370" s="18"/>
    </row>
    <row r="371" spans="1:8" ht="15.75" customHeight="1" x14ac:dyDescent="0.25">
      <c r="A371" s="5"/>
      <c r="B371" s="5"/>
      <c r="C371" s="18"/>
      <c r="D371" s="18"/>
      <c r="E371" s="18"/>
      <c r="F371" s="18"/>
      <c r="G371" s="18"/>
      <c r="H371" s="18"/>
    </row>
    <row r="372" spans="1:8" ht="15.75" customHeight="1" x14ac:dyDescent="0.25">
      <c r="A372" s="5"/>
      <c r="B372" s="5"/>
      <c r="C372" s="18"/>
      <c r="D372" s="18"/>
      <c r="E372" s="18"/>
      <c r="F372" s="18"/>
      <c r="G372" s="18"/>
      <c r="H372" s="18"/>
    </row>
    <row r="373" spans="1:8" ht="15.75" customHeight="1" x14ac:dyDescent="0.25">
      <c r="A373" s="5"/>
      <c r="B373" s="5"/>
      <c r="C373" s="18"/>
      <c r="D373" s="18"/>
      <c r="E373" s="18"/>
      <c r="F373" s="18"/>
      <c r="G373" s="18"/>
      <c r="H373" s="18"/>
    </row>
    <row r="374" spans="1:8" ht="15.75" customHeight="1" x14ac:dyDescent="0.25">
      <c r="A374" s="5"/>
      <c r="B374" s="5"/>
      <c r="C374" s="18"/>
      <c r="D374" s="18"/>
      <c r="E374" s="18"/>
      <c r="F374" s="18"/>
      <c r="G374" s="18"/>
      <c r="H374" s="18"/>
    </row>
    <row r="375" spans="1:8" ht="15.75" customHeight="1" x14ac:dyDescent="0.25">
      <c r="A375" s="5"/>
      <c r="B375" s="5"/>
      <c r="C375" s="18"/>
      <c r="D375" s="18"/>
      <c r="E375" s="18"/>
      <c r="F375" s="18"/>
      <c r="G375" s="18"/>
      <c r="H375" s="18"/>
    </row>
    <row r="376" spans="1:8" ht="15.75" customHeight="1" x14ac:dyDescent="0.25">
      <c r="A376" s="5"/>
      <c r="B376" s="5"/>
      <c r="C376" s="18"/>
      <c r="D376" s="18"/>
      <c r="E376" s="18"/>
      <c r="F376" s="18"/>
      <c r="G376" s="18"/>
      <c r="H376" s="18"/>
    </row>
    <row r="377" spans="1:8" ht="15.75" customHeight="1" x14ac:dyDescent="0.25">
      <c r="A377" s="5"/>
      <c r="B377" s="5"/>
      <c r="C377" s="18"/>
      <c r="D377" s="18"/>
      <c r="E377" s="18"/>
      <c r="F377" s="18"/>
      <c r="G377" s="18"/>
      <c r="H377" s="18"/>
    </row>
    <row r="378" spans="1:8" ht="15.75" customHeight="1" x14ac:dyDescent="0.25">
      <c r="A378" s="5"/>
      <c r="B378" s="5"/>
      <c r="C378" s="18"/>
      <c r="D378" s="18"/>
      <c r="E378" s="18"/>
      <c r="F378" s="18"/>
      <c r="G378" s="18"/>
      <c r="H378" s="18"/>
    </row>
    <row r="379" spans="1:8" ht="15.75" customHeight="1" x14ac:dyDescent="0.25">
      <c r="A379" s="5"/>
      <c r="B379" s="5"/>
      <c r="C379" s="18"/>
      <c r="D379" s="18"/>
      <c r="E379" s="18"/>
      <c r="F379" s="18"/>
      <c r="G379" s="18"/>
      <c r="H379" s="18"/>
    </row>
    <row r="380" spans="1:8" ht="15.75" customHeight="1" x14ac:dyDescent="0.25">
      <c r="A380" s="5"/>
      <c r="B380" s="5"/>
      <c r="C380" s="18"/>
      <c r="D380" s="18"/>
      <c r="E380" s="18"/>
      <c r="F380" s="18"/>
      <c r="G380" s="18"/>
      <c r="H380" s="18"/>
    </row>
    <row r="381" spans="1:8" ht="15.75" customHeight="1" x14ac:dyDescent="0.25">
      <c r="A381" s="5"/>
      <c r="B381" s="5"/>
      <c r="C381" s="18"/>
      <c r="D381" s="18"/>
      <c r="E381" s="18"/>
      <c r="F381" s="18"/>
      <c r="G381" s="18"/>
      <c r="H381" s="18"/>
    </row>
    <row r="382" spans="1:8" ht="15.75" customHeight="1" x14ac:dyDescent="0.25">
      <c r="A382" s="5"/>
      <c r="B382" s="5"/>
      <c r="C382" s="18"/>
      <c r="D382" s="18"/>
      <c r="E382" s="18"/>
      <c r="F382" s="18"/>
      <c r="G382" s="18"/>
      <c r="H382" s="18"/>
    </row>
    <row r="383" spans="1:8" ht="15.75" customHeight="1" x14ac:dyDescent="0.25">
      <c r="A383" s="5"/>
      <c r="B383" s="5"/>
      <c r="C383" s="18"/>
      <c r="D383" s="18"/>
      <c r="E383" s="18"/>
      <c r="F383" s="18"/>
      <c r="G383" s="18"/>
      <c r="H383" s="18"/>
    </row>
    <row r="384" spans="1:8" ht="15.75" customHeight="1" x14ac:dyDescent="0.25">
      <c r="A384" s="5"/>
      <c r="B384" s="5"/>
      <c r="C384" s="18"/>
      <c r="D384" s="18"/>
      <c r="E384" s="18"/>
      <c r="F384" s="18"/>
      <c r="G384" s="18"/>
      <c r="H384" s="18"/>
    </row>
    <row r="385" spans="1:8" ht="15.75" customHeight="1" x14ac:dyDescent="0.25">
      <c r="A385" s="5"/>
      <c r="B385" s="5"/>
      <c r="C385" s="18"/>
      <c r="D385" s="18"/>
      <c r="E385" s="18"/>
      <c r="F385" s="18"/>
      <c r="G385" s="18"/>
      <c r="H385" s="18"/>
    </row>
    <row r="386" spans="1:8" ht="15.75" customHeight="1" x14ac:dyDescent="0.25">
      <c r="A386" s="5"/>
      <c r="B386" s="5"/>
      <c r="C386" s="18"/>
      <c r="D386" s="18"/>
      <c r="E386" s="18"/>
      <c r="F386" s="18"/>
      <c r="G386" s="18"/>
      <c r="H386" s="18"/>
    </row>
    <row r="387" spans="1:8" ht="15.75" customHeight="1" x14ac:dyDescent="0.25">
      <c r="A387" s="5"/>
      <c r="B387" s="5"/>
      <c r="C387" s="18"/>
      <c r="D387" s="18"/>
      <c r="E387" s="18"/>
      <c r="F387" s="18"/>
      <c r="G387" s="18"/>
      <c r="H387" s="18"/>
    </row>
    <row r="388" spans="1:8" ht="15.75" customHeight="1" x14ac:dyDescent="0.25">
      <c r="A388" s="5"/>
      <c r="B388" s="5"/>
      <c r="C388" s="18"/>
      <c r="D388" s="18"/>
      <c r="E388" s="18"/>
      <c r="F388" s="18"/>
      <c r="G388" s="18"/>
      <c r="H388" s="18"/>
    </row>
    <row r="389" spans="1:8" ht="15.75" customHeight="1" x14ac:dyDescent="0.25">
      <c r="A389" s="5"/>
      <c r="B389" s="5"/>
      <c r="C389" s="18"/>
      <c r="D389" s="18"/>
      <c r="E389" s="18"/>
      <c r="F389" s="18"/>
      <c r="G389" s="18"/>
      <c r="H389" s="18"/>
    </row>
    <row r="390" spans="1:8" ht="15.75" customHeight="1" x14ac:dyDescent="0.25">
      <c r="A390" s="5"/>
      <c r="B390" s="5"/>
      <c r="C390" s="18"/>
      <c r="D390" s="18"/>
      <c r="E390" s="18"/>
      <c r="F390" s="18"/>
      <c r="G390" s="18"/>
      <c r="H390" s="18"/>
    </row>
    <row r="391" spans="1:8" ht="15.75" customHeight="1" x14ac:dyDescent="0.25">
      <c r="A391" s="5"/>
      <c r="B391" s="5"/>
      <c r="C391" s="18"/>
      <c r="D391" s="18"/>
      <c r="E391" s="18"/>
      <c r="F391" s="18"/>
      <c r="G391" s="18"/>
      <c r="H391" s="18"/>
    </row>
    <row r="392" spans="1:8" ht="15.75" customHeight="1" x14ac:dyDescent="0.25">
      <c r="A392" s="5"/>
      <c r="B392" s="5"/>
      <c r="C392" s="18"/>
      <c r="D392" s="18"/>
      <c r="E392" s="18"/>
      <c r="F392" s="18"/>
      <c r="G392" s="18"/>
      <c r="H392" s="18"/>
    </row>
    <row r="393" spans="1:8" ht="15.75" customHeight="1" x14ac:dyDescent="0.25">
      <c r="A393" s="5"/>
      <c r="B393" s="5"/>
      <c r="C393" s="18"/>
      <c r="D393" s="18"/>
      <c r="E393" s="18"/>
      <c r="F393" s="18"/>
      <c r="G393" s="18"/>
      <c r="H393" s="18"/>
    </row>
    <row r="394" spans="1:8" ht="15.75" customHeight="1" x14ac:dyDescent="0.25">
      <c r="A394" s="5"/>
      <c r="B394" s="5"/>
      <c r="C394" s="18"/>
      <c r="D394" s="18"/>
      <c r="E394" s="18"/>
      <c r="F394" s="18"/>
      <c r="G394" s="18"/>
      <c r="H394" s="18"/>
    </row>
    <row r="395" spans="1:8" ht="15.75" customHeight="1" x14ac:dyDescent="0.25">
      <c r="A395" s="5"/>
      <c r="B395" s="5"/>
      <c r="C395" s="18"/>
      <c r="D395" s="18"/>
      <c r="E395" s="18"/>
      <c r="F395" s="18"/>
      <c r="G395" s="18"/>
      <c r="H395" s="18"/>
    </row>
    <row r="396" spans="1:8" ht="15.75" customHeight="1" x14ac:dyDescent="0.25">
      <c r="A396" s="5"/>
      <c r="B396" s="5"/>
      <c r="C396" s="18"/>
      <c r="D396" s="18"/>
      <c r="E396" s="18"/>
      <c r="F396" s="18"/>
      <c r="G396" s="18"/>
      <c r="H396" s="18"/>
    </row>
    <row r="397" spans="1:8" ht="15.75" customHeight="1" x14ac:dyDescent="0.25">
      <c r="A397" s="5"/>
      <c r="B397" s="5"/>
      <c r="C397" s="18"/>
      <c r="D397" s="18"/>
      <c r="E397" s="18"/>
      <c r="F397" s="18"/>
      <c r="G397" s="18"/>
      <c r="H397" s="18"/>
    </row>
    <row r="398" spans="1:8" ht="15.75" customHeight="1" x14ac:dyDescent="0.25">
      <c r="A398" s="5"/>
      <c r="B398" s="5"/>
      <c r="C398" s="18"/>
      <c r="D398" s="18"/>
      <c r="E398" s="18"/>
      <c r="F398" s="18"/>
      <c r="G398" s="18"/>
      <c r="H398" s="18"/>
    </row>
    <row r="399" spans="1:8" ht="15.75" customHeight="1" x14ac:dyDescent="0.25">
      <c r="A399" s="5"/>
      <c r="B399" s="5"/>
      <c r="C399" s="18"/>
      <c r="D399" s="18"/>
      <c r="E399" s="18"/>
      <c r="F399" s="18"/>
      <c r="G399" s="18"/>
      <c r="H399" s="18"/>
    </row>
    <row r="400" spans="1:8" ht="15.75" customHeight="1" x14ac:dyDescent="0.25">
      <c r="A400" s="5"/>
      <c r="B400" s="5"/>
      <c r="C400" s="18"/>
      <c r="D400" s="18"/>
      <c r="E400" s="18"/>
      <c r="F400" s="18"/>
      <c r="G400" s="18"/>
      <c r="H400" s="18"/>
    </row>
    <row r="401" spans="1:8" ht="15.75" customHeight="1" x14ac:dyDescent="0.25">
      <c r="A401" s="5"/>
      <c r="B401" s="5"/>
      <c r="C401" s="18"/>
      <c r="D401" s="18"/>
      <c r="E401" s="18"/>
      <c r="F401" s="18"/>
      <c r="G401" s="18"/>
      <c r="H401" s="18"/>
    </row>
    <row r="402" spans="1:8" ht="15.75" customHeight="1" x14ac:dyDescent="0.25">
      <c r="A402" s="5"/>
      <c r="B402" s="5"/>
      <c r="C402" s="18"/>
      <c r="D402" s="18"/>
      <c r="E402" s="18"/>
      <c r="F402" s="18"/>
      <c r="G402" s="18"/>
      <c r="H402" s="18"/>
    </row>
    <row r="403" spans="1:8" ht="15.75" customHeight="1" x14ac:dyDescent="0.25">
      <c r="A403" s="5"/>
      <c r="B403" s="5"/>
      <c r="C403" s="18"/>
      <c r="D403" s="18"/>
      <c r="E403" s="18"/>
      <c r="F403" s="18"/>
      <c r="G403" s="18"/>
      <c r="H403" s="18"/>
    </row>
    <row r="404" spans="1:8" ht="15.75" customHeight="1" x14ac:dyDescent="0.25">
      <c r="A404" s="5"/>
      <c r="B404" s="5"/>
      <c r="C404" s="18"/>
      <c r="D404" s="18"/>
      <c r="E404" s="18"/>
      <c r="F404" s="18"/>
      <c r="G404" s="18"/>
      <c r="H404" s="18"/>
    </row>
    <row r="405" spans="1:8" ht="15.75" customHeight="1" x14ac:dyDescent="0.25">
      <c r="A405" s="5"/>
      <c r="B405" s="5"/>
      <c r="C405" s="18"/>
      <c r="D405" s="18"/>
      <c r="E405" s="18"/>
      <c r="F405" s="18"/>
      <c r="G405" s="18"/>
      <c r="H405" s="18"/>
    </row>
    <row r="406" spans="1:8" ht="15.75" customHeight="1" x14ac:dyDescent="0.25">
      <c r="A406" s="5"/>
      <c r="B406" s="5"/>
      <c r="C406" s="18"/>
      <c r="D406" s="18"/>
      <c r="E406" s="18"/>
      <c r="F406" s="18"/>
      <c r="G406" s="18"/>
      <c r="H406" s="18"/>
    </row>
    <row r="407" spans="1:8" ht="15.75" customHeight="1" x14ac:dyDescent="0.25">
      <c r="A407" s="5"/>
      <c r="B407" s="5"/>
      <c r="C407" s="18"/>
      <c r="D407" s="18"/>
      <c r="E407" s="18"/>
      <c r="F407" s="18"/>
      <c r="G407" s="18"/>
      <c r="H407" s="18"/>
    </row>
    <row r="408" spans="1:8" ht="15.75" customHeight="1" x14ac:dyDescent="0.25">
      <c r="A408" s="5"/>
      <c r="B408" s="5"/>
      <c r="C408" s="18"/>
      <c r="D408" s="18"/>
      <c r="E408" s="18"/>
      <c r="F408" s="18"/>
      <c r="G408" s="18"/>
      <c r="H408" s="18"/>
    </row>
    <row r="409" spans="1:8" ht="15.75" customHeight="1" x14ac:dyDescent="0.25">
      <c r="A409" s="5"/>
      <c r="B409" s="5"/>
      <c r="C409" s="18"/>
      <c r="D409" s="18"/>
      <c r="E409" s="18"/>
      <c r="F409" s="18"/>
      <c r="G409" s="18"/>
      <c r="H409" s="18"/>
    </row>
    <row r="410" spans="1:8" ht="15.75" customHeight="1" x14ac:dyDescent="0.25">
      <c r="A410" s="5"/>
      <c r="B410" s="5"/>
      <c r="C410" s="18"/>
      <c r="D410" s="18"/>
      <c r="E410" s="18"/>
      <c r="F410" s="18"/>
      <c r="G410" s="18"/>
      <c r="H410" s="18"/>
    </row>
    <row r="411" spans="1:8" ht="15.75" customHeight="1" x14ac:dyDescent="0.25">
      <c r="A411" s="5"/>
      <c r="B411" s="5"/>
      <c r="C411" s="18"/>
      <c r="D411" s="18"/>
      <c r="E411" s="18"/>
      <c r="F411" s="18"/>
      <c r="G411" s="18"/>
      <c r="H411" s="18"/>
    </row>
    <row r="412" spans="1:8" ht="15.75" customHeight="1" x14ac:dyDescent="0.25">
      <c r="A412" s="5"/>
      <c r="B412" s="5"/>
      <c r="C412" s="18"/>
      <c r="D412" s="18"/>
      <c r="E412" s="18"/>
      <c r="F412" s="18"/>
      <c r="G412" s="18"/>
      <c r="H412" s="18"/>
    </row>
    <row r="413" spans="1:8" ht="15.75" customHeight="1" x14ac:dyDescent="0.25">
      <c r="A413" s="5"/>
      <c r="B413" s="5"/>
      <c r="C413" s="18"/>
      <c r="D413" s="18"/>
      <c r="E413" s="18"/>
      <c r="F413" s="18"/>
      <c r="G413" s="18"/>
      <c r="H413" s="18"/>
    </row>
    <row r="414" spans="1:8" ht="15.75" customHeight="1" x14ac:dyDescent="0.25">
      <c r="A414" s="5"/>
      <c r="B414" s="5"/>
      <c r="C414" s="18"/>
      <c r="D414" s="18"/>
      <c r="E414" s="18"/>
      <c r="F414" s="18"/>
      <c r="G414" s="18"/>
      <c r="H414" s="18"/>
    </row>
    <row r="415" spans="1:8" ht="15.75" customHeight="1" x14ac:dyDescent="0.25">
      <c r="A415" s="5"/>
      <c r="B415" s="5"/>
      <c r="C415" s="18"/>
      <c r="D415" s="18"/>
      <c r="E415" s="18"/>
      <c r="F415" s="18"/>
      <c r="G415" s="18"/>
      <c r="H415" s="18"/>
    </row>
    <row r="416" spans="1:8" ht="15.75" customHeight="1" x14ac:dyDescent="0.25">
      <c r="A416" s="5"/>
      <c r="B416" s="5"/>
      <c r="C416" s="18"/>
      <c r="D416" s="18"/>
      <c r="E416" s="18"/>
      <c r="F416" s="18"/>
      <c r="G416" s="18"/>
      <c r="H416" s="18"/>
    </row>
    <row r="417" spans="1:8" ht="15.75" customHeight="1" x14ac:dyDescent="0.25">
      <c r="A417" s="5"/>
      <c r="B417" s="5"/>
      <c r="C417" s="18"/>
      <c r="D417" s="18"/>
      <c r="E417" s="18"/>
      <c r="F417" s="18"/>
      <c r="G417" s="18"/>
      <c r="H417" s="18"/>
    </row>
    <row r="418" spans="1:8" ht="15.75" customHeight="1" x14ac:dyDescent="0.25">
      <c r="A418" s="5"/>
      <c r="B418" s="5"/>
      <c r="C418" s="18"/>
      <c r="D418" s="18"/>
      <c r="E418" s="18"/>
      <c r="F418" s="18"/>
      <c r="G418" s="18"/>
      <c r="H418" s="18"/>
    </row>
    <row r="419" spans="1:8" ht="15.75" customHeight="1" x14ac:dyDescent="0.25">
      <c r="A419" s="5"/>
      <c r="B419" s="5"/>
      <c r="C419" s="18"/>
      <c r="D419" s="18"/>
      <c r="E419" s="18"/>
      <c r="F419" s="18"/>
      <c r="G419" s="18"/>
      <c r="H419" s="18"/>
    </row>
    <row r="420" spans="1:8" ht="15.75" customHeight="1" x14ac:dyDescent="0.25">
      <c r="A420" s="5"/>
      <c r="B420" s="5"/>
      <c r="C420" s="18"/>
      <c r="D420" s="18"/>
      <c r="E420" s="18"/>
      <c r="F420" s="18"/>
      <c r="G420" s="18"/>
      <c r="H420" s="18"/>
    </row>
    <row r="421" spans="1:8" ht="15.75" customHeight="1" x14ac:dyDescent="0.25">
      <c r="A421" s="5"/>
      <c r="B421" s="5"/>
      <c r="C421" s="18"/>
      <c r="D421" s="18"/>
      <c r="E421" s="18"/>
      <c r="F421" s="18"/>
      <c r="G421" s="18"/>
      <c r="H421" s="18"/>
    </row>
    <row r="422" spans="1:8" ht="15.75" customHeight="1" x14ac:dyDescent="0.25">
      <c r="A422" s="5"/>
      <c r="B422" s="5"/>
      <c r="C422" s="18"/>
      <c r="D422" s="18"/>
      <c r="E422" s="18"/>
      <c r="F422" s="18"/>
      <c r="G422" s="18"/>
      <c r="H422" s="18"/>
    </row>
    <row r="423" spans="1:8" ht="15.75" customHeight="1" x14ac:dyDescent="0.25">
      <c r="A423" s="5"/>
      <c r="B423" s="5"/>
      <c r="C423" s="18"/>
      <c r="D423" s="18"/>
      <c r="E423" s="18"/>
      <c r="F423" s="18"/>
      <c r="G423" s="18"/>
      <c r="H423" s="18"/>
    </row>
    <row r="424" spans="1:8" ht="15.75" customHeight="1" x14ac:dyDescent="0.25">
      <c r="A424" s="5"/>
      <c r="B424" s="5"/>
      <c r="C424" s="18"/>
      <c r="D424" s="18"/>
      <c r="E424" s="18"/>
      <c r="F424" s="18"/>
      <c r="G424" s="18"/>
      <c r="H424" s="18"/>
    </row>
    <row r="425" spans="1:8" ht="15.75" customHeight="1" x14ac:dyDescent="0.25">
      <c r="A425" s="5"/>
      <c r="B425" s="5"/>
      <c r="C425" s="18"/>
      <c r="D425" s="18"/>
      <c r="E425" s="18"/>
      <c r="F425" s="18"/>
      <c r="G425" s="18"/>
      <c r="H425" s="18"/>
    </row>
    <row r="426" spans="1:8" ht="15.75" customHeight="1" x14ac:dyDescent="0.25">
      <c r="A426" s="5"/>
      <c r="B426" s="5"/>
      <c r="C426" s="18"/>
      <c r="D426" s="18"/>
      <c r="E426" s="18"/>
      <c r="F426" s="18"/>
      <c r="G426" s="18"/>
      <c r="H426" s="18"/>
    </row>
    <row r="427" spans="1:8" ht="15.75" customHeight="1" x14ac:dyDescent="0.25">
      <c r="A427" s="5"/>
      <c r="B427" s="5"/>
      <c r="C427" s="18"/>
      <c r="D427" s="18"/>
      <c r="E427" s="18"/>
      <c r="F427" s="18"/>
      <c r="G427" s="18"/>
      <c r="H427" s="18"/>
    </row>
    <row r="428" spans="1:8" ht="15.75" customHeight="1" x14ac:dyDescent="0.25">
      <c r="A428" s="5"/>
      <c r="B428" s="5"/>
      <c r="C428" s="18"/>
      <c r="D428" s="18"/>
      <c r="E428" s="18"/>
      <c r="F428" s="18"/>
      <c r="G428" s="18"/>
      <c r="H428" s="18"/>
    </row>
    <row r="429" spans="1:8" ht="15.75" customHeight="1" x14ac:dyDescent="0.25">
      <c r="A429" s="5"/>
      <c r="B429" s="5"/>
      <c r="C429" s="18"/>
      <c r="D429" s="18"/>
      <c r="E429" s="18"/>
      <c r="F429" s="18"/>
      <c r="G429" s="18"/>
      <c r="H429" s="18"/>
    </row>
    <row r="430" spans="1:8" ht="15.75" customHeight="1" x14ac:dyDescent="0.25">
      <c r="A430" s="5"/>
      <c r="B430" s="5"/>
      <c r="C430" s="18"/>
      <c r="D430" s="18"/>
      <c r="E430" s="18"/>
      <c r="F430" s="18"/>
      <c r="G430" s="18"/>
      <c r="H430" s="18"/>
    </row>
    <row r="431" spans="1:8" ht="15.75" customHeight="1" x14ac:dyDescent="0.25">
      <c r="A431" s="5"/>
      <c r="B431" s="5"/>
      <c r="C431" s="18"/>
      <c r="D431" s="18"/>
      <c r="E431" s="18"/>
      <c r="F431" s="18"/>
      <c r="G431" s="18"/>
      <c r="H431" s="18"/>
    </row>
    <row r="432" spans="1:8" ht="15.75" customHeight="1" x14ac:dyDescent="0.25">
      <c r="A432" s="5"/>
      <c r="B432" s="5"/>
      <c r="C432" s="18"/>
      <c r="D432" s="18"/>
      <c r="E432" s="18"/>
      <c r="F432" s="18"/>
      <c r="G432" s="18"/>
      <c r="H432" s="18"/>
    </row>
    <row r="433" spans="1:8" ht="15.75" customHeight="1" x14ac:dyDescent="0.25">
      <c r="A433" s="5"/>
      <c r="B433" s="5"/>
      <c r="C433" s="18"/>
      <c r="D433" s="18"/>
      <c r="E433" s="18"/>
      <c r="F433" s="18"/>
      <c r="G433" s="18"/>
      <c r="H433" s="18"/>
    </row>
    <row r="434" spans="1:8" ht="15.75" customHeight="1" x14ac:dyDescent="0.25">
      <c r="A434" s="5"/>
      <c r="B434" s="5"/>
      <c r="C434" s="18"/>
      <c r="D434" s="18"/>
      <c r="E434" s="18"/>
      <c r="F434" s="18"/>
      <c r="G434" s="18"/>
      <c r="H434" s="18"/>
    </row>
    <row r="435" spans="1:8" ht="15.75" customHeight="1" x14ac:dyDescent="0.25">
      <c r="A435" s="5"/>
      <c r="B435" s="5"/>
      <c r="C435" s="18"/>
      <c r="D435" s="18"/>
      <c r="E435" s="18"/>
      <c r="F435" s="18"/>
      <c r="G435" s="18"/>
      <c r="H435" s="18"/>
    </row>
    <row r="436" spans="1:8" ht="15.75" customHeight="1" x14ac:dyDescent="0.25">
      <c r="A436" s="5"/>
      <c r="B436" s="5"/>
      <c r="C436" s="18"/>
      <c r="D436" s="18"/>
      <c r="E436" s="18"/>
      <c r="F436" s="18"/>
      <c r="G436" s="18"/>
      <c r="H436" s="18"/>
    </row>
    <row r="437" spans="1:8" ht="15.75" customHeight="1" x14ac:dyDescent="0.25">
      <c r="A437" s="5"/>
      <c r="B437" s="5"/>
      <c r="C437" s="18"/>
      <c r="D437" s="18"/>
      <c r="E437" s="18"/>
      <c r="F437" s="18"/>
      <c r="G437" s="18"/>
      <c r="H437" s="18"/>
    </row>
    <row r="438" spans="1:8" ht="15.75" customHeight="1" x14ac:dyDescent="0.25">
      <c r="A438" s="5"/>
      <c r="B438" s="5"/>
      <c r="C438" s="18"/>
      <c r="D438" s="18"/>
      <c r="E438" s="18"/>
      <c r="F438" s="18"/>
      <c r="G438" s="18"/>
      <c r="H438" s="18"/>
    </row>
    <row r="439" spans="1:8" ht="15.75" customHeight="1" x14ac:dyDescent="0.25">
      <c r="A439" s="5"/>
      <c r="B439" s="5"/>
      <c r="C439" s="18"/>
      <c r="D439" s="18"/>
      <c r="E439" s="18"/>
      <c r="F439" s="18"/>
      <c r="G439" s="18"/>
      <c r="H439" s="18"/>
    </row>
    <row r="440" spans="1:8" ht="15.75" customHeight="1" x14ac:dyDescent="0.25">
      <c r="A440" s="5"/>
      <c r="B440" s="5"/>
      <c r="C440" s="18"/>
      <c r="D440" s="18"/>
      <c r="E440" s="18"/>
      <c r="F440" s="18"/>
      <c r="G440" s="18"/>
      <c r="H440" s="18"/>
    </row>
    <row r="441" spans="1:8" ht="15.75" customHeight="1" x14ac:dyDescent="0.25">
      <c r="A441" s="5"/>
      <c r="B441" s="5"/>
      <c r="C441" s="18"/>
      <c r="D441" s="18"/>
      <c r="E441" s="18"/>
      <c r="F441" s="18"/>
      <c r="G441" s="18"/>
      <c r="H441" s="18"/>
    </row>
    <row r="442" spans="1:8" ht="15.75" customHeight="1" x14ac:dyDescent="0.25">
      <c r="A442" s="5"/>
      <c r="B442" s="5"/>
      <c r="C442" s="18"/>
      <c r="D442" s="18"/>
      <c r="E442" s="18"/>
      <c r="F442" s="18"/>
      <c r="G442" s="18"/>
      <c r="H442" s="18"/>
    </row>
    <row r="443" spans="1:8" ht="15.75" customHeight="1" x14ac:dyDescent="0.25">
      <c r="A443" s="5"/>
      <c r="B443" s="5"/>
      <c r="C443" s="18"/>
      <c r="D443" s="18"/>
      <c r="E443" s="18"/>
      <c r="F443" s="18"/>
      <c r="G443" s="18"/>
      <c r="H443" s="18"/>
    </row>
    <row r="444" spans="1:8" ht="15.75" customHeight="1" x14ac:dyDescent="0.25">
      <c r="A444" s="5"/>
      <c r="B444" s="5"/>
      <c r="C444" s="18"/>
      <c r="D444" s="18"/>
      <c r="E444" s="18"/>
      <c r="F444" s="18"/>
      <c r="G444" s="18"/>
      <c r="H444" s="18"/>
    </row>
    <row r="445" spans="1:8" ht="15.75" customHeight="1" x14ac:dyDescent="0.25">
      <c r="A445" s="5"/>
      <c r="B445" s="5"/>
      <c r="C445" s="18"/>
      <c r="D445" s="18"/>
      <c r="E445" s="18"/>
      <c r="F445" s="18"/>
      <c r="G445" s="18"/>
      <c r="H445" s="18"/>
    </row>
    <row r="446" spans="1:8" ht="15.75" customHeight="1" x14ac:dyDescent="0.25">
      <c r="A446" s="5"/>
      <c r="B446" s="5"/>
      <c r="C446" s="18"/>
      <c r="D446" s="18"/>
      <c r="E446" s="18"/>
      <c r="F446" s="18"/>
      <c r="G446" s="18"/>
      <c r="H446" s="18"/>
    </row>
    <row r="447" spans="1:8" ht="15.75" customHeight="1" x14ac:dyDescent="0.25">
      <c r="A447" s="5"/>
      <c r="B447" s="5"/>
      <c r="C447" s="18"/>
      <c r="D447" s="18"/>
      <c r="E447" s="18"/>
      <c r="F447" s="18"/>
      <c r="G447" s="18"/>
      <c r="H447" s="18"/>
    </row>
    <row r="448" spans="1:8" ht="15.75" customHeight="1" x14ac:dyDescent="0.25">
      <c r="A448" s="5"/>
      <c r="B448" s="5"/>
      <c r="C448" s="18"/>
      <c r="D448" s="18"/>
      <c r="E448" s="18"/>
      <c r="F448" s="18"/>
      <c r="G448" s="18"/>
      <c r="H448" s="18"/>
    </row>
    <row r="449" spans="1:8" ht="15.75" customHeight="1" x14ac:dyDescent="0.25">
      <c r="A449" s="5"/>
      <c r="B449" s="5"/>
      <c r="C449" s="18"/>
      <c r="D449" s="18"/>
      <c r="E449" s="18"/>
      <c r="F449" s="18"/>
      <c r="G449" s="18"/>
      <c r="H449" s="18"/>
    </row>
    <row r="450" spans="1:8" ht="15.75" customHeight="1" x14ac:dyDescent="0.25">
      <c r="A450" s="5"/>
      <c r="B450" s="5"/>
      <c r="C450" s="18"/>
      <c r="D450" s="18"/>
      <c r="E450" s="18"/>
      <c r="F450" s="18"/>
      <c r="G450" s="18"/>
      <c r="H450" s="18"/>
    </row>
    <row r="451" spans="1:8" ht="15.75" customHeight="1" x14ac:dyDescent="0.25">
      <c r="A451" s="5"/>
      <c r="B451" s="5"/>
      <c r="C451" s="18"/>
      <c r="D451" s="18"/>
      <c r="E451" s="18"/>
      <c r="F451" s="18"/>
      <c r="G451" s="18"/>
      <c r="H451" s="18"/>
    </row>
    <row r="452" spans="1:8" ht="15.75" customHeight="1" x14ac:dyDescent="0.25">
      <c r="A452" s="5"/>
      <c r="B452" s="5"/>
      <c r="C452" s="18"/>
      <c r="D452" s="18"/>
      <c r="E452" s="18"/>
      <c r="F452" s="18"/>
      <c r="G452" s="18"/>
      <c r="H452" s="18"/>
    </row>
    <row r="453" spans="1:8" ht="15.75" customHeight="1" x14ac:dyDescent="0.25">
      <c r="A453" s="5"/>
      <c r="B453" s="5"/>
      <c r="C453" s="18"/>
      <c r="D453" s="18"/>
      <c r="E453" s="18"/>
      <c r="F453" s="18"/>
      <c r="G453" s="18"/>
      <c r="H453" s="18"/>
    </row>
    <row r="454" spans="1:8" ht="15.75" customHeight="1" x14ac:dyDescent="0.25">
      <c r="A454" s="5"/>
      <c r="B454" s="5"/>
      <c r="C454" s="18"/>
      <c r="D454" s="18"/>
      <c r="E454" s="18"/>
      <c r="F454" s="18"/>
      <c r="G454" s="18"/>
      <c r="H454" s="18"/>
    </row>
    <row r="455" spans="1:8" ht="15.75" customHeight="1" x14ac:dyDescent="0.25">
      <c r="A455" s="5"/>
      <c r="B455" s="5"/>
      <c r="C455" s="18"/>
      <c r="D455" s="18"/>
      <c r="E455" s="18"/>
      <c r="F455" s="18"/>
      <c r="G455" s="18"/>
      <c r="H455" s="18"/>
    </row>
    <row r="456" spans="1:8" ht="15.75" customHeight="1" x14ac:dyDescent="0.25">
      <c r="A456" s="5"/>
      <c r="B456" s="5"/>
      <c r="C456" s="18"/>
      <c r="D456" s="18"/>
      <c r="E456" s="18"/>
      <c r="F456" s="18"/>
      <c r="G456" s="18"/>
      <c r="H456" s="18"/>
    </row>
    <row r="457" spans="1:8" ht="15.75" customHeight="1" x14ac:dyDescent="0.25">
      <c r="A457" s="5"/>
      <c r="B457" s="5"/>
      <c r="C457" s="18"/>
      <c r="D457" s="18"/>
      <c r="E457" s="18"/>
      <c r="F457" s="18"/>
      <c r="G457" s="18"/>
      <c r="H457" s="18"/>
    </row>
    <row r="458" spans="1:8" ht="15.75" customHeight="1" x14ac:dyDescent="0.25">
      <c r="A458" s="5"/>
      <c r="B458" s="5"/>
      <c r="C458" s="18"/>
      <c r="D458" s="18"/>
      <c r="E458" s="18"/>
      <c r="F458" s="18"/>
      <c r="G458" s="18"/>
      <c r="H458" s="18"/>
    </row>
    <row r="459" spans="1:8" ht="15.75" customHeight="1" x14ac:dyDescent="0.25">
      <c r="A459" s="5"/>
      <c r="B459" s="5"/>
      <c r="C459" s="18"/>
      <c r="D459" s="18"/>
      <c r="E459" s="18"/>
      <c r="F459" s="18"/>
      <c r="G459" s="18"/>
      <c r="H459" s="18"/>
    </row>
    <row r="460" spans="1:8" ht="15.75" customHeight="1" x14ac:dyDescent="0.25">
      <c r="A460" s="5"/>
      <c r="B460" s="5"/>
      <c r="C460" s="18"/>
      <c r="D460" s="18"/>
      <c r="E460" s="18"/>
      <c r="F460" s="18"/>
      <c r="G460" s="18"/>
      <c r="H460" s="18"/>
    </row>
    <row r="461" spans="1:8" ht="15.75" customHeight="1" x14ac:dyDescent="0.25">
      <c r="A461" s="5"/>
      <c r="B461" s="5"/>
      <c r="C461" s="18"/>
      <c r="D461" s="18"/>
      <c r="E461" s="18"/>
      <c r="F461" s="18"/>
      <c r="G461" s="18"/>
      <c r="H461" s="18"/>
    </row>
    <row r="462" spans="1:8" ht="15.75" customHeight="1" x14ac:dyDescent="0.25">
      <c r="A462" s="5"/>
      <c r="B462" s="5"/>
      <c r="C462" s="18"/>
      <c r="D462" s="18"/>
      <c r="E462" s="18"/>
      <c r="F462" s="18"/>
      <c r="G462" s="18"/>
      <c r="H462" s="18"/>
    </row>
    <row r="463" spans="1:8" ht="15.75" customHeight="1" x14ac:dyDescent="0.25">
      <c r="A463" s="5"/>
      <c r="B463" s="5"/>
      <c r="C463" s="18"/>
      <c r="D463" s="18"/>
      <c r="E463" s="18"/>
      <c r="F463" s="18"/>
      <c r="G463" s="18"/>
      <c r="H463" s="18"/>
    </row>
    <row r="464" spans="1:8" ht="15.75" customHeight="1" x14ac:dyDescent="0.25">
      <c r="A464" s="5"/>
      <c r="B464" s="5"/>
      <c r="C464" s="18"/>
      <c r="D464" s="18"/>
      <c r="E464" s="18"/>
      <c r="F464" s="18"/>
      <c r="G464" s="18"/>
      <c r="H464" s="18"/>
    </row>
    <row r="465" spans="1:8" ht="15.75" customHeight="1" x14ac:dyDescent="0.25">
      <c r="A465" s="5"/>
      <c r="B465" s="5"/>
      <c r="C465" s="18"/>
      <c r="D465" s="18"/>
      <c r="E465" s="18"/>
      <c r="F465" s="18"/>
      <c r="G465" s="18"/>
      <c r="H465" s="18"/>
    </row>
    <row r="466" spans="1:8" ht="15.75" customHeight="1" x14ac:dyDescent="0.25">
      <c r="A466" s="5"/>
      <c r="B466" s="5"/>
      <c r="C466" s="18"/>
      <c r="D466" s="18"/>
      <c r="E466" s="18"/>
      <c r="F466" s="18"/>
      <c r="G466" s="18"/>
      <c r="H466" s="18"/>
    </row>
    <row r="467" spans="1:8" ht="15.75" customHeight="1" x14ac:dyDescent="0.25">
      <c r="A467" s="5"/>
      <c r="B467" s="5"/>
      <c r="C467" s="18"/>
      <c r="D467" s="18"/>
      <c r="E467" s="18"/>
      <c r="F467" s="18"/>
      <c r="G467" s="18"/>
      <c r="H467" s="18"/>
    </row>
    <row r="468" spans="1:8" ht="15.75" customHeight="1" x14ac:dyDescent="0.25">
      <c r="A468" s="5"/>
      <c r="B468" s="5"/>
      <c r="C468" s="18"/>
      <c r="D468" s="18"/>
      <c r="E468" s="18"/>
      <c r="F468" s="18"/>
      <c r="G468" s="18"/>
      <c r="H468" s="18"/>
    </row>
    <row r="469" spans="1:8" ht="15.75" customHeight="1" x14ac:dyDescent="0.25">
      <c r="A469" s="5"/>
      <c r="B469" s="5"/>
      <c r="C469" s="18"/>
      <c r="D469" s="18"/>
      <c r="E469" s="18"/>
      <c r="F469" s="18"/>
      <c r="G469" s="18"/>
      <c r="H469" s="18"/>
    </row>
    <row r="470" spans="1:8" ht="15.75" customHeight="1" x14ac:dyDescent="0.25">
      <c r="A470" s="5"/>
      <c r="B470" s="5"/>
      <c r="C470" s="18"/>
      <c r="D470" s="18"/>
      <c r="E470" s="18"/>
      <c r="F470" s="18"/>
      <c r="G470" s="18"/>
      <c r="H470" s="18"/>
    </row>
    <row r="471" spans="1:8" ht="15.75" customHeight="1" x14ac:dyDescent="0.25">
      <c r="A471" s="5"/>
      <c r="B471" s="5"/>
      <c r="C471" s="18"/>
      <c r="D471" s="18"/>
      <c r="E471" s="18"/>
      <c r="F471" s="18"/>
      <c r="G471" s="18"/>
      <c r="H471" s="18"/>
    </row>
    <row r="472" spans="1:8" ht="15.75" customHeight="1" x14ac:dyDescent="0.25">
      <c r="A472" s="5"/>
      <c r="B472" s="5"/>
      <c r="C472" s="18"/>
      <c r="D472" s="18"/>
      <c r="E472" s="18"/>
      <c r="F472" s="18"/>
      <c r="G472" s="18"/>
      <c r="H472" s="18"/>
    </row>
    <row r="473" spans="1:8" ht="15.75" customHeight="1" x14ac:dyDescent="0.25">
      <c r="A473" s="5"/>
      <c r="B473" s="5"/>
      <c r="C473" s="18"/>
      <c r="D473" s="18"/>
      <c r="E473" s="18"/>
      <c r="F473" s="18"/>
      <c r="G473" s="18"/>
      <c r="H473" s="18"/>
    </row>
    <row r="474" spans="1:8" ht="15.75" customHeight="1" x14ac:dyDescent="0.25">
      <c r="A474" s="5"/>
      <c r="B474" s="5"/>
      <c r="C474" s="18"/>
      <c r="D474" s="18"/>
      <c r="E474" s="18"/>
      <c r="F474" s="18"/>
      <c r="G474" s="18"/>
      <c r="H474" s="18"/>
    </row>
    <row r="475" spans="1:8" ht="15.75" customHeight="1" x14ac:dyDescent="0.25">
      <c r="A475" s="5"/>
      <c r="B475" s="5"/>
      <c r="C475" s="18"/>
      <c r="D475" s="18"/>
      <c r="E475" s="18"/>
      <c r="F475" s="18"/>
      <c r="G475" s="18"/>
      <c r="H475" s="18"/>
    </row>
    <row r="476" spans="1:8" ht="15.75" customHeight="1" x14ac:dyDescent="0.25">
      <c r="A476" s="5"/>
      <c r="B476" s="5"/>
      <c r="C476" s="18"/>
      <c r="D476" s="18"/>
      <c r="E476" s="18"/>
      <c r="F476" s="18"/>
      <c r="G476" s="18"/>
      <c r="H476" s="18"/>
    </row>
    <row r="477" spans="1:8" ht="15.75" customHeight="1" x14ac:dyDescent="0.25">
      <c r="A477" s="5"/>
      <c r="B477" s="5"/>
      <c r="C477" s="18"/>
      <c r="D477" s="18"/>
      <c r="E477" s="18"/>
      <c r="F477" s="18"/>
      <c r="G477" s="18"/>
      <c r="H477" s="18"/>
    </row>
    <row r="478" spans="1:8" ht="15.75" customHeight="1" x14ac:dyDescent="0.25">
      <c r="A478" s="5"/>
      <c r="B478" s="5"/>
      <c r="C478" s="18"/>
      <c r="D478" s="18"/>
      <c r="E478" s="18"/>
      <c r="F478" s="18"/>
      <c r="G478" s="18"/>
      <c r="H478" s="18"/>
    </row>
    <row r="479" spans="1:8" ht="15.75" customHeight="1" x14ac:dyDescent="0.25">
      <c r="A479" s="5"/>
      <c r="B479" s="5"/>
      <c r="C479" s="18"/>
      <c r="D479" s="18"/>
      <c r="E479" s="18"/>
      <c r="F479" s="18"/>
      <c r="G479" s="18"/>
      <c r="H479" s="18"/>
    </row>
    <row r="480" spans="1:8" ht="15.75" customHeight="1" x14ac:dyDescent="0.25">
      <c r="A480" s="5"/>
      <c r="B480" s="5"/>
      <c r="C480" s="18"/>
      <c r="D480" s="18"/>
      <c r="E480" s="18"/>
      <c r="F480" s="18"/>
      <c r="G480" s="18"/>
      <c r="H480" s="18"/>
    </row>
    <row r="481" spans="1:8" ht="15.75" customHeight="1" x14ac:dyDescent="0.25">
      <c r="A481" s="5"/>
      <c r="B481" s="5"/>
      <c r="C481" s="18"/>
      <c r="D481" s="18"/>
      <c r="E481" s="18"/>
      <c r="F481" s="18"/>
      <c r="G481" s="18"/>
      <c r="H481" s="18"/>
    </row>
    <row r="482" spans="1:8" ht="15.75" customHeight="1" x14ac:dyDescent="0.25">
      <c r="A482" s="5"/>
      <c r="B482" s="5"/>
      <c r="C482" s="18"/>
      <c r="D482" s="18"/>
      <c r="E482" s="18"/>
      <c r="F482" s="18"/>
      <c r="G482" s="18"/>
      <c r="H482" s="18"/>
    </row>
    <row r="483" spans="1:8" ht="15.75" customHeight="1" x14ac:dyDescent="0.25">
      <c r="A483" s="5"/>
      <c r="B483" s="5"/>
      <c r="C483" s="18"/>
      <c r="D483" s="18"/>
      <c r="E483" s="18"/>
      <c r="F483" s="18"/>
      <c r="G483" s="18"/>
      <c r="H483" s="18"/>
    </row>
    <row r="484" spans="1:8" ht="15.75" customHeight="1" x14ac:dyDescent="0.25">
      <c r="A484" s="5"/>
      <c r="B484" s="5"/>
      <c r="C484" s="18"/>
      <c r="D484" s="18"/>
      <c r="E484" s="18"/>
      <c r="F484" s="18"/>
      <c r="G484" s="18"/>
      <c r="H484" s="18"/>
    </row>
    <row r="485" spans="1:8" ht="15.75" customHeight="1" x14ac:dyDescent="0.25">
      <c r="A485" s="5"/>
      <c r="B485" s="5"/>
      <c r="C485" s="18"/>
      <c r="D485" s="18"/>
      <c r="E485" s="18"/>
      <c r="F485" s="18"/>
      <c r="G485" s="18"/>
      <c r="H485" s="18"/>
    </row>
    <row r="486" spans="1:8" ht="15.75" customHeight="1" x14ac:dyDescent="0.25">
      <c r="A486" s="5"/>
      <c r="B486" s="5"/>
      <c r="C486" s="18"/>
      <c r="D486" s="18"/>
      <c r="E486" s="18"/>
      <c r="F486" s="18"/>
      <c r="G486" s="18"/>
      <c r="H486" s="18"/>
    </row>
    <row r="487" spans="1:8" ht="15.75" customHeight="1" x14ac:dyDescent="0.25">
      <c r="A487" s="5"/>
      <c r="B487" s="5"/>
      <c r="C487" s="18"/>
      <c r="D487" s="18"/>
      <c r="E487" s="18"/>
      <c r="F487" s="18"/>
      <c r="G487" s="18"/>
      <c r="H487" s="18"/>
    </row>
    <row r="488" spans="1:8" ht="15.75" customHeight="1" x14ac:dyDescent="0.25">
      <c r="A488" s="5"/>
      <c r="B488" s="5"/>
      <c r="C488" s="18"/>
      <c r="D488" s="18"/>
      <c r="E488" s="18"/>
      <c r="F488" s="18"/>
      <c r="G488" s="18"/>
      <c r="H488" s="18"/>
    </row>
    <row r="489" spans="1:8" ht="15.75" customHeight="1" x14ac:dyDescent="0.25">
      <c r="A489" s="5"/>
      <c r="B489" s="5"/>
      <c r="C489" s="18"/>
      <c r="D489" s="18"/>
      <c r="E489" s="18"/>
      <c r="F489" s="18"/>
      <c r="G489" s="18"/>
      <c r="H489" s="18"/>
    </row>
    <row r="490" spans="1:8" ht="15.75" customHeight="1" x14ac:dyDescent="0.25">
      <c r="A490" s="5"/>
      <c r="B490" s="5"/>
      <c r="C490" s="18"/>
      <c r="D490" s="18"/>
      <c r="E490" s="18"/>
      <c r="F490" s="18"/>
      <c r="G490" s="18"/>
      <c r="H490" s="18"/>
    </row>
    <row r="491" spans="1:8" ht="15.75" customHeight="1" x14ac:dyDescent="0.25">
      <c r="A491" s="5"/>
      <c r="B491" s="5"/>
      <c r="C491" s="18"/>
      <c r="D491" s="18"/>
      <c r="E491" s="18"/>
      <c r="F491" s="18"/>
      <c r="G491" s="18"/>
      <c r="H491" s="18"/>
    </row>
    <row r="492" spans="1:8" ht="15.75" customHeight="1" x14ac:dyDescent="0.25">
      <c r="A492" s="5"/>
      <c r="B492" s="5"/>
      <c r="C492" s="18"/>
      <c r="D492" s="18"/>
      <c r="E492" s="18"/>
      <c r="F492" s="18"/>
      <c r="G492" s="18"/>
      <c r="H492" s="18"/>
    </row>
    <row r="493" spans="1:8" ht="15.75" customHeight="1" x14ac:dyDescent="0.25">
      <c r="A493" s="5"/>
      <c r="B493" s="5"/>
      <c r="C493" s="18"/>
      <c r="D493" s="18"/>
      <c r="E493" s="18"/>
      <c r="F493" s="18"/>
      <c r="G493" s="18"/>
      <c r="H493" s="18"/>
    </row>
    <row r="494" spans="1:8" ht="15.75" customHeight="1" x14ac:dyDescent="0.25">
      <c r="A494" s="5"/>
      <c r="B494" s="5"/>
      <c r="C494" s="18"/>
      <c r="D494" s="18"/>
      <c r="E494" s="18"/>
      <c r="F494" s="18"/>
      <c r="G494" s="18"/>
      <c r="H494" s="18"/>
    </row>
    <row r="495" spans="1:8" ht="15.75" customHeight="1" x14ac:dyDescent="0.25">
      <c r="A495" s="5"/>
      <c r="B495" s="5"/>
      <c r="C495" s="18"/>
      <c r="D495" s="18"/>
      <c r="E495" s="18"/>
      <c r="F495" s="18"/>
      <c r="G495" s="18"/>
      <c r="H495" s="18"/>
    </row>
    <row r="496" spans="1:8" ht="15.75" customHeight="1" x14ac:dyDescent="0.25">
      <c r="A496" s="5"/>
      <c r="B496" s="5"/>
      <c r="C496" s="18"/>
      <c r="D496" s="18"/>
      <c r="E496" s="18"/>
      <c r="F496" s="18"/>
      <c r="G496" s="18"/>
      <c r="H496" s="18"/>
    </row>
    <row r="497" spans="1:8" ht="15.75" customHeight="1" x14ac:dyDescent="0.25">
      <c r="A497" s="5"/>
      <c r="B497" s="5"/>
      <c r="C497" s="18"/>
      <c r="D497" s="18"/>
      <c r="E497" s="18"/>
      <c r="F497" s="18"/>
      <c r="G497" s="18"/>
      <c r="H497" s="18"/>
    </row>
    <row r="498" spans="1:8" ht="15.75" customHeight="1" x14ac:dyDescent="0.25">
      <c r="A498" s="5"/>
      <c r="B498" s="5"/>
      <c r="C498" s="18"/>
      <c r="D498" s="18"/>
      <c r="E498" s="18"/>
      <c r="F498" s="18"/>
      <c r="G498" s="18"/>
      <c r="H498" s="18"/>
    </row>
    <row r="499" spans="1:8" ht="15.75" customHeight="1" x14ac:dyDescent="0.25">
      <c r="A499" s="5"/>
      <c r="B499" s="5"/>
      <c r="C499" s="18"/>
      <c r="D499" s="18"/>
      <c r="E499" s="18"/>
      <c r="F499" s="18"/>
      <c r="G499" s="18"/>
      <c r="H499" s="18"/>
    </row>
    <row r="500" spans="1:8" ht="15.75" customHeight="1" x14ac:dyDescent="0.25">
      <c r="A500" s="5"/>
      <c r="B500" s="5"/>
      <c r="C500" s="18"/>
      <c r="D500" s="18"/>
      <c r="E500" s="18"/>
      <c r="F500" s="18"/>
      <c r="G500" s="18"/>
      <c r="H500" s="18"/>
    </row>
    <row r="501" spans="1:8" ht="15.75" customHeight="1" x14ac:dyDescent="0.25">
      <c r="A501" s="5"/>
      <c r="B501" s="5"/>
      <c r="C501" s="18"/>
      <c r="D501" s="18"/>
      <c r="E501" s="18"/>
      <c r="F501" s="18"/>
      <c r="G501" s="18"/>
      <c r="H501" s="18"/>
    </row>
    <row r="502" spans="1:8" ht="15.75" customHeight="1" x14ac:dyDescent="0.25">
      <c r="A502" s="5"/>
      <c r="B502" s="5"/>
      <c r="C502" s="18"/>
      <c r="D502" s="18"/>
      <c r="E502" s="18"/>
      <c r="F502" s="18"/>
      <c r="G502" s="18"/>
      <c r="H502" s="18"/>
    </row>
    <row r="503" spans="1:8" ht="15.75" customHeight="1" x14ac:dyDescent="0.25">
      <c r="A503" s="5"/>
      <c r="B503" s="5"/>
      <c r="C503" s="18"/>
      <c r="D503" s="18"/>
      <c r="E503" s="18"/>
      <c r="F503" s="18"/>
      <c r="G503" s="18"/>
      <c r="H503" s="18"/>
    </row>
    <row r="504" spans="1:8" ht="15.75" customHeight="1" x14ac:dyDescent="0.25">
      <c r="A504" s="5"/>
      <c r="B504" s="5"/>
      <c r="C504" s="18"/>
      <c r="D504" s="18"/>
      <c r="E504" s="18"/>
      <c r="F504" s="18"/>
      <c r="G504" s="18"/>
      <c r="H504" s="18"/>
    </row>
    <row r="505" spans="1:8" ht="15.75" customHeight="1" x14ac:dyDescent="0.25">
      <c r="A505" s="5"/>
      <c r="B505" s="5"/>
      <c r="C505" s="18"/>
      <c r="D505" s="18"/>
      <c r="E505" s="18"/>
      <c r="F505" s="18"/>
      <c r="G505" s="18"/>
      <c r="H505" s="18"/>
    </row>
    <row r="506" spans="1:8" ht="15.75" customHeight="1" x14ac:dyDescent="0.25">
      <c r="A506" s="5"/>
      <c r="B506" s="5"/>
      <c r="C506" s="18"/>
      <c r="D506" s="18"/>
      <c r="E506" s="18"/>
      <c r="F506" s="18"/>
      <c r="G506" s="18"/>
      <c r="H506" s="18"/>
    </row>
    <row r="507" spans="1:8" ht="15.75" customHeight="1" x14ac:dyDescent="0.25">
      <c r="A507" s="5"/>
      <c r="B507" s="5"/>
      <c r="C507" s="18"/>
      <c r="D507" s="18"/>
      <c r="E507" s="18"/>
      <c r="F507" s="18"/>
      <c r="G507" s="18"/>
      <c r="H507" s="18"/>
    </row>
    <row r="508" spans="1:8" ht="15.75" customHeight="1" x14ac:dyDescent="0.25">
      <c r="A508" s="5"/>
      <c r="B508" s="5"/>
      <c r="C508" s="18"/>
      <c r="D508" s="18"/>
      <c r="E508" s="18"/>
      <c r="F508" s="18"/>
      <c r="G508" s="18"/>
      <c r="H508" s="18"/>
    </row>
    <row r="509" spans="1:8" ht="15.75" customHeight="1" x14ac:dyDescent="0.25">
      <c r="A509" s="5"/>
      <c r="B509" s="5"/>
      <c r="C509" s="18"/>
      <c r="D509" s="18"/>
      <c r="E509" s="18"/>
      <c r="F509" s="18"/>
      <c r="G509" s="18"/>
      <c r="H509" s="18"/>
    </row>
    <row r="510" spans="1:8" ht="15.75" customHeight="1" x14ac:dyDescent="0.25">
      <c r="A510" s="5"/>
      <c r="B510" s="5"/>
      <c r="C510" s="18"/>
      <c r="D510" s="18"/>
      <c r="E510" s="18"/>
      <c r="F510" s="18"/>
      <c r="G510" s="18"/>
      <c r="H510" s="18"/>
    </row>
    <row r="511" spans="1:8" ht="15.75" customHeight="1" x14ac:dyDescent="0.25">
      <c r="A511" s="5"/>
      <c r="B511" s="5"/>
      <c r="C511" s="18"/>
      <c r="D511" s="18"/>
      <c r="E511" s="18"/>
      <c r="F511" s="18"/>
      <c r="G511" s="18"/>
      <c r="H511" s="18"/>
    </row>
    <row r="512" spans="1:8" ht="15.75" customHeight="1" x14ac:dyDescent="0.25">
      <c r="A512" s="5"/>
      <c r="B512" s="5"/>
      <c r="C512" s="18"/>
      <c r="D512" s="18"/>
      <c r="E512" s="18"/>
      <c r="F512" s="18"/>
      <c r="G512" s="18"/>
      <c r="H512" s="18"/>
    </row>
    <row r="513" spans="1:8" ht="15.75" customHeight="1" x14ac:dyDescent="0.25">
      <c r="A513" s="5"/>
      <c r="B513" s="5"/>
      <c r="C513" s="18"/>
      <c r="D513" s="18"/>
      <c r="E513" s="18"/>
      <c r="F513" s="18"/>
      <c r="G513" s="18"/>
      <c r="H513" s="18"/>
    </row>
    <row r="514" spans="1:8" ht="15.75" customHeight="1" x14ac:dyDescent="0.25">
      <c r="A514" s="5"/>
      <c r="B514" s="5"/>
      <c r="C514" s="18"/>
      <c r="D514" s="18"/>
      <c r="E514" s="18"/>
      <c r="F514" s="18"/>
      <c r="G514" s="18"/>
      <c r="H514" s="18"/>
    </row>
    <row r="515" spans="1:8" ht="15.75" customHeight="1" x14ac:dyDescent="0.25">
      <c r="A515" s="5"/>
      <c r="B515" s="5"/>
      <c r="C515" s="18"/>
      <c r="D515" s="18"/>
      <c r="E515" s="18"/>
      <c r="F515" s="18"/>
      <c r="G515" s="18"/>
      <c r="H515" s="18"/>
    </row>
    <row r="516" spans="1:8" ht="15.75" customHeight="1" x14ac:dyDescent="0.25">
      <c r="A516" s="5"/>
      <c r="B516" s="5"/>
      <c r="C516" s="18"/>
      <c r="D516" s="18"/>
      <c r="E516" s="18"/>
      <c r="F516" s="18"/>
      <c r="G516" s="18"/>
      <c r="H516" s="18"/>
    </row>
    <row r="517" spans="1:8" ht="15.75" customHeight="1" x14ac:dyDescent="0.25">
      <c r="A517" s="5"/>
      <c r="B517" s="5"/>
      <c r="C517" s="18"/>
      <c r="D517" s="18"/>
      <c r="E517" s="18"/>
      <c r="F517" s="18"/>
      <c r="G517" s="18"/>
      <c r="H517" s="18"/>
    </row>
    <row r="518" spans="1:8" ht="15.75" customHeight="1" x14ac:dyDescent="0.25">
      <c r="A518" s="5"/>
      <c r="B518" s="5"/>
      <c r="C518" s="18"/>
      <c r="D518" s="18"/>
      <c r="E518" s="18"/>
      <c r="F518" s="18"/>
      <c r="G518" s="18"/>
      <c r="H518" s="18"/>
    </row>
    <row r="519" spans="1:8" ht="15.75" customHeight="1" x14ac:dyDescent="0.25">
      <c r="A519" s="5"/>
      <c r="B519" s="5"/>
      <c r="C519" s="18"/>
      <c r="D519" s="18"/>
      <c r="E519" s="18"/>
      <c r="F519" s="18"/>
      <c r="G519" s="18"/>
      <c r="H519" s="18"/>
    </row>
    <row r="520" spans="1:8" ht="15.75" customHeight="1" x14ac:dyDescent="0.25">
      <c r="A520" s="5"/>
      <c r="B520" s="5"/>
      <c r="C520" s="18"/>
      <c r="D520" s="18"/>
      <c r="E520" s="18"/>
      <c r="F520" s="18"/>
      <c r="G520" s="18"/>
      <c r="H520" s="18"/>
    </row>
    <row r="521" spans="1:8" ht="15.75" customHeight="1" x14ac:dyDescent="0.25">
      <c r="A521" s="5"/>
      <c r="B521" s="5"/>
      <c r="C521" s="18"/>
      <c r="D521" s="18"/>
      <c r="E521" s="18"/>
      <c r="F521" s="18"/>
      <c r="G521" s="18"/>
      <c r="H521" s="18"/>
    </row>
    <row r="522" spans="1:8" ht="15.75" customHeight="1" x14ac:dyDescent="0.25">
      <c r="A522" s="5"/>
      <c r="B522" s="5"/>
      <c r="C522" s="18"/>
      <c r="D522" s="18"/>
      <c r="E522" s="18"/>
      <c r="F522" s="18"/>
      <c r="G522" s="18"/>
      <c r="H522" s="18"/>
    </row>
    <row r="523" spans="1:8" ht="15.75" customHeight="1" x14ac:dyDescent="0.25">
      <c r="A523" s="5"/>
      <c r="B523" s="5"/>
      <c r="C523" s="18"/>
      <c r="D523" s="18"/>
      <c r="E523" s="18"/>
      <c r="F523" s="18"/>
      <c r="G523" s="18"/>
      <c r="H523" s="18"/>
    </row>
    <row r="524" spans="1:8" ht="15.75" customHeight="1" x14ac:dyDescent="0.25">
      <c r="A524" s="5"/>
      <c r="B524" s="5"/>
      <c r="C524" s="18"/>
      <c r="D524" s="18"/>
      <c r="E524" s="18"/>
      <c r="F524" s="18"/>
      <c r="G524" s="18"/>
      <c r="H524" s="18"/>
    </row>
    <row r="525" spans="1:8" ht="15.75" customHeight="1" x14ac:dyDescent="0.25">
      <c r="A525" s="5"/>
      <c r="B525" s="5"/>
      <c r="C525" s="18"/>
      <c r="D525" s="18"/>
      <c r="E525" s="18"/>
      <c r="F525" s="18"/>
      <c r="G525" s="18"/>
      <c r="H525" s="18"/>
    </row>
    <row r="526" spans="1:8" ht="15.75" customHeight="1" x14ac:dyDescent="0.25">
      <c r="A526" s="5"/>
      <c r="B526" s="5"/>
      <c r="C526" s="18"/>
      <c r="D526" s="18"/>
      <c r="E526" s="18"/>
      <c r="F526" s="18"/>
      <c r="G526" s="18"/>
      <c r="H526" s="18"/>
    </row>
    <row r="527" spans="1:8" ht="15.75" customHeight="1" x14ac:dyDescent="0.25">
      <c r="A527" s="5"/>
      <c r="B527" s="5"/>
      <c r="C527" s="18"/>
      <c r="D527" s="18"/>
      <c r="E527" s="18"/>
      <c r="F527" s="18"/>
      <c r="G527" s="18"/>
      <c r="H527" s="18"/>
    </row>
    <row r="528" spans="1:8" ht="15.75" customHeight="1" x14ac:dyDescent="0.25">
      <c r="A528" s="5"/>
      <c r="B528" s="5"/>
      <c r="C528" s="18"/>
      <c r="D528" s="18"/>
      <c r="E528" s="18"/>
      <c r="F528" s="18"/>
      <c r="G528" s="18"/>
      <c r="H528" s="18"/>
    </row>
    <row r="529" spans="1:8" ht="15.75" customHeight="1" x14ac:dyDescent="0.25">
      <c r="A529" s="5"/>
      <c r="B529" s="5"/>
      <c r="C529" s="18"/>
      <c r="D529" s="18"/>
      <c r="E529" s="18"/>
      <c r="F529" s="18"/>
      <c r="G529" s="18"/>
      <c r="H529" s="18"/>
    </row>
    <row r="530" spans="1:8" ht="15.75" customHeight="1" x14ac:dyDescent="0.25">
      <c r="A530" s="5"/>
      <c r="B530" s="5"/>
      <c r="C530" s="18"/>
      <c r="D530" s="18"/>
      <c r="E530" s="18"/>
      <c r="F530" s="18"/>
      <c r="G530" s="18"/>
      <c r="H530" s="18"/>
    </row>
    <row r="531" spans="1:8" ht="15.75" customHeight="1" x14ac:dyDescent="0.25">
      <c r="A531" s="5"/>
      <c r="B531" s="5"/>
      <c r="C531" s="18"/>
      <c r="D531" s="18"/>
      <c r="E531" s="18"/>
      <c r="F531" s="18"/>
      <c r="G531" s="18"/>
      <c r="H531" s="18"/>
    </row>
    <row r="532" spans="1:8" ht="15.75" customHeight="1" x14ac:dyDescent="0.25">
      <c r="A532" s="5"/>
      <c r="B532" s="5"/>
      <c r="C532" s="18"/>
      <c r="D532" s="18"/>
      <c r="E532" s="18"/>
      <c r="F532" s="18"/>
      <c r="G532" s="18"/>
      <c r="H532" s="18"/>
    </row>
    <row r="533" spans="1:8" ht="15.75" customHeight="1" x14ac:dyDescent="0.25">
      <c r="A533" s="5"/>
      <c r="B533" s="5"/>
      <c r="C533" s="18"/>
      <c r="D533" s="18"/>
      <c r="E533" s="18"/>
      <c r="F533" s="18"/>
      <c r="G533" s="18"/>
      <c r="H533" s="18"/>
    </row>
    <row r="534" spans="1:8" ht="15.75" customHeight="1" x14ac:dyDescent="0.25">
      <c r="A534" s="5"/>
      <c r="B534" s="5"/>
      <c r="C534" s="18"/>
      <c r="D534" s="18"/>
      <c r="E534" s="18"/>
      <c r="F534" s="18"/>
      <c r="G534" s="18"/>
      <c r="H534" s="18"/>
    </row>
    <row r="535" spans="1:8" ht="15.75" customHeight="1" x14ac:dyDescent="0.25">
      <c r="A535" s="5"/>
      <c r="B535" s="5"/>
      <c r="C535" s="18"/>
      <c r="D535" s="18"/>
      <c r="E535" s="18"/>
      <c r="F535" s="18"/>
      <c r="G535" s="18"/>
      <c r="H535" s="18"/>
    </row>
    <row r="536" spans="1:8" ht="15.75" customHeight="1" x14ac:dyDescent="0.25">
      <c r="A536" s="5"/>
      <c r="B536" s="5"/>
      <c r="C536" s="18"/>
      <c r="D536" s="18"/>
      <c r="E536" s="18"/>
      <c r="F536" s="18"/>
      <c r="G536" s="18"/>
      <c r="H536" s="18"/>
    </row>
    <row r="537" spans="1:8" ht="15.75" customHeight="1" x14ac:dyDescent="0.25">
      <c r="A537" s="5"/>
      <c r="B537" s="5"/>
      <c r="C537" s="18"/>
      <c r="D537" s="18"/>
      <c r="E537" s="18"/>
      <c r="F537" s="18"/>
      <c r="G537" s="18"/>
      <c r="H537" s="18"/>
    </row>
    <row r="538" spans="1:8" ht="15.75" customHeight="1" x14ac:dyDescent="0.25">
      <c r="A538" s="5"/>
      <c r="B538" s="5"/>
      <c r="C538" s="18"/>
      <c r="D538" s="18"/>
      <c r="E538" s="18"/>
      <c r="F538" s="18"/>
      <c r="G538" s="18"/>
      <c r="H538" s="18"/>
    </row>
    <row r="539" spans="1:8" ht="15.75" customHeight="1" x14ac:dyDescent="0.25">
      <c r="A539" s="5"/>
      <c r="B539" s="5"/>
      <c r="C539" s="18"/>
      <c r="D539" s="18"/>
      <c r="E539" s="18"/>
      <c r="F539" s="18"/>
      <c r="G539" s="18"/>
      <c r="H539" s="18"/>
    </row>
    <row r="540" spans="1:8" ht="15.75" customHeight="1" x14ac:dyDescent="0.25">
      <c r="A540" s="5"/>
      <c r="B540" s="5"/>
      <c r="C540" s="18"/>
      <c r="D540" s="18"/>
      <c r="E540" s="18"/>
      <c r="F540" s="18"/>
      <c r="G540" s="18"/>
      <c r="H540" s="18"/>
    </row>
    <row r="541" spans="1:8" ht="15.75" customHeight="1" x14ac:dyDescent="0.25">
      <c r="A541" s="5"/>
      <c r="B541" s="5"/>
      <c r="C541" s="18"/>
      <c r="D541" s="18"/>
      <c r="E541" s="18"/>
      <c r="F541" s="18"/>
      <c r="G541" s="18"/>
      <c r="H541" s="18"/>
    </row>
    <row r="542" spans="1:8" ht="15.75" customHeight="1" x14ac:dyDescent="0.25">
      <c r="A542" s="5"/>
      <c r="B542" s="5"/>
      <c r="C542" s="18"/>
      <c r="D542" s="18"/>
      <c r="E542" s="18"/>
      <c r="F542" s="18"/>
      <c r="G542" s="18"/>
      <c r="H542" s="18"/>
    </row>
    <row r="543" spans="1:8" ht="15.75" customHeight="1" x14ac:dyDescent="0.25">
      <c r="A543" s="5"/>
      <c r="B543" s="5"/>
      <c r="C543" s="18"/>
      <c r="D543" s="18"/>
      <c r="E543" s="18"/>
      <c r="F543" s="18"/>
      <c r="G543" s="18"/>
      <c r="H543" s="18"/>
    </row>
    <row r="544" spans="1:8" ht="15.75" customHeight="1" x14ac:dyDescent="0.25">
      <c r="A544" s="5"/>
      <c r="B544" s="5"/>
      <c r="C544" s="18"/>
      <c r="D544" s="18"/>
      <c r="E544" s="18"/>
      <c r="F544" s="18"/>
      <c r="G544" s="18"/>
      <c r="H544" s="18"/>
    </row>
    <row r="545" spans="1:8" ht="15.75" customHeight="1" x14ac:dyDescent="0.25">
      <c r="A545" s="5"/>
      <c r="B545" s="5"/>
      <c r="C545" s="18"/>
      <c r="D545" s="18"/>
      <c r="E545" s="18"/>
      <c r="F545" s="18"/>
      <c r="G545" s="18"/>
      <c r="H545" s="18"/>
    </row>
    <row r="546" spans="1:8" ht="15.75" customHeight="1" x14ac:dyDescent="0.25">
      <c r="A546" s="5"/>
      <c r="B546" s="5"/>
      <c r="C546" s="18"/>
      <c r="D546" s="18"/>
      <c r="E546" s="18"/>
      <c r="F546" s="18"/>
      <c r="G546" s="18"/>
      <c r="H546" s="18"/>
    </row>
    <row r="547" spans="1:8" ht="15.75" customHeight="1" x14ac:dyDescent="0.25">
      <c r="A547" s="5"/>
      <c r="B547" s="5"/>
      <c r="C547" s="18"/>
      <c r="D547" s="18"/>
      <c r="E547" s="18"/>
      <c r="F547" s="18"/>
      <c r="G547" s="18"/>
      <c r="H547" s="18"/>
    </row>
    <row r="548" spans="1:8" ht="15.75" customHeight="1" x14ac:dyDescent="0.25">
      <c r="A548" s="5"/>
      <c r="B548" s="5"/>
      <c r="C548" s="18"/>
      <c r="D548" s="18"/>
      <c r="E548" s="18"/>
      <c r="F548" s="18"/>
      <c r="G548" s="18"/>
      <c r="H548" s="18"/>
    </row>
    <row r="549" spans="1:8" ht="15.75" customHeight="1" x14ac:dyDescent="0.25">
      <c r="A549" s="5"/>
      <c r="B549" s="5"/>
      <c r="C549" s="18"/>
      <c r="D549" s="18"/>
      <c r="E549" s="18"/>
      <c r="F549" s="18"/>
      <c r="G549" s="18"/>
      <c r="H549" s="18"/>
    </row>
    <row r="550" spans="1:8" ht="15.75" customHeight="1" x14ac:dyDescent="0.25">
      <c r="A550" s="5"/>
      <c r="B550" s="5"/>
      <c r="C550" s="18"/>
      <c r="D550" s="18"/>
      <c r="E550" s="18"/>
      <c r="F550" s="18"/>
      <c r="G550" s="18"/>
      <c r="H550" s="18"/>
    </row>
    <row r="551" spans="1:8" ht="15.75" customHeight="1" x14ac:dyDescent="0.25">
      <c r="A551" s="5"/>
      <c r="B551" s="5"/>
      <c r="C551" s="18"/>
      <c r="D551" s="18"/>
      <c r="E551" s="18"/>
      <c r="F551" s="18"/>
      <c r="G551" s="18"/>
      <c r="H551" s="18"/>
    </row>
    <row r="552" spans="1:8" ht="15.75" customHeight="1" x14ac:dyDescent="0.25">
      <c r="A552" s="5"/>
      <c r="B552" s="5"/>
      <c r="C552" s="18"/>
      <c r="D552" s="18"/>
      <c r="E552" s="18"/>
      <c r="F552" s="18"/>
      <c r="G552" s="18"/>
      <c r="H552" s="18"/>
    </row>
    <row r="553" spans="1:8" ht="15.75" customHeight="1" x14ac:dyDescent="0.25">
      <c r="A553" s="5"/>
      <c r="B553" s="5"/>
      <c r="C553" s="18"/>
      <c r="D553" s="18"/>
      <c r="E553" s="18"/>
      <c r="F553" s="18"/>
      <c r="G553" s="18"/>
      <c r="H553" s="18"/>
    </row>
    <row r="554" spans="1:8" ht="15.75" customHeight="1" x14ac:dyDescent="0.25">
      <c r="A554" s="5"/>
      <c r="B554" s="5"/>
      <c r="C554" s="18"/>
      <c r="D554" s="18"/>
      <c r="E554" s="18"/>
      <c r="F554" s="18"/>
      <c r="G554" s="18"/>
      <c r="H554" s="18"/>
    </row>
    <row r="555" spans="1:8" ht="15.75" customHeight="1" x14ac:dyDescent="0.25">
      <c r="A555" s="5"/>
      <c r="B555" s="5"/>
      <c r="C555" s="18"/>
      <c r="D555" s="18"/>
      <c r="E555" s="18"/>
      <c r="F555" s="18"/>
      <c r="G555" s="18"/>
      <c r="H555" s="18"/>
    </row>
    <row r="556" spans="1:8" ht="15.75" customHeight="1" x14ac:dyDescent="0.25">
      <c r="A556" s="5"/>
      <c r="B556" s="5"/>
      <c r="C556" s="18"/>
      <c r="D556" s="18"/>
      <c r="E556" s="18"/>
      <c r="F556" s="18"/>
      <c r="G556" s="18"/>
      <c r="H556" s="18"/>
    </row>
    <row r="557" spans="1:8" ht="15.75" customHeight="1" x14ac:dyDescent="0.25">
      <c r="A557" s="5"/>
      <c r="B557" s="5"/>
      <c r="C557" s="18"/>
      <c r="D557" s="18"/>
      <c r="E557" s="18"/>
      <c r="F557" s="18"/>
      <c r="G557" s="18"/>
      <c r="H557" s="18"/>
    </row>
    <row r="558" spans="1:8" ht="15.75" customHeight="1" x14ac:dyDescent="0.25">
      <c r="A558" s="5"/>
      <c r="B558" s="5"/>
      <c r="C558" s="18"/>
      <c r="D558" s="18"/>
      <c r="E558" s="18"/>
      <c r="F558" s="18"/>
      <c r="G558" s="18"/>
      <c r="H558" s="18"/>
    </row>
    <row r="559" spans="1:8" ht="15.75" customHeight="1" x14ac:dyDescent="0.25">
      <c r="A559" s="5"/>
      <c r="B559" s="5"/>
      <c r="C559" s="18"/>
      <c r="D559" s="18"/>
      <c r="E559" s="18"/>
      <c r="F559" s="18"/>
      <c r="G559" s="18"/>
      <c r="H559" s="18"/>
    </row>
    <row r="560" spans="1:8" ht="15.75" customHeight="1" x14ac:dyDescent="0.25">
      <c r="A560" s="5"/>
      <c r="B560" s="5"/>
      <c r="C560" s="18"/>
      <c r="D560" s="18"/>
      <c r="E560" s="18"/>
      <c r="F560" s="18"/>
      <c r="G560" s="18"/>
      <c r="H560" s="18"/>
    </row>
    <row r="561" spans="1:8" ht="15.75" customHeight="1" x14ac:dyDescent="0.25">
      <c r="A561" s="5"/>
      <c r="B561" s="5"/>
      <c r="C561" s="18"/>
      <c r="D561" s="18"/>
      <c r="E561" s="18"/>
      <c r="F561" s="18"/>
      <c r="G561" s="18"/>
      <c r="H561" s="18"/>
    </row>
    <row r="562" spans="1:8" ht="15.75" customHeight="1" x14ac:dyDescent="0.25">
      <c r="A562" s="5"/>
      <c r="B562" s="5"/>
      <c r="C562" s="18"/>
      <c r="D562" s="18"/>
      <c r="E562" s="18"/>
      <c r="F562" s="18"/>
      <c r="G562" s="18"/>
      <c r="H562" s="18"/>
    </row>
    <row r="563" spans="1:8" ht="15.75" customHeight="1" x14ac:dyDescent="0.25">
      <c r="A563" s="5"/>
      <c r="B563" s="5"/>
      <c r="C563" s="18"/>
      <c r="D563" s="18"/>
      <c r="E563" s="18"/>
      <c r="F563" s="18"/>
      <c r="G563" s="18"/>
      <c r="H563" s="18"/>
    </row>
    <row r="564" spans="1:8" ht="15.75" customHeight="1" x14ac:dyDescent="0.25">
      <c r="A564" s="5"/>
      <c r="B564" s="5"/>
      <c r="C564" s="18"/>
      <c r="D564" s="18"/>
      <c r="E564" s="18"/>
      <c r="F564" s="18"/>
      <c r="G564" s="18"/>
      <c r="H564" s="18"/>
    </row>
    <row r="565" spans="1:8" ht="15.75" customHeight="1" x14ac:dyDescent="0.25">
      <c r="A565" s="5"/>
      <c r="B565" s="5"/>
      <c r="C565" s="18"/>
      <c r="D565" s="18"/>
      <c r="E565" s="18"/>
      <c r="F565" s="18"/>
      <c r="G565" s="18"/>
      <c r="H565" s="18"/>
    </row>
    <row r="566" spans="1:8" ht="15.75" customHeight="1" x14ac:dyDescent="0.25">
      <c r="A566" s="5"/>
      <c r="B566" s="5"/>
      <c r="C566" s="18"/>
      <c r="D566" s="18"/>
      <c r="E566" s="18"/>
      <c r="F566" s="18"/>
      <c r="G566" s="18"/>
      <c r="H566" s="18"/>
    </row>
    <row r="567" spans="1:8" ht="15.75" customHeight="1" x14ac:dyDescent="0.25">
      <c r="A567" s="5"/>
      <c r="B567" s="5"/>
      <c r="C567" s="18"/>
      <c r="D567" s="18"/>
      <c r="E567" s="18"/>
      <c r="F567" s="18"/>
      <c r="G567" s="18"/>
      <c r="H567" s="18"/>
    </row>
    <row r="568" spans="1:8" ht="15.75" customHeight="1" x14ac:dyDescent="0.25">
      <c r="A568" s="5"/>
      <c r="B568" s="5"/>
      <c r="C568" s="18"/>
      <c r="D568" s="18"/>
      <c r="E568" s="18"/>
      <c r="F568" s="18"/>
      <c r="G568" s="18"/>
      <c r="H568" s="18"/>
    </row>
    <row r="569" spans="1:8" ht="15.75" customHeight="1" x14ac:dyDescent="0.25">
      <c r="A569" s="5"/>
      <c r="B569" s="5"/>
      <c r="C569" s="18"/>
      <c r="D569" s="18"/>
      <c r="E569" s="18"/>
      <c r="F569" s="18"/>
      <c r="G569" s="18"/>
      <c r="H569" s="18"/>
    </row>
    <row r="570" spans="1:8" ht="15.75" customHeight="1" x14ac:dyDescent="0.25">
      <c r="A570" s="5"/>
      <c r="B570" s="5"/>
      <c r="C570" s="18"/>
      <c r="D570" s="18"/>
      <c r="E570" s="18"/>
      <c r="F570" s="18"/>
      <c r="G570" s="18"/>
      <c r="H570" s="18"/>
    </row>
    <row r="571" spans="1:8" ht="15.75" customHeight="1" x14ac:dyDescent="0.25">
      <c r="A571" s="5"/>
      <c r="B571" s="5"/>
      <c r="C571" s="18"/>
      <c r="D571" s="18"/>
      <c r="E571" s="18"/>
      <c r="F571" s="18"/>
      <c r="G571" s="18"/>
      <c r="H571" s="18"/>
    </row>
    <row r="572" spans="1:8" ht="15.75" customHeight="1" x14ac:dyDescent="0.25">
      <c r="A572" s="5"/>
      <c r="B572" s="5"/>
      <c r="C572" s="18"/>
      <c r="D572" s="18"/>
      <c r="E572" s="18"/>
      <c r="F572" s="18"/>
      <c r="G572" s="18"/>
      <c r="H572" s="18"/>
    </row>
    <row r="573" spans="1:8" ht="15.75" customHeight="1" x14ac:dyDescent="0.25">
      <c r="A573" s="5"/>
      <c r="B573" s="5"/>
      <c r="C573" s="18"/>
      <c r="D573" s="18"/>
      <c r="E573" s="18"/>
      <c r="F573" s="18"/>
      <c r="G573" s="18"/>
      <c r="H573" s="18"/>
    </row>
    <row r="574" spans="1:8" ht="15.75" customHeight="1" x14ac:dyDescent="0.25">
      <c r="A574" s="5"/>
      <c r="B574" s="5"/>
      <c r="C574" s="18"/>
      <c r="D574" s="18"/>
      <c r="E574" s="18"/>
      <c r="F574" s="18"/>
      <c r="G574" s="18"/>
      <c r="H574" s="18"/>
    </row>
    <row r="575" spans="1:8" ht="15.75" customHeight="1" x14ac:dyDescent="0.25">
      <c r="A575" s="5"/>
      <c r="B575" s="5"/>
      <c r="C575" s="18"/>
      <c r="D575" s="18"/>
      <c r="E575" s="18"/>
      <c r="F575" s="18"/>
      <c r="G575" s="18"/>
      <c r="H575" s="18"/>
    </row>
    <row r="576" spans="1:8" ht="15.75" customHeight="1" x14ac:dyDescent="0.25">
      <c r="A576" s="5"/>
      <c r="B576" s="5"/>
      <c r="C576" s="18"/>
      <c r="D576" s="18"/>
      <c r="E576" s="18"/>
      <c r="F576" s="18"/>
      <c r="G576" s="18"/>
      <c r="H576" s="18"/>
    </row>
    <row r="577" spans="1:8" ht="15.75" customHeight="1" x14ac:dyDescent="0.25">
      <c r="A577" s="5"/>
      <c r="B577" s="5"/>
      <c r="C577" s="18"/>
      <c r="D577" s="18"/>
      <c r="E577" s="18"/>
      <c r="F577" s="18"/>
      <c r="G577" s="18"/>
      <c r="H577" s="18"/>
    </row>
    <row r="578" spans="1:8" ht="15.75" customHeight="1" x14ac:dyDescent="0.25">
      <c r="A578" s="5"/>
      <c r="B578" s="5"/>
      <c r="C578" s="18"/>
      <c r="D578" s="18"/>
      <c r="E578" s="18"/>
      <c r="F578" s="18"/>
      <c r="G578" s="18"/>
      <c r="H578" s="18"/>
    </row>
    <row r="579" spans="1:8" ht="15.75" customHeight="1" x14ac:dyDescent="0.25">
      <c r="A579" s="5"/>
      <c r="B579" s="5"/>
      <c r="C579" s="18"/>
      <c r="D579" s="18"/>
      <c r="E579" s="18"/>
      <c r="F579" s="18"/>
      <c r="G579" s="18"/>
      <c r="H579" s="18"/>
    </row>
    <row r="580" spans="1:8" ht="15.75" customHeight="1" x14ac:dyDescent="0.25">
      <c r="A580" s="5"/>
      <c r="B580" s="5"/>
      <c r="C580" s="18"/>
      <c r="D580" s="18"/>
      <c r="E580" s="18"/>
      <c r="F580" s="18"/>
      <c r="G580" s="18"/>
      <c r="H580" s="18"/>
    </row>
    <row r="581" spans="1:8" ht="15.75" customHeight="1" x14ac:dyDescent="0.25">
      <c r="A581" s="5"/>
      <c r="B581" s="5"/>
      <c r="C581" s="18"/>
      <c r="D581" s="18"/>
      <c r="E581" s="18"/>
      <c r="F581" s="18"/>
      <c r="G581" s="18"/>
      <c r="H581" s="18"/>
    </row>
    <row r="582" spans="1:8" ht="15.75" customHeight="1" x14ac:dyDescent="0.25">
      <c r="A582" s="5"/>
      <c r="B582" s="5"/>
      <c r="C582" s="18"/>
      <c r="D582" s="18"/>
      <c r="E582" s="18"/>
      <c r="F582" s="18"/>
      <c r="G582" s="18"/>
      <c r="H582" s="18"/>
    </row>
    <row r="583" spans="1:8" ht="15.75" customHeight="1" x14ac:dyDescent="0.25">
      <c r="A583" s="5"/>
      <c r="B583" s="5"/>
      <c r="C583" s="18"/>
      <c r="D583" s="18"/>
      <c r="E583" s="18"/>
      <c r="F583" s="18"/>
      <c r="G583" s="18"/>
      <c r="H583" s="18"/>
    </row>
    <row r="584" spans="1:8" ht="15.75" customHeight="1" x14ac:dyDescent="0.25">
      <c r="A584" s="5"/>
      <c r="B584" s="5"/>
      <c r="C584" s="18"/>
      <c r="D584" s="18"/>
      <c r="E584" s="18"/>
      <c r="F584" s="18"/>
      <c r="G584" s="18"/>
      <c r="H584" s="18"/>
    </row>
    <row r="585" spans="1:8" ht="15.75" customHeight="1" x14ac:dyDescent="0.25">
      <c r="A585" s="5"/>
      <c r="B585" s="5"/>
      <c r="C585" s="18"/>
      <c r="D585" s="18"/>
      <c r="E585" s="18"/>
      <c r="F585" s="18"/>
      <c r="G585" s="18"/>
      <c r="H585" s="18"/>
    </row>
    <row r="586" spans="1:8" ht="15.75" customHeight="1" x14ac:dyDescent="0.25">
      <c r="A586" s="5"/>
      <c r="B586" s="5"/>
      <c r="C586" s="18"/>
      <c r="D586" s="18"/>
      <c r="E586" s="18"/>
      <c r="F586" s="18"/>
      <c r="G586" s="18"/>
      <c r="H586" s="18"/>
    </row>
    <row r="587" spans="1:8" ht="15.75" customHeight="1" x14ac:dyDescent="0.25">
      <c r="A587" s="5"/>
      <c r="B587" s="5"/>
      <c r="C587" s="18"/>
      <c r="D587" s="18"/>
      <c r="E587" s="18"/>
      <c r="F587" s="18"/>
      <c r="G587" s="18"/>
      <c r="H587" s="18"/>
    </row>
    <row r="588" spans="1:8" ht="15.75" customHeight="1" x14ac:dyDescent="0.25">
      <c r="A588" s="5"/>
      <c r="B588" s="5"/>
      <c r="C588" s="18"/>
      <c r="D588" s="18"/>
      <c r="E588" s="18"/>
      <c r="F588" s="18"/>
      <c r="G588" s="18"/>
      <c r="H588" s="18"/>
    </row>
    <row r="589" spans="1:8" ht="15.75" customHeight="1" x14ac:dyDescent="0.25">
      <c r="A589" s="5"/>
      <c r="B589" s="5"/>
      <c r="C589" s="18"/>
      <c r="D589" s="18"/>
      <c r="E589" s="18"/>
      <c r="F589" s="18"/>
      <c r="G589" s="18"/>
      <c r="H589" s="18"/>
    </row>
    <row r="590" spans="1:8" ht="15.75" customHeight="1" x14ac:dyDescent="0.25">
      <c r="A590" s="5"/>
      <c r="B590" s="5"/>
      <c r="C590" s="18"/>
      <c r="D590" s="18"/>
      <c r="E590" s="18"/>
      <c r="F590" s="18"/>
      <c r="G590" s="18"/>
      <c r="H590" s="18"/>
    </row>
    <row r="591" spans="1:8" ht="15.75" customHeight="1" x14ac:dyDescent="0.25">
      <c r="A591" s="5"/>
      <c r="B591" s="5"/>
      <c r="C591" s="18"/>
      <c r="D591" s="18"/>
      <c r="E591" s="18"/>
      <c r="F591" s="18"/>
      <c r="G591" s="18"/>
      <c r="H591" s="18"/>
    </row>
    <row r="592" spans="1:8" ht="15.75" customHeight="1" x14ac:dyDescent="0.25">
      <c r="A592" s="5"/>
      <c r="B592" s="5"/>
      <c r="C592" s="18"/>
      <c r="D592" s="18"/>
      <c r="E592" s="18"/>
      <c r="F592" s="18"/>
      <c r="G592" s="18"/>
      <c r="H592" s="18"/>
    </row>
    <row r="593" spans="1:8" ht="15.75" customHeight="1" x14ac:dyDescent="0.25">
      <c r="A593" s="5"/>
      <c r="B593" s="5"/>
      <c r="C593" s="18"/>
      <c r="D593" s="18"/>
      <c r="E593" s="18"/>
      <c r="F593" s="18"/>
      <c r="G593" s="18"/>
      <c r="H593" s="18"/>
    </row>
    <row r="594" spans="1:8" ht="15.75" customHeight="1" x14ac:dyDescent="0.25">
      <c r="A594" s="5"/>
      <c r="B594" s="5"/>
      <c r="C594" s="18"/>
      <c r="D594" s="18"/>
      <c r="E594" s="18"/>
      <c r="F594" s="18"/>
      <c r="G594" s="18"/>
      <c r="H594" s="18"/>
    </row>
    <row r="595" spans="1:8" ht="15.75" customHeight="1" x14ac:dyDescent="0.25">
      <c r="A595" s="5"/>
      <c r="B595" s="5"/>
      <c r="C595" s="18"/>
      <c r="D595" s="18"/>
      <c r="E595" s="18"/>
      <c r="F595" s="18"/>
      <c r="G595" s="18"/>
      <c r="H595" s="18"/>
    </row>
    <row r="596" spans="1:8" ht="15.75" customHeight="1" x14ac:dyDescent="0.25">
      <c r="A596" s="5"/>
      <c r="B596" s="5"/>
      <c r="C596" s="18"/>
      <c r="D596" s="18"/>
      <c r="E596" s="18"/>
      <c r="F596" s="18"/>
      <c r="G596" s="18"/>
      <c r="H596" s="18"/>
    </row>
    <row r="597" spans="1:8" ht="15.75" customHeight="1" x14ac:dyDescent="0.25">
      <c r="A597" s="5"/>
      <c r="B597" s="5"/>
      <c r="C597" s="18"/>
      <c r="D597" s="18"/>
      <c r="E597" s="18"/>
      <c r="F597" s="18"/>
      <c r="G597" s="18"/>
      <c r="H597" s="18"/>
    </row>
    <row r="598" spans="1:8" ht="15.75" customHeight="1" x14ac:dyDescent="0.25">
      <c r="A598" s="5"/>
      <c r="B598" s="5"/>
      <c r="C598" s="18"/>
      <c r="D598" s="18"/>
      <c r="E598" s="18"/>
      <c r="F598" s="18"/>
      <c r="G598" s="18"/>
      <c r="H598" s="18"/>
    </row>
    <row r="599" spans="1:8" ht="15.75" customHeight="1" x14ac:dyDescent="0.25">
      <c r="A599" s="5"/>
      <c r="B599" s="5"/>
      <c r="C599" s="18"/>
      <c r="D599" s="18"/>
      <c r="E599" s="18"/>
      <c r="F599" s="18"/>
      <c r="G599" s="18"/>
      <c r="H599" s="18"/>
    </row>
    <row r="600" spans="1:8" ht="15.75" customHeight="1" x14ac:dyDescent="0.25">
      <c r="A600" s="5"/>
      <c r="B600" s="5"/>
      <c r="C600" s="18"/>
      <c r="D600" s="18"/>
      <c r="E600" s="18"/>
      <c r="F600" s="18"/>
      <c r="G600" s="18"/>
      <c r="H600" s="18"/>
    </row>
    <row r="601" spans="1:8" ht="15.75" customHeight="1" x14ac:dyDescent="0.25">
      <c r="A601" s="5"/>
      <c r="B601" s="5"/>
      <c r="C601" s="18"/>
      <c r="D601" s="18"/>
      <c r="E601" s="18"/>
      <c r="F601" s="18"/>
      <c r="G601" s="18"/>
      <c r="H601" s="18"/>
    </row>
    <row r="602" spans="1:8" ht="15.75" customHeight="1" x14ac:dyDescent="0.25">
      <c r="A602" s="5"/>
      <c r="B602" s="5"/>
      <c r="C602" s="18"/>
      <c r="D602" s="18"/>
      <c r="E602" s="18"/>
      <c r="F602" s="18"/>
      <c r="G602" s="18"/>
      <c r="H602" s="18"/>
    </row>
    <row r="603" spans="1:8" ht="15.75" customHeight="1" x14ac:dyDescent="0.25">
      <c r="A603" s="5"/>
      <c r="B603" s="5"/>
      <c r="C603" s="18"/>
      <c r="D603" s="18"/>
      <c r="E603" s="18"/>
      <c r="F603" s="18"/>
      <c r="G603" s="18"/>
      <c r="H603" s="18"/>
    </row>
    <row r="604" spans="1:8" ht="15.75" customHeight="1" x14ac:dyDescent="0.25">
      <c r="A604" s="5"/>
      <c r="B604" s="5"/>
      <c r="C604" s="18"/>
      <c r="D604" s="18"/>
      <c r="E604" s="18"/>
      <c r="F604" s="18"/>
      <c r="G604" s="18"/>
      <c r="H604" s="18"/>
    </row>
    <row r="605" spans="1:8" ht="15.75" customHeight="1" x14ac:dyDescent="0.25">
      <c r="A605" s="5"/>
      <c r="B605" s="5"/>
      <c r="C605" s="18"/>
      <c r="D605" s="18"/>
      <c r="E605" s="18"/>
      <c r="F605" s="18"/>
      <c r="G605" s="18"/>
      <c r="H605" s="18"/>
    </row>
    <row r="606" spans="1:8" ht="15.75" customHeight="1" x14ac:dyDescent="0.25">
      <c r="A606" s="5"/>
      <c r="B606" s="5"/>
      <c r="C606" s="18"/>
      <c r="D606" s="18"/>
      <c r="E606" s="18"/>
      <c r="F606" s="18"/>
      <c r="G606" s="18"/>
      <c r="H606" s="18"/>
    </row>
    <row r="607" spans="1:8" ht="15.75" customHeight="1" x14ac:dyDescent="0.25">
      <c r="A607" s="5"/>
      <c r="B607" s="5"/>
      <c r="C607" s="18"/>
      <c r="D607" s="18"/>
      <c r="E607" s="18"/>
      <c r="F607" s="18"/>
      <c r="G607" s="18"/>
      <c r="H607" s="18"/>
    </row>
    <row r="608" spans="1:8" ht="15.75" customHeight="1" x14ac:dyDescent="0.25">
      <c r="A608" s="5"/>
      <c r="B608" s="5"/>
      <c r="C608" s="18"/>
      <c r="D608" s="18"/>
      <c r="E608" s="18"/>
      <c r="F608" s="18"/>
      <c r="G608" s="18"/>
      <c r="H608" s="18"/>
    </row>
    <row r="609" spans="1:8" ht="15.75" customHeight="1" x14ac:dyDescent="0.25">
      <c r="A609" s="5"/>
      <c r="B609" s="5"/>
      <c r="C609" s="18"/>
      <c r="D609" s="18"/>
      <c r="E609" s="18"/>
      <c r="F609" s="18"/>
      <c r="G609" s="18"/>
      <c r="H609" s="18"/>
    </row>
    <row r="610" spans="1:8" ht="15.75" customHeight="1" x14ac:dyDescent="0.25">
      <c r="A610" s="5"/>
      <c r="B610" s="5"/>
      <c r="C610" s="18"/>
      <c r="D610" s="18"/>
      <c r="E610" s="18"/>
      <c r="F610" s="18"/>
      <c r="G610" s="18"/>
      <c r="H610" s="18"/>
    </row>
    <row r="611" spans="1:8" ht="15.75" customHeight="1" x14ac:dyDescent="0.25">
      <c r="A611" s="5"/>
      <c r="B611" s="5"/>
      <c r="C611" s="18"/>
      <c r="D611" s="18"/>
      <c r="E611" s="18"/>
      <c r="F611" s="18"/>
      <c r="G611" s="18"/>
      <c r="H611" s="18"/>
    </row>
    <row r="612" spans="1:8" ht="15.75" customHeight="1" x14ac:dyDescent="0.25">
      <c r="A612" s="5"/>
      <c r="B612" s="5"/>
      <c r="C612" s="18"/>
      <c r="D612" s="18"/>
      <c r="E612" s="18"/>
      <c r="F612" s="18"/>
      <c r="G612" s="18"/>
      <c r="H612" s="18"/>
    </row>
    <row r="613" spans="1:8" ht="15.75" customHeight="1" x14ac:dyDescent="0.25">
      <c r="A613" s="5"/>
      <c r="B613" s="5"/>
      <c r="C613" s="18"/>
      <c r="D613" s="18"/>
      <c r="E613" s="18"/>
      <c r="F613" s="18"/>
      <c r="G613" s="18"/>
      <c r="H613" s="18"/>
    </row>
    <row r="614" spans="1:8" ht="15.75" customHeight="1" x14ac:dyDescent="0.25">
      <c r="A614" s="5"/>
      <c r="B614" s="5"/>
      <c r="C614" s="18"/>
      <c r="D614" s="18"/>
      <c r="E614" s="18"/>
      <c r="F614" s="18"/>
      <c r="G614" s="18"/>
      <c r="H614" s="18"/>
    </row>
    <row r="615" spans="1:8" ht="15.75" customHeight="1" x14ac:dyDescent="0.25">
      <c r="A615" s="5"/>
      <c r="B615" s="5"/>
      <c r="C615" s="18"/>
      <c r="D615" s="18"/>
      <c r="E615" s="18"/>
      <c r="F615" s="18"/>
      <c r="G615" s="18"/>
      <c r="H615" s="18"/>
    </row>
    <row r="616" spans="1:8" ht="15.75" customHeight="1" x14ac:dyDescent="0.25">
      <c r="A616" s="5"/>
      <c r="B616" s="5"/>
      <c r="C616" s="18"/>
      <c r="D616" s="18"/>
      <c r="E616" s="18"/>
      <c r="F616" s="18"/>
      <c r="G616" s="18"/>
      <c r="H616" s="18"/>
    </row>
    <row r="617" spans="1:8" ht="15.75" customHeight="1" x14ac:dyDescent="0.25">
      <c r="A617" s="5"/>
      <c r="B617" s="5"/>
      <c r="C617" s="18"/>
      <c r="D617" s="18"/>
      <c r="E617" s="18"/>
      <c r="F617" s="18"/>
      <c r="G617" s="18"/>
      <c r="H617" s="18"/>
    </row>
    <row r="618" spans="1:8" ht="15.75" customHeight="1" x14ac:dyDescent="0.25">
      <c r="A618" s="5"/>
      <c r="B618" s="5"/>
      <c r="C618" s="18"/>
      <c r="D618" s="18"/>
      <c r="E618" s="18"/>
      <c r="F618" s="18"/>
      <c r="G618" s="18"/>
      <c r="H618" s="18"/>
    </row>
    <row r="619" spans="1:8" ht="15.75" customHeight="1" x14ac:dyDescent="0.25">
      <c r="A619" s="5"/>
      <c r="B619" s="5"/>
      <c r="C619" s="18"/>
      <c r="D619" s="18"/>
      <c r="E619" s="18"/>
      <c r="F619" s="18"/>
      <c r="G619" s="18"/>
      <c r="H619" s="18"/>
    </row>
    <row r="620" spans="1:8" ht="15.75" customHeight="1" x14ac:dyDescent="0.25">
      <c r="A620" s="5"/>
      <c r="B620" s="5"/>
      <c r="C620" s="18"/>
      <c r="D620" s="18"/>
      <c r="E620" s="18"/>
      <c r="F620" s="18"/>
      <c r="G620" s="18"/>
      <c r="H620" s="18"/>
    </row>
    <row r="621" spans="1:8" ht="15.75" customHeight="1" x14ac:dyDescent="0.25">
      <c r="A621" s="5"/>
      <c r="B621" s="5"/>
      <c r="C621" s="18"/>
      <c r="D621" s="18"/>
      <c r="E621" s="18"/>
      <c r="F621" s="18"/>
      <c r="G621" s="18"/>
      <c r="H621" s="18"/>
    </row>
    <row r="622" spans="1:8" ht="15.75" customHeight="1" x14ac:dyDescent="0.25">
      <c r="A622" s="5"/>
      <c r="B622" s="5"/>
      <c r="C622" s="18"/>
      <c r="D622" s="18"/>
      <c r="E622" s="18"/>
      <c r="F622" s="18"/>
      <c r="G622" s="18"/>
      <c r="H622" s="18"/>
    </row>
    <row r="623" spans="1:8" ht="15.75" customHeight="1" x14ac:dyDescent="0.25">
      <c r="A623" s="5"/>
      <c r="B623" s="5"/>
      <c r="C623" s="18"/>
      <c r="D623" s="18"/>
      <c r="E623" s="18"/>
      <c r="F623" s="18"/>
      <c r="G623" s="18"/>
      <c r="H623" s="18"/>
    </row>
    <row r="624" spans="1:8" ht="15.75" customHeight="1" x14ac:dyDescent="0.25">
      <c r="A624" s="5"/>
      <c r="B624" s="5"/>
      <c r="C624" s="18"/>
      <c r="D624" s="18"/>
      <c r="E624" s="18"/>
      <c r="F624" s="18"/>
      <c r="G624" s="18"/>
      <c r="H624" s="18"/>
    </row>
    <row r="625" spans="1:8" ht="15.75" customHeight="1" x14ac:dyDescent="0.25">
      <c r="A625" s="5"/>
      <c r="B625" s="5"/>
      <c r="C625" s="18"/>
      <c r="D625" s="18"/>
      <c r="E625" s="18"/>
      <c r="F625" s="18"/>
      <c r="G625" s="18"/>
      <c r="H625" s="18"/>
    </row>
    <row r="626" spans="1:8" ht="15.75" customHeight="1" x14ac:dyDescent="0.25">
      <c r="A626" s="5"/>
      <c r="B626" s="5"/>
      <c r="C626" s="18"/>
      <c r="D626" s="18"/>
      <c r="E626" s="18"/>
      <c r="F626" s="18"/>
      <c r="G626" s="18"/>
      <c r="H626" s="18"/>
    </row>
    <row r="627" spans="1:8" ht="15.75" customHeight="1" x14ac:dyDescent="0.25">
      <c r="A627" s="5"/>
      <c r="B627" s="5"/>
      <c r="C627" s="18"/>
      <c r="D627" s="18"/>
      <c r="E627" s="18"/>
      <c r="F627" s="18"/>
      <c r="G627" s="18"/>
      <c r="H627" s="18"/>
    </row>
    <row r="628" spans="1:8" ht="15.75" customHeight="1" x14ac:dyDescent="0.25">
      <c r="A628" s="5"/>
      <c r="B628" s="5"/>
      <c r="C628" s="18"/>
      <c r="D628" s="18"/>
      <c r="E628" s="18"/>
      <c r="F628" s="18"/>
      <c r="G628" s="18"/>
      <c r="H628" s="18"/>
    </row>
    <row r="629" spans="1:8" ht="15.75" customHeight="1" x14ac:dyDescent="0.25">
      <c r="A629" s="5"/>
      <c r="B629" s="5"/>
      <c r="C629" s="18"/>
      <c r="D629" s="18"/>
      <c r="E629" s="18"/>
      <c r="F629" s="18"/>
      <c r="G629" s="18"/>
      <c r="H629" s="18"/>
    </row>
    <row r="630" spans="1:8" ht="15.75" customHeight="1" x14ac:dyDescent="0.25">
      <c r="A630" s="5"/>
      <c r="B630" s="5"/>
      <c r="C630" s="18"/>
      <c r="D630" s="18"/>
      <c r="E630" s="18"/>
      <c r="F630" s="18"/>
      <c r="G630" s="18"/>
      <c r="H630" s="18"/>
    </row>
    <row r="631" spans="1:8" ht="15.75" customHeight="1" x14ac:dyDescent="0.25">
      <c r="A631" s="5"/>
      <c r="B631" s="5"/>
      <c r="C631" s="18"/>
      <c r="D631" s="18"/>
      <c r="E631" s="18"/>
      <c r="F631" s="18"/>
      <c r="G631" s="18"/>
      <c r="H631" s="18"/>
    </row>
    <row r="632" spans="1:8" ht="15.75" customHeight="1" x14ac:dyDescent="0.25">
      <c r="A632" s="5"/>
      <c r="B632" s="5"/>
      <c r="C632" s="18"/>
      <c r="D632" s="18"/>
      <c r="E632" s="18"/>
      <c r="F632" s="18"/>
      <c r="G632" s="18"/>
      <c r="H632" s="18"/>
    </row>
    <row r="633" spans="1:8" ht="15.75" customHeight="1" x14ac:dyDescent="0.25">
      <c r="A633" s="5"/>
      <c r="B633" s="5"/>
      <c r="C633" s="18"/>
      <c r="D633" s="18"/>
      <c r="E633" s="18"/>
      <c r="F633" s="18"/>
      <c r="G633" s="18"/>
      <c r="H633" s="18"/>
    </row>
    <row r="634" spans="1:8" ht="15.75" customHeight="1" x14ac:dyDescent="0.25">
      <c r="A634" s="5"/>
      <c r="B634" s="5"/>
      <c r="C634" s="18"/>
      <c r="D634" s="18"/>
      <c r="E634" s="18"/>
      <c r="F634" s="18"/>
      <c r="G634" s="18"/>
      <c r="H634" s="18"/>
    </row>
    <row r="635" spans="1:8" ht="15.75" customHeight="1" x14ac:dyDescent="0.25">
      <c r="A635" s="5"/>
      <c r="B635" s="5"/>
      <c r="C635" s="18"/>
      <c r="D635" s="18"/>
      <c r="E635" s="18"/>
      <c r="F635" s="18"/>
      <c r="G635" s="18"/>
      <c r="H635" s="18"/>
    </row>
    <row r="636" spans="1:8" ht="15.75" customHeight="1" x14ac:dyDescent="0.25">
      <c r="A636" s="5"/>
      <c r="B636" s="5"/>
      <c r="C636" s="18"/>
      <c r="D636" s="18"/>
      <c r="E636" s="18"/>
      <c r="F636" s="18"/>
      <c r="G636" s="18"/>
      <c r="H636" s="18"/>
    </row>
    <row r="637" spans="1:8" ht="15.75" customHeight="1" x14ac:dyDescent="0.25">
      <c r="A637" s="5"/>
      <c r="B637" s="5"/>
      <c r="C637" s="18"/>
      <c r="D637" s="18"/>
      <c r="E637" s="18"/>
      <c r="F637" s="18"/>
      <c r="G637" s="18"/>
      <c r="H637" s="18"/>
    </row>
    <row r="638" spans="1:8" ht="15.75" customHeight="1" x14ac:dyDescent="0.25">
      <c r="A638" s="5"/>
      <c r="B638" s="5"/>
      <c r="C638" s="18"/>
      <c r="D638" s="18"/>
      <c r="E638" s="18"/>
      <c r="F638" s="18"/>
      <c r="G638" s="18"/>
      <c r="H638" s="18"/>
    </row>
    <row r="639" spans="1:8" ht="15.75" customHeight="1" x14ac:dyDescent="0.25">
      <c r="A639" s="5"/>
      <c r="B639" s="5"/>
      <c r="C639" s="18"/>
      <c r="D639" s="18"/>
      <c r="E639" s="18"/>
      <c r="F639" s="18"/>
      <c r="G639" s="18"/>
      <c r="H639" s="18"/>
    </row>
    <row r="640" spans="1:8" ht="15.75" customHeight="1" x14ac:dyDescent="0.25">
      <c r="A640" s="5"/>
      <c r="B640" s="5"/>
      <c r="C640" s="18"/>
      <c r="D640" s="18"/>
      <c r="E640" s="18"/>
      <c r="F640" s="18"/>
      <c r="G640" s="18"/>
      <c r="H640" s="18"/>
    </row>
    <row r="641" spans="1:8" ht="15.75" customHeight="1" x14ac:dyDescent="0.25">
      <c r="A641" s="5"/>
      <c r="B641" s="5"/>
      <c r="C641" s="18"/>
      <c r="D641" s="18"/>
      <c r="E641" s="18"/>
      <c r="F641" s="18"/>
      <c r="G641" s="18"/>
      <c r="H641" s="18"/>
    </row>
    <row r="642" spans="1:8" ht="15.75" customHeight="1" x14ac:dyDescent="0.25">
      <c r="A642" s="5"/>
      <c r="B642" s="5"/>
      <c r="C642" s="18"/>
      <c r="D642" s="18"/>
      <c r="E642" s="18"/>
      <c r="F642" s="18"/>
      <c r="G642" s="18"/>
      <c r="H642" s="18"/>
    </row>
    <row r="643" spans="1:8" ht="15.75" customHeight="1" x14ac:dyDescent="0.25">
      <c r="A643" s="5"/>
      <c r="B643" s="5"/>
      <c r="C643" s="18"/>
      <c r="D643" s="18"/>
      <c r="E643" s="18"/>
      <c r="F643" s="18"/>
      <c r="G643" s="18"/>
      <c r="H643" s="18"/>
    </row>
    <row r="644" spans="1:8" ht="15.75" customHeight="1" x14ac:dyDescent="0.25">
      <c r="A644" s="5"/>
      <c r="B644" s="5"/>
      <c r="C644" s="18"/>
      <c r="D644" s="18"/>
      <c r="E644" s="18"/>
      <c r="F644" s="18"/>
      <c r="G644" s="18"/>
      <c r="H644" s="18"/>
    </row>
    <row r="645" spans="1:8" ht="15.75" customHeight="1" x14ac:dyDescent="0.25">
      <c r="A645" s="5"/>
      <c r="B645" s="5"/>
      <c r="C645" s="18"/>
      <c r="D645" s="18"/>
      <c r="E645" s="18"/>
      <c r="F645" s="18"/>
      <c r="G645" s="18"/>
      <c r="H645" s="18"/>
    </row>
    <row r="646" spans="1:8" ht="15.75" customHeight="1" x14ac:dyDescent="0.25">
      <c r="A646" s="5"/>
      <c r="B646" s="5"/>
      <c r="C646" s="18"/>
      <c r="D646" s="18"/>
      <c r="E646" s="18"/>
      <c r="F646" s="18"/>
      <c r="G646" s="18"/>
      <c r="H646" s="18"/>
    </row>
    <row r="647" spans="1:8" ht="15.75" customHeight="1" x14ac:dyDescent="0.25">
      <c r="A647" s="5"/>
      <c r="B647" s="5"/>
      <c r="C647" s="18"/>
      <c r="D647" s="18"/>
      <c r="E647" s="18"/>
      <c r="F647" s="18"/>
      <c r="G647" s="18"/>
      <c r="H647" s="18"/>
    </row>
    <row r="648" spans="1:8" ht="15.75" customHeight="1" x14ac:dyDescent="0.25">
      <c r="A648" s="5"/>
      <c r="B648" s="5"/>
      <c r="C648" s="18"/>
      <c r="D648" s="18"/>
      <c r="E648" s="18"/>
      <c r="F648" s="18"/>
      <c r="G648" s="18"/>
      <c r="H648" s="18"/>
    </row>
    <row r="649" spans="1:8" ht="15.75" customHeight="1" x14ac:dyDescent="0.25">
      <c r="A649" s="5"/>
      <c r="B649" s="5"/>
      <c r="C649" s="18"/>
      <c r="D649" s="18"/>
      <c r="E649" s="18"/>
      <c r="F649" s="18"/>
      <c r="G649" s="18"/>
      <c r="H649" s="18"/>
    </row>
    <row r="650" spans="1:8" ht="15.75" customHeight="1" x14ac:dyDescent="0.25">
      <c r="A650" s="5"/>
      <c r="B650" s="5"/>
      <c r="C650" s="18"/>
      <c r="D650" s="18"/>
      <c r="E650" s="18"/>
      <c r="F650" s="18"/>
      <c r="G650" s="18"/>
      <c r="H650" s="18"/>
    </row>
    <row r="651" spans="1:8" ht="15.75" customHeight="1" x14ac:dyDescent="0.25">
      <c r="A651" s="5"/>
      <c r="B651" s="5"/>
      <c r="C651" s="18"/>
      <c r="D651" s="18"/>
      <c r="E651" s="18"/>
      <c r="F651" s="18"/>
      <c r="G651" s="18"/>
      <c r="H651" s="18"/>
    </row>
    <row r="652" spans="1:8" ht="15.75" customHeight="1" x14ac:dyDescent="0.25">
      <c r="A652" s="5"/>
      <c r="B652" s="5"/>
      <c r="C652" s="18"/>
      <c r="D652" s="18"/>
      <c r="E652" s="18"/>
      <c r="F652" s="18"/>
      <c r="G652" s="18"/>
      <c r="H652" s="18"/>
    </row>
    <row r="653" spans="1:8" ht="15.75" customHeight="1" x14ac:dyDescent="0.25">
      <c r="A653" s="5"/>
      <c r="B653" s="5"/>
      <c r="C653" s="18"/>
      <c r="D653" s="18"/>
      <c r="E653" s="18"/>
      <c r="F653" s="18"/>
      <c r="G653" s="18"/>
      <c r="H653" s="18"/>
    </row>
    <row r="654" spans="1:8" ht="15.75" customHeight="1" x14ac:dyDescent="0.25">
      <c r="A654" s="5"/>
      <c r="B654" s="5"/>
      <c r="C654" s="18"/>
      <c r="D654" s="18"/>
      <c r="E654" s="18"/>
      <c r="F654" s="18"/>
      <c r="G654" s="18"/>
      <c r="H654" s="18"/>
    </row>
    <row r="655" spans="1:8" ht="15.75" customHeight="1" x14ac:dyDescent="0.25">
      <c r="A655" s="5"/>
      <c r="B655" s="5"/>
      <c r="C655" s="18"/>
      <c r="D655" s="18"/>
      <c r="E655" s="18"/>
      <c r="F655" s="18"/>
      <c r="G655" s="18"/>
      <c r="H655" s="18"/>
    </row>
    <row r="656" spans="1:8" ht="15.75" customHeight="1" x14ac:dyDescent="0.25">
      <c r="A656" s="5"/>
      <c r="B656" s="5"/>
      <c r="C656" s="18"/>
      <c r="D656" s="18"/>
      <c r="E656" s="18"/>
      <c r="F656" s="18"/>
      <c r="G656" s="18"/>
      <c r="H656" s="18"/>
    </row>
    <row r="657" spans="1:8" ht="15.75" customHeight="1" x14ac:dyDescent="0.25">
      <c r="A657" s="5"/>
      <c r="B657" s="5"/>
      <c r="C657" s="18"/>
      <c r="D657" s="18"/>
      <c r="E657" s="18"/>
      <c r="F657" s="18"/>
      <c r="G657" s="18"/>
      <c r="H657" s="18"/>
    </row>
    <row r="658" spans="1:8" ht="15.75" customHeight="1" x14ac:dyDescent="0.25">
      <c r="A658" s="5"/>
      <c r="B658" s="5"/>
      <c r="C658" s="18"/>
      <c r="D658" s="18"/>
      <c r="E658" s="18"/>
      <c r="F658" s="18"/>
      <c r="G658" s="18"/>
      <c r="H658" s="18"/>
    </row>
    <row r="659" spans="1:8" ht="15.75" customHeight="1" x14ac:dyDescent="0.25">
      <c r="A659" s="5"/>
      <c r="B659" s="5"/>
      <c r="C659" s="18"/>
      <c r="D659" s="18"/>
      <c r="E659" s="18"/>
      <c r="F659" s="18"/>
      <c r="G659" s="18"/>
      <c r="H659" s="18"/>
    </row>
    <row r="660" spans="1:8" ht="15.75" customHeight="1" x14ac:dyDescent="0.25">
      <c r="A660" s="5"/>
      <c r="B660" s="5"/>
      <c r="C660" s="18"/>
      <c r="D660" s="18"/>
      <c r="E660" s="18"/>
      <c r="F660" s="18"/>
      <c r="G660" s="18"/>
      <c r="H660" s="18"/>
    </row>
    <row r="661" spans="1:8" ht="15.75" customHeight="1" x14ac:dyDescent="0.25">
      <c r="A661" s="5"/>
      <c r="B661" s="5"/>
      <c r="C661" s="18"/>
      <c r="D661" s="18"/>
      <c r="E661" s="18"/>
      <c r="F661" s="18"/>
      <c r="G661" s="18"/>
      <c r="H661" s="18"/>
    </row>
    <row r="662" spans="1:8" ht="15.75" customHeight="1" x14ac:dyDescent="0.25">
      <c r="A662" s="5"/>
      <c r="B662" s="5"/>
      <c r="C662" s="18"/>
      <c r="D662" s="18"/>
      <c r="E662" s="18"/>
      <c r="F662" s="18"/>
      <c r="G662" s="18"/>
      <c r="H662" s="18"/>
    </row>
    <row r="663" spans="1:8" ht="15.75" customHeight="1" x14ac:dyDescent="0.25">
      <c r="A663" s="5"/>
      <c r="B663" s="5"/>
      <c r="C663" s="18"/>
      <c r="D663" s="18"/>
      <c r="E663" s="18"/>
      <c r="F663" s="18"/>
      <c r="G663" s="18"/>
      <c r="H663" s="18"/>
    </row>
    <row r="664" spans="1:8" ht="15.75" customHeight="1" x14ac:dyDescent="0.25">
      <c r="A664" s="5"/>
      <c r="B664" s="5"/>
      <c r="C664" s="18"/>
      <c r="D664" s="18"/>
      <c r="E664" s="18"/>
      <c r="F664" s="18"/>
      <c r="G664" s="18"/>
      <c r="H664" s="18"/>
    </row>
    <row r="665" spans="1:8" ht="15.75" customHeight="1" x14ac:dyDescent="0.25">
      <c r="A665" s="5"/>
      <c r="B665" s="5"/>
      <c r="C665" s="18"/>
      <c r="D665" s="18"/>
      <c r="E665" s="18"/>
      <c r="F665" s="18"/>
      <c r="G665" s="18"/>
      <c r="H665" s="18"/>
    </row>
    <row r="666" spans="1:8" ht="15.75" customHeight="1" x14ac:dyDescent="0.25">
      <c r="A666" s="5"/>
      <c r="B666" s="5"/>
      <c r="C666" s="18"/>
      <c r="D666" s="18"/>
      <c r="E666" s="18"/>
      <c r="F666" s="18"/>
      <c r="G666" s="18"/>
      <c r="H666" s="18"/>
    </row>
    <row r="667" spans="1:8" ht="15.75" customHeight="1" x14ac:dyDescent="0.25">
      <c r="A667" s="5"/>
      <c r="B667" s="5"/>
      <c r="C667" s="18"/>
      <c r="D667" s="18"/>
      <c r="E667" s="18"/>
      <c r="F667" s="18"/>
      <c r="G667" s="18"/>
      <c r="H667" s="18"/>
    </row>
    <row r="668" spans="1:8" ht="15.75" customHeight="1" x14ac:dyDescent="0.25">
      <c r="A668" s="5"/>
      <c r="B668" s="5"/>
      <c r="C668" s="18"/>
      <c r="D668" s="18"/>
      <c r="E668" s="18"/>
      <c r="F668" s="18"/>
      <c r="G668" s="18"/>
      <c r="H668" s="18"/>
    </row>
    <row r="669" spans="1:8" ht="15.75" customHeight="1" x14ac:dyDescent="0.25">
      <c r="A669" s="5"/>
      <c r="B669" s="5"/>
      <c r="C669" s="18"/>
      <c r="D669" s="18"/>
      <c r="E669" s="18"/>
      <c r="F669" s="18"/>
      <c r="G669" s="18"/>
      <c r="H669" s="18"/>
    </row>
    <row r="670" spans="1:8" ht="15.75" customHeight="1" x14ac:dyDescent="0.25">
      <c r="A670" s="5"/>
      <c r="B670" s="5"/>
      <c r="C670" s="18"/>
      <c r="D670" s="18"/>
      <c r="E670" s="18"/>
      <c r="F670" s="18"/>
      <c r="G670" s="18"/>
      <c r="H670" s="18"/>
    </row>
    <row r="671" spans="1:8" ht="15.75" customHeight="1" x14ac:dyDescent="0.25">
      <c r="A671" s="5"/>
      <c r="B671" s="5"/>
      <c r="C671" s="18"/>
      <c r="D671" s="18"/>
      <c r="E671" s="18"/>
      <c r="F671" s="18"/>
      <c r="G671" s="18"/>
      <c r="H671" s="18"/>
    </row>
    <row r="672" spans="1:8" ht="15.75" customHeight="1" x14ac:dyDescent="0.25">
      <c r="A672" s="5"/>
      <c r="B672" s="5"/>
      <c r="C672" s="18"/>
      <c r="D672" s="18"/>
      <c r="E672" s="18"/>
      <c r="F672" s="18"/>
      <c r="G672" s="18"/>
      <c r="H672" s="18"/>
    </row>
    <row r="673" spans="1:8" ht="15.75" customHeight="1" x14ac:dyDescent="0.25">
      <c r="A673" s="5"/>
      <c r="B673" s="5"/>
      <c r="C673" s="18"/>
      <c r="D673" s="18"/>
      <c r="E673" s="18"/>
      <c r="F673" s="18"/>
      <c r="G673" s="18"/>
      <c r="H673" s="18"/>
    </row>
    <row r="674" spans="1:8" ht="15.75" customHeight="1" x14ac:dyDescent="0.25">
      <c r="A674" s="5"/>
      <c r="B674" s="5"/>
      <c r="C674" s="18"/>
      <c r="D674" s="18"/>
      <c r="E674" s="18"/>
      <c r="F674" s="18"/>
      <c r="G674" s="18"/>
      <c r="H674" s="18"/>
    </row>
    <row r="675" spans="1:8" ht="15.75" customHeight="1" x14ac:dyDescent="0.25">
      <c r="A675" s="5"/>
      <c r="B675" s="5"/>
      <c r="C675" s="18"/>
      <c r="D675" s="18"/>
      <c r="E675" s="18"/>
      <c r="F675" s="18"/>
      <c r="G675" s="18"/>
      <c r="H675" s="18"/>
    </row>
    <row r="676" spans="1:8" ht="15.75" customHeight="1" x14ac:dyDescent="0.25">
      <c r="A676" s="5"/>
      <c r="B676" s="5"/>
      <c r="C676" s="18"/>
      <c r="D676" s="18"/>
      <c r="E676" s="18"/>
      <c r="F676" s="18"/>
      <c r="G676" s="18"/>
      <c r="H676" s="18"/>
    </row>
    <row r="677" spans="1:8" ht="15.75" customHeight="1" x14ac:dyDescent="0.25">
      <c r="A677" s="5"/>
      <c r="B677" s="5"/>
      <c r="C677" s="18"/>
      <c r="D677" s="18"/>
      <c r="E677" s="18"/>
      <c r="F677" s="18"/>
      <c r="G677" s="18"/>
      <c r="H677" s="18"/>
    </row>
    <row r="678" spans="1:8" ht="15.75" customHeight="1" x14ac:dyDescent="0.25">
      <c r="A678" s="5"/>
      <c r="B678" s="5"/>
      <c r="C678" s="18"/>
      <c r="D678" s="18"/>
      <c r="E678" s="18"/>
      <c r="F678" s="18"/>
      <c r="G678" s="18"/>
      <c r="H678" s="18"/>
    </row>
    <row r="679" spans="1:8" ht="15.75" customHeight="1" x14ac:dyDescent="0.25">
      <c r="A679" s="5"/>
      <c r="B679" s="5"/>
      <c r="C679" s="18"/>
      <c r="D679" s="18"/>
      <c r="E679" s="18"/>
      <c r="F679" s="18"/>
      <c r="G679" s="18"/>
      <c r="H679" s="18"/>
    </row>
    <row r="680" spans="1:8" ht="15.75" customHeight="1" x14ac:dyDescent="0.25">
      <c r="A680" s="5"/>
      <c r="B680" s="5"/>
      <c r="C680" s="18"/>
      <c r="D680" s="18"/>
      <c r="E680" s="18"/>
      <c r="F680" s="18"/>
      <c r="G680" s="18"/>
      <c r="H680" s="18"/>
    </row>
    <row r="681" spans="1:8" ht="15.75" customHeight="1" x14ac:dyDescent="0.25">
      <c r="A681" s="5"/>
      <c r="B681" s="5"/>
      <c r="C681" s="18"/>
      <c r="D681" s="18"/>
      <c r="E681" s="18"/>
      <c r="F681" s="18"/>
      <c r="G681" s="18"/>
      <c r="H681" s="18"/>
    </row>
    <row r="682" spans="1:8" ht="15.75" customHeight="1" x14ac:dyDescent="0.25">
      <c r="A682" s="5"/>
      <c r="B682" s="5"/>
      <c r="C682" s="18"/>
      <c r="D682" s="18"/>
      <c r="E682" s="18"/>
      <c r="F682" s="18"/>
      <c r="G682" s="18"/>
      <c r="H682" s="18"/>
    </row>
    <row r="683" spans="1:8" ht="15.75" customHeight="1" x14ac:dyDescent="0.25">
      <c r="A683" s="5"/>
      <c r="B683" s="5"/>
      <c r="C683" s="18"/>
      <c r="D683" s="18"/>
      <c r="E683" s="18"/>
      <c r="F683" s="18"/>
      <c r="G683" s="18"/>
      <c r="H683" s="18"/>
    </row>
    <row r="684" spans="1:8" ht="15.75" customHeight="1" x14ac:dyDescent="0.25">
      <c r="A684" s="5"/>
      <c r="B684" s="5"/>
      <c r="C684" s="18"/>
      <c r="D684" s="18"/>
      <c r="E684" s="18"/>
      <c r="F684" s="18"/>
      <c r="G684" s="18"/>
      <c r="H684" s="18"/>
    </row>
    <row r="685" spans="1:8" ht="15.75" customHeight="1" x14ac:dyDescent="0.25">
      <c r="A685" s="5"/>
      <c r="B685" s="5"/>
      <c r="C685" s="18"/>
      <c r="D685" s="18"/>
      <c r="E685" s="18"/>
      <c r="F685" s="18"/>
      <c r="G685" s="18"/>
      <c r="H685" s="18"/>
    </row>
    <row r="686" spans="1:8" ht="15.75" customHeight="1" x14ac:dyDescent="0.25">
      <c r="A686" s="5"/>
      <c r="B686" s="5"/>
      <c r="C686" s="18"/>
      <c r="D686" s="18"/>
      <c r="E686" s="18"/>
      <c r="F686" s="18"/>
      <c r="G686" s="18"/>
      <c r="H686" s="18"/>
    </row>
    <row r="687" spans="1:8" ht="15.75" customHeight="1" x14ac:dyDescent="0.25">
      <c r="A687" s="5"/>
      <c r="B687" s="5"/>
      <c r="C687" s="18"/>
      <c r="D687" s="18"/>
      <c r="E687" s="18"/>
      <c r="F687" s="18"/>
      <c r="G687" s="18"/>
      <c r="H687" s="18"/>
    </row>
    <row r="688" spans="1:8" ht="15.75" customHeight="1" x14ac:dyDescent="0.25">
      <c r="A688" s="5"/>
      <c r="B688" s="5"/>
      <c r="C688" s="18"/>
      <c r="D688" s="18"/>
      <c r="E688" s="18"/>
      <c r="F688" s="18"/>
      <c r="G688" s="18"/>
      <c r="H688" s="18"/>
    </row>
    <row r="689" spans="1:8" ht="15.75" customHeight="1" x14ac:dyDescent="0.25">
      <c r="A689" s="5"/>
      <c r="B689" s="5"/>
      <c r="C689" s="18"/>
      <c r="D689" s="18"/>
      <c r="E689" s="18"/>
      <c r="F689" s="18"/>
      <c r="G689" s="18"/>
      <c r="H689" s="18"/>
    </row>
    <row r="690" spans="1:8" ht="15.75" customHeight="1" x14ac:dyDescent="0.25">
      <c r="A690" s="5"/>
      <c r="B690" s="5"/>
      <c r="C690" s="18"/>
      <c r="D690" s="18"/>
      <c r="E690" s="18"/>
      <c r="F690" s="18"/>
      <c r="G690" s="18"/>
      <c r="H690" s="18"/>
    </row>
    <row r="691" spans="1:8" ht="15.75" customHeight="1" x14ac:dyDescent="0.25">
      <c r="A691" s="5"/>
      <c r="B691" s="5"/>
      <c r="C691" s="18"/>
      <c r="D691" s="18"/>
      <c r="E691" s="18"/>
      <c r="F691" s="18"/>
      <c r="G691" s="18"/>
      <c r="H691" s="18"/>
    </row>
    <row r="692" spans="1:8" ht="15.75" customHeight="1" x14ac:dyDescent="0.25">
      <c r="A692" s="5"/>
      <c r="B692" s="5"/>
      <c r="C692" s="18"/>
      <c r="D692" s="18"/>
      <c r="E692" s="18"/>
      <c r="F692" s="18"/>
      <c r="G692" s="18"/>
      <c r="H692" s="18"/>
    </row>
    <row r="693" spans="1:8" ht="15.75" customHeight="1" x14ac:dyDescent="0.25">
      <c r="A693" s="5"/>
      <c r="B693" s="5"/>
      <c r="C693" s="18"/>
      <c r="D693" s="18"/>
      <c r="E693" s="18"/>
      <c r="F693" s="18"/>
      <c r="G693" s="18"/>
      <c r="H693" s="18"/>
    </row>
    <row r="694" spans="1:8" ht="15.75" customHeight="1" x14ac:dyDescent="0.25">
      <c r="A694" s="5"/>
      <c r="B694" s="5"/>
      <c r="C694" s="18"/>
      <c r="D694" s="18"/>
      <c r="E694" s="18"/>
      <c r="F694" s="18"/>
      <c r="G694" s="18"/>
      <c r="H694" s="18"/>
    </row>
    <row r="695" spans="1:8" ht="15.75" customHeight="1" x14ac:dyDescent="0.25">
      <c r="A695" s="5"/>
      <c r="B695" s="5"/>
      <c r="C695" s="18"/>
      <c r="D695" s="18"/>
      <c r="E695" s="18"/>
      <c r="F695" s="18"/>
      <c r="G695" s="18"/>
      <c r="H695" s="18"/>
    </row>
    <row r="696" spans="1:8" ht="15.75" customHeight="1" x14ac:dyDescent="0.25">
      <c r="A696" s="5"/>
      <c r="B696" s="5"/>
      <c r="C696" s="18"/>
      <c r="D696" s="18"/>
      <c r="E696" s="18"/>
      <c r="F696" s="18"/>
      <c r="G696" s="18"/>
      <c r="H696" s="18"/>
    </row>
    <row r="697" spans="1:8" ht="15.75" customHeight="1" x14ac:dyDescent="0.25">
      <c r="A697" s="5"/>
      <c r="B697" s="5"/>
      <c r="C697" s="18"/>
      <c r="D697" s="18"/>
      <c r="E697" s="18"/>
      <c r="F697" s="18"/>
      <c r="G697" s="18"/>
      <c r="H697" s="18"/>
    </row>
    <row r="698" spans="1:8" ht="15.75" customHeight="1" x14ac:dyDescent="0.25">
      <c r="A698" s="5"/>
      <c r="B698" s="5"/>
      <c r="C698" s="18"/>
      <c r="D698" s="18"/>
      <c r="E698" s="18"/>
      <c r="F698" s="18"/>
      <c r="G698" s="18"/>
      <c r="H698" s="18"/>
    </row>
    <row r="699" spans="1:8" ht="15.75" customHeight="1" x14ac:dyDescent="0.25">
      <c r="A699" s="5"/>
      <c r="B699" s="5"/>
      <c r="C699" s="18"/>
      <c r="D699" s="18"/>
      <c r="E699" s="18"/>
      <c r="F699" s="18"/>
      <c r="G699" s="18"/>
      <c r="H699" s="18"/>
    </row>
    <row r="700" spans="1:8" ht="15.75" customHeight="1" x14ac:dyDescent="0.25">
      <c r="A700" s="5"/>
      <c r="B700" s="5"/>
      <c r="C700" s="18"/>
      <c r="D700" s="18"/>
      <c r="E700" s="18"/>
      <c r="F700" s="18"/>
      <c r="G700" s="18"/>
      <c r="H700" s="18"/>
    </row>
    <row r="701" spans="1:8" ht="15.75" customHeight="1" x14ac:dyDescent="0.25">
      <c r="A701" s="5"/>
      <c r="B701" s="5"/>
      <c r="C701" s="18"/>
      <c r="D701" s="18"/>
      <c r="E701" s="18"/>
      <c r="F701" s="18"/>
      <c r="G701" s="18"/>
      <c r="H701" s="18"/>
    </row>
    <row r="702" spans="1:8" ht="15.75" customHeight="1" x14ac:dyDescent="0.25">
      <c r="A702" s="5"/>
      <c r="B702" s="5"/>
      <c r="C702" s="18"/>
      <c r="D702" s="18"/>
      <c r="E702" s="18"/>
      <c r="F702" s="18"/>
      <c r="G702" s="18"/>
      <c r="H702" s="18"/>
    </row>
    <row r="703" spans="1:8" ht="15.75" customHeight="1" x14ac:dyDescent="0.25">
      <c r="A703" s="5"/>
      <c r="B703" s="5"/>
      <c r="C703" s="18"/>
      <c r="D703" s="18"/>
      <c r="E703" s="18"/>
      <c r="F703" s="18"/>
      <c r="G703" s="18"/>
      <c r="H703" s="18"/>
    </row>
    <row r="704" spans="1:8" ht="15.75" customHeight="1" x14ac:dyDescent="0.25">
      <c r="A704" s="5"/>
      <c r="B704" s="5"/>
      <c r="C704" s="18"/>
      <c r="D704" s="18"/>
      <c r="E704" s="18"/>
      <c r="F704" s="18"/>
      <c r="G704" s="18"/>
      <c r="H704" s="18"/>
    </row>
    <row r="705" spans="1:8" ht="15.75" customHeight="1" x14ac:dyDescent="0.25">
      <c r="A705" s="5"/>
      <c r="B705" s="5"/>
      <c r="C705" s="18"/>
      <c r="D705" s="18"/>
      <c r="E705" s="18"/>
      <c r="F705" s="18"/>
      <c r="G705" s="18"/>
      <c r="H705" s="18"/>
    </row>
    <row r="706" spans="1:8" ht="15.75" customHeight="1" x14ac:dyDescent="0.25">
      <c r="A706" s="5"/>
      <c r="B706" s="5"/>
      <c r="C706" s="18"/>
      <c r="D706" s="18"/>
      <c r="E706" s="18"/>
      <c r="F706" s="18"/>
      <c r="G706" s="18"/>
      <c r="H706" s="18"/>
    </row>
    <row r="707" spans="1:8" ht="15.75" customHeight="1" x14ac:dyDescent="0.25">
      <c r="A707" s="5"/>
      <c r="B707" s="5"/>
      <c r="C707" s="18"/>
      <c r="D707" s="18"/>
      <c r="E707" s="18"/>
      <c r="F707" s="18"/>
      <c r="G707" s="18"/>
      <c r="H707" s="18"/>
    </row>
    <row r="708" spans="1:8" ht="15.75" customHeight="1" x14ac:dyDescent="0.25">
      <c r="A708" s="5"/>
      <c r="B708" s="5"/>
      <c r="C708" s="18"/>
      <c r="D708" s="18"/>
      <c r="E708" s="18"/>
      <c r="F708" s="18"/>
      <c r="G708" s="18"/>
      <c r="H708" s="18"/>
    </row>
    <row r="709" spans="1:8" ht="15.75" customHeight="1" x14ac:dyDescent="0.25">
      <c r="A709" s="5"/>
      <c r="B709" s="5"/>
      <c r="C709" s="18"/>
      <c r="D709" s="18"/>
      <c r="E709" s="18"/>
      <c r="F709" s="18"/>
      <c r="G709" s="18"/>
      <c r="H709" s="18"/>
    </row>
    <row r="710" spans="1:8" ht="15.75" customHeight="1" x14ac:dyDescent="0.25">
      <c r="A710" s="5"/>
      <c r="B710" s="5"/>
      <c r="C710" s="18"/>
      <c r="D710" s="18"/>
      <c r="E710" s="18"/>
      <c r="F710" s="18"/>
      <c r="G710" s="18"/>
      <c r="H710" s="18"/>
    </row>
    <row r="711" spans="1:8" ht="15.75" customHeight="1" x14ac:dyDescent="0.25">
      <c r="A711" s="5"/>
      <c r="B711" s="5"/>
      <c r="C711" s="18"/>
      <c r="D711" s="18"/>
      <c r="E711" s="18"/>
      <c r="F711" s="18"/>
      <c r="G711" s="18"/>
      <c r="H711" s="18"/>
    </row>
    <row r="712" spans="1:8" ht="15.75" customHeight="1" x14ac:dyDescent="0.25">
      <c r="A712" s="5"/>
      <c r="B712" s="5"/>
      <c r="C712" s="18"/>
      <c r="D712" s="18"/>
      <c r="E712" s="18"/>
      <c r="F712" s="18"/>
      <c r="G712" s="18"/>
      <c r="H712" s="18"/>
    </row>
    <row r="713" spans="1:8" ht="15.75" customHeight="1" x14ac:dyDescent="0.25">
      <c r="A713" s="5"/>
      <c r="B713" s="5"/>
      <c r="C713" s="18"/>
      <c r="D713" s="18"/>
      <c r="E713" s="18"/>
      <c r="F713" s="18"/>
      <c r="G713" s="18"/>
      <c r="H713" s="18"/>
    </row>
    <row r="714" spans="1:8" ht="15.75" customHeight="1" x14ac:dyDescent="0.25">
      <c r="A714" s="5"/>
      <c r="B714" s="5"/>
      <c r="C714" s="18"/>
      <c r="D714" s="18"/>
      <c r="E714" s="18"/>
      <c r="F714" s="18"/>
      <c r="G714" s="18"/>
      <c r="H714" s="18"/>
    </row>
    <row r="715" spans="1:8" ht="15.75" customHeight="1" x14ac:dyDescent="0.25">
      <c r="A715" s="5"/>
      <c r="B715" s="5"/>
      <c r="C715" s="18"/>
      <c r="D715" s="18"/>
      <c r="E715" s="18"/>
      <c r="F715" s="18"/>
      <c r="G715" s="18"/>
      <c r="H715" s="18"/>
    </row>
    <row r="716" spans="1:8" ht="15.75" customHeight="1" x14ac:dyDescent="0.25">
      <c r="A716" s="5"/>
      <c r="B716" s="5"/>
      <c r="C716" s="18"/>
      <c r="D716" s="18"/>
      <c r="E716" s="18"/>
      <c r="F716" s="18"/>
      <c r="G716" s="18"/>
      <c r="H716" s="18"/>
    </row>
    <row r="717" spans="1:8" ht="15.75" customHeight="1" x14ac:dyDescent="0.25">
      <c r="A717" s="5"/>
      <c r="B717" s="5"/>
      <c r="C717" s="18"/>
      <c r="D717" s="18"/>
      <c r="E717" s="18"/>
      <c r="F717" s="18"/>
      <c r="G717" s="18"/>
      <c r="H717" s="18"/>
    </row>
    <row r="718" spans="1:8" ht="15.75" customHeight="1" x14ac:dyDescent="0.25">
      <c r="A718" s="5"/>
      <c r="B718" s="5"/>
      <c r="C718" s="18"/>
      <c r="D718" s="18"/>
      <c r="E718" s="18"/>
      <c r="F718" s="18"/>
      <c r="G718" s="18"/>
      <c r="H718" s="18"/>
    </row>
    <row r="719" spans="1:8" ht="15.75" customHeight="1" x14ac:dyDescent="0.25">
      <c r="A719" s="5"/>
      <c r="B719" s="5"/>
      <c r="C719" s="18"/>
      <c r="D719" s="18"/>
      <c r="E719" s="18"/>
      <c r="F719" s="18"/>
      <c r="G719" s="18"/>
      <c r="H719" s="18"/>
    </row>
    <row r="720" spans="1:8" ht="15.75" customHeight="1" x14ac:dyDescent="0.25">
      <c r="A720" s="5"/>
      <c r="B720" s="5"/>
      <c r="C720" s="18"/>
      <c r="D720" s="18"/>
      <c r="E720" s="18"/>
      <c r="F720" s="18"/>
      <c r="G720" s="18"/>
      <c r="H720" s="18"/>
    </row>
    <row r="721" spans="1:8" ht="15.75" customHeight="1" x14ac:dyDescent="0.25">
      <c r="A721" s="5"/>
      <c r="B721" s="5"/>
      <c r="C721" s="18"/>
      <c r="D721" s="18"/>
      <c r="E721" s="18"/>
      <c r="F721" s="18"/>
      <c r="G721" s="18"/>
      <c r="H721" s="18"/>
    </row>
    <row r="722" spans="1:8" ht="15.75" customHeight="1" x14ac:dyDescent="0.25">
      <c r="A722" s="5"/>
      <c r="B722" s="5"/>
      <c r="C722" s="18"/>
      <c r="D722" s="18"/>
      <c r="E722" s="18"/>
      <c r="F722" s="18"/>
      <c r="G722" s="18"/>
      <c r="H722" s="18"/>
    </row>
    <row r="723" spans="1:8" ht="15.75" customHeight="1" x14ac:dyDescent="0.25">
      <c r="A723" s="5"/>
      <c r="B723" s="5"/>
      <c r="C723" s="18"/>
      <c r="D723" s="18"/>
      <c r="E723" s="18"/>
      <c r="F723" s="18"/>
      <c r="G723" s="18"/>
      <c r="H723" s="18"/>
    </row>
    <row r="724" spans="1:8" ht="15.75" customHeight="1" x14ac:dyDescent="0.25">
      <c r="A724" s="5"/>
      <c r="B724" s="5"/>
      <c r="C724" s="18"/>
      <c r="D724" s="18"/>
      <c r="E724" s="18"/>
      <c r="F724" s="18"/>
      <c r="G724" s="18"/>
      <c r="H724" s="18"/>
    </row>
    <row r="725" spans="1:8" ht="15.75" customHeight="1" x14ac:dyDescent="0.25">
      <c r="A725" s="5"/>
      <c r="B725" s="5"/>
      <c r="C725" s="18"/>
      <c r="D725" s="18"/>
      <c r="E725" s="18"/>
      <c r="F725" s="18"/>
      <c r="G725" s="18"/>
      <c r="H725" s="18"/>
    </row>
    <row r="726" spans="1:8" ht="15.75" customHeight="1" x14ac:dyDescent="0.25">
      <c r="A726" s="5"/>
      <c r="B726" s="5"/>
      <c r="C726" s="18"/>
      <c r="D726" s="18"/>
      <c r="E726" s="18"/>
      <c r="F726" s="18"/>
      <c r="G726" s="18"/>
      <c r="H726" s="18"/>
    </row>
    <row r="727" spans="1:8" ht="15.75" customHeight="1" x14ac:dyDescent="0.25">
      <c r="A727" s="5"/>
      <c r="B727" s="5"/>
      <c r="C727" s="18"/>
      <c r="D727" s="18"/>
      <c r="E727" s="18"/>
      <c r="F727" s="18"/>
      <c r="G727" s="18"/>
      <c r="H727" s="18"/>
    </row>
    <row r="728" spans="1:8" ht="15.75" customHeight="1" x14ac:dyDescent="0.25">
      <c r="A728" s="5"/>
      <c r="B728" s="5"/>
      <c r="C728" s="18"/>
      <c r="D728" s="18"/>
      <c r="E728" s="18"/>
      <c r="F728" s="18"/>
      <c r="G728" s="18"/>
      <c r="H728" s="18"/>
    </row>
    <row r="729" spans="1:8" ht="15.75" customHeight="1" x14ac:dyDescent="0.25">
      <c r="A729" s="5"/>
      <c r="B729" s="5"/>
      <c r="C729" s="18"/>
      <c r="D729" s="18"/>
      <c r="E729" s="18"/>
      <c r="F729" s="18"/>
      <c r="G729" s="18"/>
      <c r="H729" s="18"/>
    </row>
    <row r="730" spans="1:8" ht="15.75" customHeight="1" x14ac:dyDescent="0.25">
      <c r="A730" s="5"/>
      <c r="B730" s="5"/>
      <c r="C730" s="18"/>
      <c r="D730" s="18"/>
      <c r="E730" s="18"/>
      <c r="F730" s="18"/>
      <c r="G730" s="18"/>
      <c r="H730" s="18"/>
    </row>
    <row r="731" spans="1:8" ht="15.75" customHeight="1" x14ac:dyDescent="0.25">
      <c r="A731" s="5"/>
      <c r="B731" s="5"/>
      <c r="C731" s="18"/>
      <c r="D731" s="18"/>
      <c r="E731" s="18"/>
      <c r="F731" s="18"/>
      <c r="G731" s="18"/>
      <c r="H731" s="18"/>
    </row>
    <row r="732" spans="1:8" ht="15.75" customHeight="1" x14ac:dyDescent="0.25">
      <c r="A732" s="5"/>
      <c r="B732" s="5"/>
      <c r="C732" s="18"/>
      <c r="D732" s="18"/>
      <c r="E732" s="18"/>
      <c r="F732" s="18"/>
      <c r="G732" s="18"/>
      <c r="H732" s="18"/>
    </row>
    <row r="733" spans="1:8" ht="15.75" customHeight="1" x14ac:dyDescent="0.25">
      <c r="A733" s="5"/>
      <c r="B733" s="5"/>
      <c r="C733" s="18"/>
      <c r="D733" s="18"/>
      <c r="E733" s="18"/>
      <c r="F733" s="18"/>
      <c r="G733" s="18"/>
      <c r="H733" s="18"/>
    </row>
    <row r="734" spans="1:8" ht="15.75" customHeight="1" x14ac:dyDescent="0.25">
      <c r="A734" s="5"/>
      <c r="B734" s="5"/>
      <c r="C734" s="18"/>
      <c r="D734" s="18"/>
      <c r="E734" s="18"/>
      <c r="F734" s="18"/>
      <c r="G734" s="18"/>
      <c r="H734" s="18"/>
    </row>
    <row r="735" spans="1:8" ht="15.75" customHeight="1" x14ac:dyDescent="0.25">
      <c r="A735" s="5"/>
      <c r="B735" s="5"/>
      <c r="C735" s="18"/>
      <c r="D735" s="18"/>
      <c r="E735" s="18"/>
      <c r="F735" s="18"/>
      <c r="G735" s="18"/>
      <c r="H735" s="18"/>
    </row>
    <row r="736" spans="1:8" ht="15.75" customHeight="1" x14ac:dyDescent="0.25">
      <c r="A736" s="5"/>
      <c r="B736" s="5"/>
      <c r="C736" s="18"/>
      <c r="D736" s="18"/>
      <c r="E736" s="18"/>
      <c r="F736" s="18"/>
      <c r="G736" s="18"/>
      <c r="H736" s="18"/>
    </row>
    <row r="737" spans="1:8" ht="15.75" customHeight="1" x14ac:dyDescent="0.25">
      <c r="A737" s="5"/>
      <c r="B737" s="5"/>
      <c r="C737" s="18"/>
      <c r="D737" s="18"/>
      <c r="E737" s="18"/>
      <c r="F737" s="18"/>
      <c r="G737" s="18"/>
      <c r="H737" s="18"/>
    </row>
    <row r="738" spans="1:8" ht="15.75" customHeight="1" x14ac:dyDescent="0.25">
      <c r="A738" s="5"/>
      <c r="B738" s="5"/>
      <c r="C738" s="18"/>
      <c r="D738" s="18"/>
      <c r="E738" s="18"/>
      <c r="F738" s="18"/>
      <c r="G738" s="18"/>
      <c r="H738" s="18"/>
    </row>
    <row r="739" spans="1:8" ht="15.75" customHeight="1" x14ac:dyDescent="0.25">
      <c r="A739" s="5"/>
      <c r="B739" s="5"/>
      <c r="C739" s="18"/>
      <c r="D739" s="18"/>
      <c r="E739" s="18"/>
      <c r="F739" s="18"/>
      <c r="G739" s="18"/>
      <c r="H739" s="18"/>
    </row>
    <row r="740" spans="1:8" ht="15.75" customHeight="1" x14ac:dyDescent="0.25">
      <c r="A740" s="5"/>
      <c r="B740" s="5"/>
      <c r="C740" s="18"/>
      <c r="D740" s="18"/>
      <c r="E740" s="18"/>
      <c r="F740" s="18"/>
      <c r="G740" s="18"/>
      <c r="H740" s="18"/>
    </row>
    <row r="741" spans="1:8" ht="15.75" customHeight="1" x14ac:dyDescent="0.25">
      <c r="A741" s="5"/>
      <c r="B741" s="5"/>
      <c r="C741" s="18"/>
      <c r="D741" s="18"/>
      <c r="E741" s="18"/>
      <c r="F741" s="18"/>
      <c r="G741" s="18"/>
      <c r="H741" s="18"/>
    </row>
    <row r="742" spans="1:8" ht="15.75" customHeight="1" x14ac:dyDescent="0.25">
      <c r="A742" s="5"/>
      <c r="B742" s="5"/>
      <c r="C742" s="18"/>
      <c r="D742" s="18"/>
      <c r="E742" s="18"/>
      <c r="F742" s="18"/>
      <c r="G742" s="18"/>
      <c r="H742" s="18"/>
    </row>
    <row r="743" spans="1:8" ht="15.75" customHeight="1" x14ac:dyDescent="0.25">
      <c r="A743" s="5"/>
      <c r="B743" s="5"/>
      <c r="C743" s="18"/>
      <c r="D743" s="18"/>
      <c r="E743" s="18"/>
      <c r="F743" s="18"/>
      <c r="G743" s="18"/>
      <c r="H743" s="18"/>
    </row>
    <row r="744" spans="1:8" ht="15.75" customHeight="1" x14ac:dyDescent="0.25">
      <c r="A744" s="5"/>
      <c r="B744" s="5"/>
      <c r="C744" s="18"/>
      <c r="D744" s="18"/>
      <c r="E744" s="18"/>
      <c r="F744" s="18"/>
      <c r="G744" s="18"/>
      <c r="H744" s="18"/>
    </row>
    <row r="745" spans="1:8" ht="15.75" customHeight="1" x14ac:dyDescent="0.25">
      <c r="A745" s="5"/>
      <c r="B745" s="5"/>
      <c r="C745" s="18"/>
      <c r="D745" s="18"/>
      <c r="E745" s="18"/>
      <c r="F745" s="18"/>
      <c r="G745" s="18"/>
      <c r="H745" s="18"/>
    </row>
    <row r="746" spans="1:8" ht="15.75" customHeight="1" x14ac:dyDescent="0.25">
      <c r="A746" s="5"/>
      <c r="B746" s="5"/>
      <c r="C746" s="18"/>
      <c r="D746" s="18"/>
      <c r="E746" s="18"/>
      <c r="F746" s="18"/>
      <c r="G746" s="18"/>
      <c r="H746" s="18"/>
    </row>
    <row r="747" spans="1:8" ht="15.75" customHeight="1" x14ac:dyDescent="0.25">
      <c r="A747" s="5"/>
      <c r="B747" s="5"/>
      <c r="C747" s="18"/>
      <c r="D747" s="18"/>
      <c r="E747" s="18"/>
      <c r="F747" s="18"/>
      <c r="G747" s="18"/>
      <c r="H747" s="18"/>
    </row>
    <row r="748" spans="1:8" ht="15.75" customHeight="1" x14ac:dyDescent="0.25">
      <c r="A748" s="5"/>
      <c r="B748" s="5"/>
      <c r="C748" s="18"/>
      <c r="D748" s="18"/>
      <c r="E748" s="18"/>
      <c r="F748" s="18"/>
      <c r="G748" s="18"/>
      <c r="H748" s="18"/>
    </row>
    <row r="749" spans="1:8" ht="15.75" customHeight="1" x14ac:dyDescent="0.25">
      <c r="A749" s="5"/>
      <c r="B749" s="5"/>
      <c r="C749" s="18"/>
      <c r="D749" s="18"/>
      <c r="E749" s="18"/>
      <c r="F749" s="18"/>
      <c r="G749" s="18"/>
      <c r="H749" s="18"/>
    </row>
    <row r="750" spans="1:8" ht="15.75" customHeight="1" x14ac:dyDescent="0.25">
      <c r="A750" s="5"/>
      <c r="B750" s="5"/>
      <c r="C750" s="18"/>
      <c r="D750" s="18"/>
      <c r="E750" s="18"/>
      <c r="F750" s="18"/>
      <c r="G750" s="18"/>
      <c r="H750" s="18"/>
    </row>
    <row r="751" spans="1:8" ht="15.75" customHeight="1" x14ac:dyDescent="0.25">
      <c r="A751" s="5"/>
      <c r="B751" s="5"/>
      <c r="C751" s="18"/>
      <c r="D751" s="18"/>
      <c r="E751" s="18"/>
      <c r="F751" s="18"/>
      <c r="G751" s="18"/>
      <c r="H751" s="18"/>
    </row>
    <row r="752" spans="1:8" ht="15.75" customHeight="1" x14ac:dyDescent="0.25">
      <c r="A752" s="5"/>
      <c r="B752" s="5"/>
      <c r="C752" s="18"/>
      <c r="D752" s="18"/>
      <c r="E752" s="18"/>
      <c r="F752" s="18"/>
      <c r="G752" s="18"/>
      <c r="H752" s="18"/>
    </row>
    <row r="753" spans="1:8" ht="15.75" customHeight="1" x14ac:dyDescent="0.25">
      <c r="A753" s="5"/>
      <c r="B753" s="5"/>
      <c r="C753" s="18"/>
      <c r="D753" s="18"/>
      <c r="E753" s="18"/>
      <c r="F753" s="18"/>
      <c r="G753" s="18"/>
      <c r="H753" s="18"/>
    </row>
    <row r="754" spans="1:8" ht="15.75" customHeight="1" x14ac:dyDescent="0.25">
      <c r="A754" s="5"/>
      <c r="B754" s="5"/>
      <c r="C754" s="18"/>
      <c r="D754" s="18"/>
      <c r="E754" s="18"/>
      <c r="F754" s="18"/>
      <c r="G754" s="18"/>
      <c r="H754" s="18"/>
    </row>
    <row r="755" spans="1:8" ht="15.75" customHeight="1" x14ac:dyDescent="0.25">
      <c r="A755" s="5"/>
      <c r="B755" s="5"/>
      <c r="C755" s="18"/>
      <c r="D755" s="18"/>
      <c r="E755" s="18"/>
      <c r="F755" s="18"/>
      <c r="G755" s="18"/>
      <c r="H755" s="18"/>
    </row>
    <row r="756" spans="1:8" ht="15.75" customHeight="1" x14ac:dyDescent="0.25">
      <c r="A756" s="5"/>
      <c r="B756" s="5"/>
      <c r="C756" s="18"/>
      <c r="D756" s="18"/>
      <c r="E756" s="18"/>
      <c r="F756" s="18"/>
      <c r="G756" s="18"/>
      <c r="H756" s="18"/>
    </row>
    <row r="757" spans="1:8" ht="15.75" customHeight="1" x14ac:dyDescent="0.25">
      <c r="A757" s="5"/>
      <c r="B757" s="5"/>
      <c r="C757" s="18"/>
      <c r="D757" s="18"/>
      <c r="E757" s="18"/>
      <c r="F757" s="18"/>
      <c r="G757" s="18"/>
      <c r="H757" s="18"/>
    </row>
    <row r="758" spans="1:8" ht="15.75" customHeight="1" x14ac:dyDescent="0.25">
      <c r="A758" s="5"/>
      <c r="B758" s="5"/>
      <c r="C758" s="18"/>
      <c r="D758" s="18"/>
      <c r="E758" s="18"/>
      <c r="F758" s="18"/>
      <c r="G758" s="18"/>
      <c r="H758" s="18"/>
    </row>
    <row r="759" spans="1:8" ht="15.75" customHeight="1" x14ac:dyDescent="0.25">
      <c r="A759" s="5"/>
      <c r="B759" s="5"/>
      <c r="C759" s="18"/>
      <c r="D759" s="18"/>
      <c r="E759" s="18"/>
      <c r="F759" s="18"/>
      <c r="G759" s="18"/>
      <c r="H759" s="18"/>
    </row>
    <row r="760" spans="1:8" ht="15.75" customHeight="1" x14ac:dyDescent="0.25">
      <c r="A760" s="5"/>
      <c r="B760" s="5"/>
      <c r="C760" s="18"/>
      <c r="D760" s="18"/>
      <c r="E760" s="18"/>
      <c r="F760" s="18"/>
      <c r="G760" s="18"/>
      <c r="H760" s="18"/>
    </row>
    <row r="761" spans="1:8" ht="15.75" customHeight="1" x14ac:dyDescent="0.25">
      <c r="A761" s="5"/>
      <c r="B761" s="5"/>
      <c r="C761" s="18"/>
      <c r="D761" s="18"/>
      <c r="E761" s="18"/>
      <c r="F761" s="18"/>
      <c r="G761" s="18"/>
      <c r="H761" s="18"/>
    </row>
    <row r="762" spans="1:8" ht="15.75" customHeight="1" x14ac:dyDescent="0.25">
      <c r="A762" s="5"/>
      <c r="B762" s="5"/>
      <c r="C762" s="18"/>
      <c r="D762" s="18"/>
      <c r="E762" s="18"/>
      <c r="F762" s="18"/>
      <c r="G762" s="18"/>
      <c r="H762" s="18"/>
    </row>
    <row r="763" spans="1:8" ht="15.75" customHeight="1" x14ac:dyDescent="0.25">
      <c r="A763" s="5"/>
      <c r="B763" s="5"/>
      <c r="C763" s="18"/>
      <c r="D763" s="18"/>
      <c r="E763" s="18"/>
      <c r="F763" s="18"/>
      <c r="G763" s="18"/>
      <c r="H763" s="18"/>
    </row>
    <row r="764" spans="1:8" ht="15.75" customHeight="1" x14ac:dyDescent="0.25">
      <c r="A764" s="5"/>
      <c r="B764" s="5"/>
      <c r="C764" s="18"/>
      <c r="D764" s="18"/>
      <c r="E764" s="18"/>
      <c r="F764" s="18"/>
      <c r="G764" s="18"/>
      <c r="H764" s="18"/>
    </row>
    <row r="765" spans="1:8" ht="15.75" customHeight="1" x14ac:dyDescent="0.25">
      <c r="A765" s="5"/>
      <c r="B765" s="5"/>
      <c r="C765" s="18"/>
      <c r="D765" s="18"/>
      <c r="E765" s="18"/>
      <c r="F765" s="18"/>
      <c r="G765" s="18"/>
      <c r="H765" s="18"/>
    </row>
    <row r="766" spans="1:8" ht="15.75" customHeight="1" x14ac:dyDescent="0.25">
      <c r="A766" s="5"/>
      <c r="B766" s="5"/>
      <c r="C766" s="18"/>
      <c r="D766" s="18"/>
      <c r="E766" s="18"/>
      <c r="F766" s="18"/>
      <c r="G766" s="18"/>
      <c r="H766" s="18"/>
    </row>
    <row r="767" spans="1:8" ht="15.75" customHeight="1" x14ac:dyDescent="0.25">
      <c r="A767" s="5"/>
      <c r="B767" s="5"/>
      <c r="C767" s="18"/>
      <c r="D767" s="18"/>
      <c r="E767" s="18"/>
      <c r="F767" s="18"/>
      <c r="G767" s="18"/>
      <c r="H767" s="18"/>
    </row>
    <row r="768" spans="1:8" ht="15.75" customHeight="1" x14ac:dyDescent="0.25">
      <c r="A768" s="5"/>
      <c r="B768" s="5"/>
      <c r="C768" s="18"/>
      <c r="D768" s="18"/>
      <c r="E768" s="18"/>
      <c r="F768" s="18"/>
      <c r="G768" s="18"/>
      <c r="H768" s="18"/>
    </row>
    <row r="769" spans="1:8" ht="15.75" customHeight="1" x14ac:dyDescent="0.25">
      <c r="A769" s="5"/>
      <c r="B769" s="5"/>
      <c r="C769" s="18"/>
      <c r="D769" s="18"/>
      <c r="E769" s="18"/>
      <c r="F769" s="18"/>
      <c r="G769" s="18"/>
      <c r="H769" s="18"/>
    </row>
    <row r="770" spans="1:8" ht="15.75" customHeight="1" x14ac:dyDescent="0.25">
      <c r="A770" s="5"/>
      <c r="B770" s="5"/>
      <c r="C770" s="18"/>
      <c r="D770" s="18"/>
      <c r="E770" s="18"/>
      <c r="F770" s="18"/>
      <c r="G770" s="18"/>
      <c r="H770" s="18"/>
    </row>
    <row r="771" spans="1:8" ht="15.75" customHeight="1" x14ac:dyDescent="0.25">
      <c r="A771" s="5"/>
      <c r="B771" s="5"/>
      <c r="C771" s="18"/>
      <c r="D771" s="18"/>
      <c r="E771" s="18"/>
      <c r="F771" s="18"/>
      <c r="G771" s="18"/>
      <c r="H771" s="18"/>
    </row>
    <row r="772" spans="1:8" ht="15.75" customHeight="1" x14ac:dyDescent="0.25">
      <c r="A772" s="5"/>
      <c r="B772" s="5"/>
      <c r="C772" s="18"/>
      <c r="D772" s="18"/>
      <c r="E772" s="18"/>
      <c r="F772" s="18"/>
      <c r="G772" s="18"/>
      <c r="H772" s="18"/>
    </row>
    <row r="773" spans="1:8" ht="15.75" customHeight="1" x14ac:dyDescent="0.25">
      <c r="A773" s="5"/>
      <c r="B773" s="5"/>
      <c r="C773" s="18"/>
      <c r="D773" s="18"/>
      <c r="E773" s="18"/>
      <c r="F773" s="18"/>
      <c r="G773" s="18"/>
      <c r="H773" s="18"/>
    </row>
    <row r="774" spans="1:8" ht="15.75" customHeight="1" x14ac:dyDescent="0.25">
      <c r="A774" s="5"/>
      <c r="B774" s="5"/>
      <c r="C774" s="18"/>
      <c r="D774" s="18"/>
      <c r="E774" s="18"/>
      <c r="F774" s="18"/>
      <c r="G774" s="18"/>
      <c r="H774" s="18"/>
    </row>
    <row r="775" spans="1:8" ht="15.75" customHeight="1" x14ac:dyDescent="0.25">
      <c r="A775" s="5"/>
      <c r="B775" s="5"/>
      <c r="C775" s="18"/>
      <c r="D775" s="18"/>
      <c r="E775" s="18"/>
      <c r="F775" s="18"/>
      <c r="G775" s="18"/>
      <c r="H775" s="18"/>
    </row>
    <row r="776" spans="1:8" ht="15.75" customHeight="1" x14ac:dyDescent="0.25">
      <c r="A776" s="5"/>
      <c r="B776" s="5"/>
      <c r="C776" s="18"/>
      <c r="D776" s="18"/>
      <c r="E776" s="18"/>
      <c r="F776" s="18"/>
      <c r="G776" s="18"/>
      <c r="H776" s="18"/>
    </row>
    <row r="777" spans="1:8" ht="15.75" customHeight="1" x14ac:dyDescent="0.25">
      <c r="A777" s="5"/>
      <c r="B777" s="5"/>
      <c r="C777" s="18"/>
      <c r="D777" s="18"/>
      <c r="E777" s="18"/>
      <c r="F777" s="18"/>
      <c r="G777" s="18"/>
      <c r="H777" s="18"/>
    </row>
    <row r="778" spans="1:8" ht="15.75" customHeight="1" x14ac:dyDescent="0.25">
      <c r="A778" s="5"/>
      <c r="B778" s="5"/>
      <c r="C778" s="18"/>
      <c r="D778" s="18"/>
      <c r="E778" s="18"/>
      <c r="F778" s="18"/>
      <c r="G778" s="18"/>
      <c r="H778" s="18"/>
    </row>
    <row r="779" spans="1:8" ht="15.75" customHeight="1" x14ac:dyDescent="0.25">
      <c r="A779" s="5"/>
      <c r="B779" s="5"/>
      <c r="C779" s="18"/>
      <c r="D779" s="18"/>
      <c r="E779" s="18"/>
      <c r="F779" s="18"/>
      <c r="G779" s="18"/>
      <c r="H779" s="18"/>
    </row>
    <row r="780" spans="1:8" ht="15.75" customHeight="1" x14ac:dyDescent="0.25">
      <c r="A780" s="5"/>
      <c r="B780" s="5"/>
      <c r="C780" s="18"/>
      <c r="D780" s="18"/>
      <c r="E780" s="18"/>
      <c r="F780" s="18"/>
      <c r="G780" s="18"/>
      <c r="H780" s="18"/>
    </row>
    <row r="781" spans="1:8" ht="15.75" customHeight="1" x14ac:dyDescent="0.25">
      <c r="A781" s="5"/>
      <c r="B781" s="5"/>
      <c r="C781" s="18"/>
      <c r="D781" s="18"/>
      <c r="E781" s="18"/>
      <c r="F781" s="18"/>
      <c r="G781" s="18"/>
      <c r="H781" s="18"/>
    </row>
    <row r="782" spans="1:8" ht="15.75" customHeight="1" x14ac:dyDescent="0.25">
      <c r="A782" s="5"/>
      <c r="B782" s="5"/>
      <c r="C782" s="18"/>
      <c r="D782" s="18"/>
      <c r="E782" s="18"/>
      <c r="F782" s="18"/>
      <c r="G782" s="18"/>
      <c r="H782" s="18"/>
    </row>
    <row r="783" spans="1:8" ht="15.75" customHeight="1" x14ac:dyDescent="0.25">
      <c r="A783" s="5"/>
      <c r="B783" s="5"/>
      <c r="C783" s="18"/>
      <c r="D783" s="18"/>
      <c r="E783" s="18"/>
      <c r="F783" s="18"/>
      <c r="G783" s="18"/>
      <c r="H783" s="18"/>
    </row>
    <row r="784" spans="1:8" ht="15.75" customHeight="1" x14ac:dyDescent="0.25">
      <c r="A784" s="5"/>
      <c r="B784" s="5"/>
      <c r="C784" s="18"/>
      <c r="D784" s="18"/>
      <c r="E784" s="18"/>
      <c r="F784" s="18"/>
      <c r="G784" s="18"/>
      <c r="H784" s="18"/>
    </row>
    <row r="785" spans="1:8" ht="15.75" customHeight="1" x14ac:dyDescent="0.25">
      <c r="A785" s="5"/>
      <c r="B785" s="5"/>
      <c r="C785" s="18"/>
      <c r="D785" s="18"/>
      <c r="E785" s="18"/>
      <c r="F785" s="18"/>
      <c r="G785" s="18"/>
      <c r="H785" s="18"/>
    </row>
    <row r="786" spans="1:8" ht="15.75" customHeight="1" x14ac:dyDescent="0.25">
      <c r="A786" s="5"/>
      <c r="B786" s="5"/>
      <c r="C786" s="18"/>
      <c r="D786" s="18"/>
      <c r="E786" s="18"/>
      <c r="F786" s="18"/>
      <c r="G786" s="18"/>
      <c r="H786" s="18"/>
    </row>
    <row r="787" spans="1:8" ht="15.75" customHeight="1" x14ac:dyDescent="0.25">
      <c r="A787" s="5"/>
      <c r="B787" s="5"/>
      <c r="C787" s="18"/>
      <c r="D787" s="18"/>
      <c r="E787" s="18"/>
      <c r="F787" s="18"/>
      <c r="G787" s="18"/>
      <c r="H787" s="18"/>
    </row>
    <row r="788" spans="1:8" ht="15.75" customHeight="1" x14ac:dyDescent="0.25">
      <c r="A788" s="5"/>
      <c r="B788" s="5"/>
      <c r="C788" s="18"/>
      <c r="D788" s="18"/>
      <c r="E788" s="18"/>
      <c r="F788" s="18"/>
      <c r="G788" s="18"/>
      <c r="H788" s="18"/>
    </row>
    <row r="789" spans="1:8" ht="15.75" customHeight="1" x14ac:dyDescent="0.25">
      <c r="A789" s="5"/>
      <c r="B789" s="5"/>
      <c r="C789" s="18"/>
      <c r="D789" s="18"/>
      <c r="E789" s="18"/>
      <c r="F789" s="18"/>
      <c r="G789" s="18"/>
      <c r="H789" s="18"/>
    </row>
    <row r="790" spans="1:8" ht="15.75" customHeight="1" x14ac:dyDescent="0.25">
      <c r="A790" s="5"/>
      <c r="B790" s="5"/>
      <c r="C790" s="18"/>
      <c r="D790" s="18"/>
      <c r="E790" s="18"/>
      <c r="F790" s="18"/>
      <c r="G790" s="18"/>
      <c r="H790" s="18"/>
    </row>
    <row r="791" spans="1:8" ht="15.75" customHeight="1" x14ac:dyDescent="0.25">
      <c r="A791" s="5"/>
      <c r="B791" s="5"/>
      <c r="C791" s="18"/>
      <c r="D791" s="18"/>
      <c r="E791" s="18"/>
      <c r="F791" s="18"/>
      <c r="G791" s="18"/>
      <c r="H791" s="18"/>
    </row>
    <row r="792" spans="1:8" ht="15.75" customHeight="1" x14ac:dyDescent="0.25">
      <c r="A792" s="5"/>
      <c r="B792" s="5"/>
      <c r="C792" s="18"/>
      <c r="D792" s="18"/>
      <c r="E792" s="18"/>
      <c r="F792" s="18"/>
      <c r="G792" s="18"/>
      <c r="H792" s="18"/>
    </row>
    <row r="793" spans="1:8" ht="15.75" customHeight="1" x14ac:dyDescent="0.25">
      <c r="A793" s="5"/>
      <c r="B793" s="5"/>
      <c r="C793" s="18"/>
      <c r="D793" s="18"/>
      <c r="E793" s="18"/>
      <c r="F793" s="18"/>
      <c r="G793" s="18"/>
      <c r="H793" s="18"/>
    </row>
    <row r="794" spans="1:8" ht="15.75" customHeight="1" x14ac:dyDescent="0.25">
      <c r="A794" s="5"/>
      <c r="B794" s="5"/>
      <c r="C794" s="18"/>
      <c r="D794" s="18"/>
      <c r="E794" s="18"/>
      <c r="F794" s="18"/>
      <c r="G794" s="18"/>
      <c r="H794" s="18"/>
    </row>
    <row r="795" spans="1:8" ht="15.75" customHeight="1" x14ac:dyDescent="0.25">
      <c r="A795" s="5"/>
      <c r="B795" s="5"/>
      <c r="C795" s="18"/>
      <c r="D795" s="18"/>
      <c r="E795" s="18"/>
      <c r="F795" s="18"/>
      <c r="G795" s="18"/>
      <c r="H795" s="18"/>
    </row>
    <row r="796" spans="1:8" ht="15.75" customHeight="1" x14ac:dyDescent="0.25">
      <c r="A796" s="5"/>
      <c r="B796" s="5"/>
      <c r="C796" s="18"/>
      <c r="D796" s="18"/>
      <c r="E796" s="18"/>
      <c r="F796" s="18"/>
      <c r="G796" s="18"/>
      <c r="H796" s="18"/>
    </row>
    <row r="797" spans="1:8" ht="15.75" customHeight="1" x14ac:dyDescent="0.25">
      <c r="A797" s="5"/>
      <c r="B797" s="5"/>
      <c r="C797" s="18"/>
      <c r="D797" s="18"/>
      <c r="E797" s="18"/>
      <c r="F797" s="18"/>
      <c r="G797" s="18"/>
      <c r="H797" s="18"/>
    </row>
    <row r="798" spans="1:8" ht="15.75" customHeight="1" x14ac:dyDescent="0.25">
      <c r="A798" s="5"/>
      <c r="B798" s="5"/>
      <c r="C798" s="18"/>
      <c r="D798" s="18"/>
      <c r="E798" s="18"/>
      <c r="F798" s="18"/>
      <c r="G798" s="18"/>
      <c r="H798" s="18"/>
    </row>
    <row r="799" spans="1:8" ht="15.75" customHeight="1" x14ac:dyDescent="0.25">
      <c r="A799" s="5"/>
      <c r="B799" s="5"/>
      <c r="C799" s="18"/>
      <c r="D799" s="18"/>
      <c r="E799" s="18"/>
      <c r="F799" s="18"/>
      <c r="G799" s="18"/>
      <c r="H799" s="18"/>
    </row>
    <row r="800" spans="1:8" ht="15.75" customHeight="1" x14ac:dyDescent="0.25">
      <c r="A800" s="5"/>
      <c r="B800" s="5"/>
      <c r="C800" s="18"/>
      <c r="D800" s="18"/>
      <c r="E800" s="18"/>
      <c r="F800" s="18"/>
      <c r="G800" s="18"/>
      <c r="H800" s="18"/>
    </row>
    <row r="801" spans="1:8" ht="15.75" customHeight="1" x14ac:dyDescent="0.25">
      <c r="A801" s="5"/>
      <c r="B801" s="5"/>
      <c r="C801" s="18"/>
      <c r="D801" s="18"/>
      <c r="E801" s="18"/>
      <c r="F801" s="18"/>
      <c r="G801" s="18"/>
      <c r="H801" s="18"/>
    </row>
    <row r="802" spans="1:8" ht="15.75" customHeight="1" x14ac:dyDescent="0.25">
      <c r="A802" s="5"/>
      <c r="B802" s="5"/>
      <c r="C802" s="18"/>
      <c r="D802" s="18"/>
      <c r="E802" s="18"/>
      <c r="F802" s="18"/>
      <c r="G802" s="18"/>
      <c r="H802" s="18"/>
    </row>
    <row r="803" spans="1:8" ht="15.75" customHeight="1" x14ac:dyDescent="0.25">
      <c r="A803" s="5"/>
      <c r="B803" s="5"/>
      <c r="C803" s="18"/>
      <c r="D803" s="18"/>
      <c r="E803" s="18"/>
      <c r="F803" s="18"/>
      <c r="G803" s="18"/>
      <c r="H803" s="18"/>
    </row>
    <row r="804" spans="1:8" ht="15.75" customHeight="1" x14ac:dyDescent="0.25">
      <c r="A804" s="5"/>
      <c r="B804" s="5"/>
      <c r="C804" s="18"/>
      <c r="D804" s="18"/>
      <c r="E804" s="18"/>
      <c r="F804" s="18"/>
      <c r="G804" s="18"/>
      <c r="H804" s="18"/>
    </row>
    <row r="805" spans="1:8" ht="15.75" customHeight="1" x14ac:dyDescent="0.25">
      <c r="A805" s="5"/>
      <c r="B805" s="5"/>
      <c r="C805" s="18"/>
      <c r="D805" s="18"/>
      <c r="E805" s="18"/>
      <c r="F805" s="18"/>
      <c r="G805" s="18"/>
      <c r="H805" s="18"/>
    </row>
    <row r="806" spans="1:8" ht="15.75" customHeight="1" x14ac:dyDescent="0.25">
      <c r="A806" s="5"/>
      <c r="B806" s="5"/>
      <c r="C806" s="18"/>
      <c r="D806" s="18"/>
      <c r="E806" s="18"/>
      <c r="F806" s="18"/>
      <c r="G806" s="18"/>
      <c r="H806" s="18"/>
    </row>
    <row r="807" spans="1:8" ht="15.75" customHeight="1" x14ac:dyDescent="0.25">
      <c r="A807" s="5"/>
      <c r="B807" s="5"/>
      <c r="C807" s="18"/>
      <c r="D807" s="18"/>
      <c r="E807" s="18"/>
      <c r="F807" s="18"/>
      <c r="G807" s="18"/>
      <c r="H807" s="18"/>
    </row>
    <row r="808" spans="1:8" ht="15.75" customHeight="1" x14ac:dyDescent="0.25">
      <c r="A808" s="5"/>
      <c r="B808" s="5"/>
      <c r="C808" s="18"/>
      <c r="D808" s="18"/>
      <c r="E808" s="18"/>
      <c r="F808" s="18"/>
      <c r="G808" s="18"/>
      <c r="H808" s="18"/>
    </row>
    <row r="809" spans="1:8" ht="15.75" customHeight="1" x14ac:dyDescent="0.25">
      <c r="A809" s="5"/>
      <c r="B809" s="5"/>
      <c r="C809" s="18"/>
      <c r="D809" s="18"/>
      <c r="E809" s="18"/>
      <c r="F809" s="18"/>
      <c r="G809" s="18"/>
      <c r="H809" s="18"/>
    </row>
    <row r="810" spans="1:8" ht="15.75" customHeight="1" x14ac:dyDescent="0.25">
      <c r="A810" s="5"/>
      <c r="B810" s="5"/>
      <c r="C810" s="18"/>
      <c r="D810" s="18"/>
      <c r="E810" s="18"/>
      <c r="F810" s="18"/>
      <c r="G810" s="18"/>
      <c r="H810" s="18"/>
    </row>
    <row r="811" spans="1:8" ht="15.75" customHeight="1" x14ac:dyDescent="0.25">
      <c r="A811" s="5"/>
      <c r="B811" s="5"/>
      <c r="C811" s="18"/>
      <c r="D811" s="18"/>
      <c r="E811" s="18"/>
      <c r="F811" s="18"/>
      <c r="G811" s="18"/>
      <c r="H811" s="18"/>
    </row>
    <row r="812" spans="1:8" ht="15.75" customHeight="1" x14ac:dyDescent="0.25">
      <c r="A812" s="5"/>
      <c r="B812" s="5"/>
      <c r="C812" s="18"/>
      <c r="D812" s="18"/>
      <c r="E812" s="18"/>
      <c r="F812" s="18"/>
      <c r="G812" s="18"/>
      <c r="H812" s="18"/>
    </row>
    <row r="813" spans="1:8" ht="15.75" customHeight="1" x14ac:dyDescent="0.25">
      <c r="A813" s="5"/>
      <c r="B813" s="5"/>
      <c r="C813" s="18"/>
      <c r="D813" s="18"/>
      <c r="E813" s="18"/>
      <c r="F813" s="18"/>
      <c r="G813" s="18"/>
      <c r="H813" s="18"/>
    </row>
    <row r="814" spans="1:8" ht="15.75" customHeight="1" x14ac:dyDescent="0.25">
      <c r="A814" s="5"/>
      <c r="B814" s="5"/>
      <c r="C814" s="18"/>
      <c r="D814" s="18"/>
      <c r="E814" s="18"/>
      <c r="F814" s="18"/>
      <c r="G814" s="18"/>
      <c r="H814" s="18"/>
    </row>
    <row r="815" spans="1:8" ht="15.75" customHeight="1" x14ac:dyDescent="0.25">
      <c r="A815" s="5"/>
      <c r="B815" s="5"/>
      <c r="C815" s="18"/>
      <c r="D815" s="18"/>
      <c r="E815" s="18"/>
      <c r="F815" s="18"/>
      <c r="G815" s="18"/>
      <c r="H815" s="18"/>
    </row>
    <row r="816" spans="1:8" ht="15.75" customHeight="1" x14ac:dyDescent="0.25">
      <c r="A816" s="5"/>
      <c r="B816" s="5"/>
      <c r="C816" s="18"/>
      <c r="D816" s="18"/>
      <c r="E816" s="18"/>
      <c r="F816" s="18"/>
      <c r="G816" s="18"/>
      <c r="H816" s="18"/>
    </row>
    <row r="817" spans="1:8" ht="15.75" customHeight="1" x14ac:dyDescent="0.25">
      <c r="A817" s="5"/>
      <c r="B817" s="5"/>
      <c r="C817" s="18"/>
      <c r="D817" s="18"/>
      <c r="E817" s="18"/>
      <c r="F817" s="18"/>
      <c r="G817" s="18"/>
      <c r="H817" s="18"/>
    </row>
    <row r="818" spans="1:8" ht="15.75" customHeight="1" x14ac:dyDescent="0.25">
      <c r="A818" s="5"/>
      <c r="B818" s="5"/>
      <c r="C818" s="18"/>
      <c r="D818" s="18"/>
      <c r="E818" s="18"/>
      <c r="F818" s="18"/>
      <c r="G818" s="18"/>
      <c r="H818" s="18"/>
    </row>
    <row r="819" spans="1:8" ht="15.75" customHeight="1" x14ac:dyDescent="0.25">
      <c r="A819" s="5"/>
      <c r="B819" s="5"/>
      <c r="C819" s="18"/>
      <c r="D819" s="18"/>
      <c r="E819" s="18"/>
      <c r="F819" s="18"/>
      <c r="G819" s="18"/>
      <c r="H819" s="18"/>
    </row>
    <row r="820" spans="1:8" ht="15.75" customHeight="1" x14ac:dyDescent="0.25">
      <c r="A820" s="5"/>
      <c r="B820" s="5"/>
      <c r="C820" s="18"/>
      <c r="D820" s="18"/>
      <c r="E820" s="18"/>
      <c r="F820" s="18"/>
      <c r="G820" s="18"/>
      <c r="H820" s="18"/>
    </row>
    <row r="821" spans="1:8" ht="15.75" customHeight="1" x14ac:dyDescent="0.25">
      <c r="A821" s="5"/>
      <c r="B821" s="5"/>
      <c r="C821" s="18"/>
      <c r="D821" s="18"/>
      <c r="E821" s="18"/>
      <c r="F821" s="18"/>
      <c r="G821" s="18"/>
      <c r="H821" s="18"/>
    </row>
    <row r="822" spans="1:8" ht="15.75" customHeight="1" x14ac:dyDescent="0.25">
      <c r="A822" s="5"/>
      <c r="B822" s="5"/>
      <c r="C822" s="18"/>
      <c r="D822" s="18"/>
      <c r="E822" s="18"/>
      <c r="F822" s="18"/>
      <c r="G822" s="18"/>
      <c r="H822" s="18"/>
    </row>
    <row r="823" spans="1:8" ht="15.75" customHeight="1" x14ac:dyDescent="0.25">
      <c r="A823" s="5"/>
      <c r="B823" s="5"/>
      <c r="C823" s="18"/>
      <c r="D823" s="18"/>
      <c r="E823" s="18"/>
      <c r="F823" s="18"/>
      <c r="G823" s="18"/>
      <c r="H823" s="18"/>
    </row>
    <row r="824" spans="1:8" ht="15.75" customHeight="1" x14ac:dyDescent="0.25">
      <c r="A824" s="5"/>
      <c r="B824" s="5"/>
      <c r="C824" s="18"/>
      <c r="D824" s="18"/>
      <c r="E824" s="18"/>
      <c r="F824" s="18"/>
      <c r="G824" s="18"/>
      <c r="H824" s="18"/>
    </row>
    <row r="825" spans="1:8" ht="15.75" customHeight="1" x14ac:dyDescent="0.25">
      <c r="A825" s="5"/>
      <c r="B825" s="5"/>
      <c r="C825" s="18"/>
      <c r="D825" s="18"/>
      <c r="E825" s="18"/>
      <c r="F825" s="18"/>
      <c r="G825" s="18"/>
      <c r="H825" s="18"/>
    </row>
    <row r="826" spans="1:8" ht="15.75" customHeight="1" x14ac:dyDescent="0.25">
      <c r="A826" s="5"/>
      <c r="B826" s="5"/>
      <c r="C826" s="18"/>
      <c r="D826" s="18"/>
      <c r="E826" s="18"/>
      <c r="F826" s="18"/>
      <c r="G826" s="18"/>
      <c r="H826" s="18"/>
    </row>
    <row r="827" spans="1:8" ht="15.75" customHeight="1" x14ac:dyDescent="0.25">
      <c r="A827" s="5"/>
      <c r="B827" s="5"/>
      <c r="C827" s="18"/>
      <c r="D827" s="18"/>
      <c r="E827" s="18"/>
      <c r="F827" s="18"/>
      <c r="G827" s="18"/>
      <c r="H827" s="18"/>
    </row>
    <row r="828" spans="1:8" ht="15.75" customHeight="1" x14ac:dyDescent="0.25">
      <c r="A828" s="5"/>
      <c r="B828" s="5"/>
      <c r="C828" s="18"/>
      <c r="D828" s="18"/>
      <c r="E828" s="18"/>
      <c r="F828" s="18"/>
      <c r="G828" s="18"/>
      <c r="H828" s="18"/>
    </row>
    <row r="829" spans="1:8" ht="15.75" customHeight="1" x14ac:dyDescent="0.25">
      <c r="A829" s="5"/>
      <c r="B829" s="5"/>
      <c r="C829" s="18"/>
      <c r="D829" s="18"/>
      <c r="E829" s="18"/>
      <c r="F829" s="18"/>
      <c r="G829" s="18"/>
      <c r="H829" s="18"/>
    </row>
    <row r="830" spans="1:8" ht="15.75" customHeight="1" x14ac:dyDescent="0.25">
      <c r="A830" s="5"/>
      <c r="B830" s="5"/>
      <c r="C830" s="18"/>
      <c r="D830" s="18"/>
      <c r="E830" s="18"/>
      <c r="F830" s="18"/>
      <c r="G830" s="18"/>
      <c r="H830" s="18"/>
    </row>
    <row r="831" spans="1:8" ht="15.75" customHeight="1" x14ac:dyDescent="0.25">
      <c r="A831" s="5"/>
      <c r="B831" s="5"/>
      <c r="C831" s="18"/>
      <c r="D831" s="18"/>
      <c r="E831" s="18"/>
      <c r="F831" s="18"/>
      <c r="G831" s="18"/>
      <c r="H831" s="18"/>
    </row>
    <row r="832" spans="1:8" ht="15.75" customHeight="1" x14ac:dyDescent="0.25">
      <c r="A832" s="5"/>
      <c r="B832" s="5"/>
      <c r="C832" s="18"/>
      <c r="D832" s="18"/>
      <c r="E832" s="18"/>
      <c r="F832" s="18"/>
      <c r="G832" s="18"/>
      <c r="H832" s="18"/>
    </row>
    <row r="833" spans="1:8" ht="15.75" customHeight="1" x14ac:dyDescent="0.25">
      <c r="A833" s="5"/>
      <c r="B833" s="5"/>
      <c r="C833" s="18"/>
      <c r="D833" s="18"/>
      <c r="E833" s="18"/>
      <c r="F833" s="18"/>
      <c r="G833" s="18"/>
      <c r="H833" s="18"/>
    </row>
    <row r="834" spans="1:8" ht="15.75" customHeight="1" x14ac:dyDescent="0.25">
      <c r="A834" s="5"/>
      <c r="B834" s="5"/>
      <c r="C834" s="18"/>
      <c r="D834" s="18"/>
      <c r="E834" s="18"/>
      <c r="F834" s="18"/>
      <c r="G834" s="18"/>
      <c r="H834" s="18"/>
    </row>
    <row r="835" spans="1:8" ht="15.75" customHeight="1" x14ac:dyDescent="0.25">
      <c r="A835" s="5"/>
      <c r="B835" s="5"/>
      <c r="C835" s="18"/>
      <c r="D835" s="18"/>
      <c r="E835" s="18"/>
      <c r="F835" s="18"/>
      <c r="G835" s="18"/>
      <c r="H835" s="18"/>
    </row>
    <row r="836" spans="1:8" ht="15.75" customHeight="1" x14ac:dyDescent="0.25">
      <c r="A836" s="5"/>
      <c r="B836" s="5"/>
      <c r="C836" s="18"/>
      <c r="D836" s="18"/>
      <c r="E836" s="18"/>
      <c r="F836" s="18"/>
      <c r="G836" s="18"/>
      <c r="H836" s="18"/>
    </row>
    <row r="837" spans="1:8" ht="15.75" customHeight="1" x14ac:dyDescent="0.25">
      <c r="A837" s="5"/>
      <c r="B837" s="5"/>
      <c r="C837" s="18"/>
      <c r="D837" s="18"/>
      <c r="E837" s="18"/>
      <c r="F837" s="18"/>
      <c r="G837" s="18"/>
      <c r="H837" s="18"/>
    </row>
    <row r="838" spans="1:8" ht="15.75" customHeight="1" x14ac:dyDescent="0.25">
      <c r="A838" s="5"/>
      <c r="B838" s="5"/>
      <c r="C838" s="18"/>
      <c r="D838" s="18"/>
      <c r="E838" s="18"/>
      <c r="F838" s="18"/>
      <c r="G838" s="18"/>
      <c r="H838" s="18"/>
    </row>
    <row r="839" spans="1:8" ht="15.75" customHeight="1" x14ac:dyDescent="0.25">
      <c r="A839" s="5"/>
      <c r="B839" s="5"/>
      <c r="C839" s="18"/>
      <c r="D839" s="18"/>
      <c r="E839" s="18"/>
      <c r="F839" s="18"/>
      <c r="G839" s="18"/>
      <c r="H839" s="18"/>
    </row>
    <row r="840" spans="1:8" ht="15.75" customHeight="1" x14ac:dyDescent="0.25">
      <c r="A840" s="5"/>
      <c r="B840" s="5"/>
      <c r="C840" s="18"/>
      <c r="D840" s="18"/>
      <c r="E840" s="18"/>
      <c r="F840" s="18"/>
      <c r="G840" s="18"/>
      <c r="H840" s="18"/>
    </row>
    <row r="841" spans="1:8" ht="15.75" customHeight="1" x14ac:dyDescent="0.25">
      <c r="A841" s="5"/>
      <c r="B841" s="5"/>
      <c r="C841" s="18"/>
      <c r="D841" s="18"/>
      <c r="E841" s="18"/>
      <c r="F841" s="18"/>
      <c r="G841" s="18"/>
      <c r="H841" s="18"/>
    </row>
    <row r="842" spans="1:8" ht="15.75" customHeight="1" x14ac:dyDescent="0.25">
      <c r="A842" s="5"/>
      <c r="B842" s="5"/>
      <c r="C842" s="18"/>
      <c r="D842" s="18"/>
      <c r="E842" s="18"/>
      <c r="F842" s="18"/>
      <c r="G842" s="18"/>
      <c r="H842" s="18"/>
    </row>
    <row r="843" spans="1:8" ht="15.75" customHeight="1" x14ac:dyDescent="0.25">
      <c r="A843" s="5"/>
      <c r="B843" s="5"/>
      <c r="C843" s="18"/>
      <c r="D843" s="18"/>
      <c r="E843" s="18"/>
      <c r="F843" s="18"/>
      <c r="G843" s="18"/>
      <c r="H843" s="18"/>
    </row>
    <row r="844" spans="1:8" ht="15.75" customHeight="1" x14ac:dyDescent="0.25">
      <c r="A844" s="5"/>
      <c r="B844" s="5"/>
      <c r="C844" s="18"/>
      <c r="D844" s="18"/>
      <c r="E844" s="18"/>
      <c r="F844" s="18"/>
      <c r="G844" s="18"/>
      <c r="H844" s="18"/>
    </row>
    <row r="845" spans="1:8" ht="15.75" customHeight="1" x14ac:dyDescent="0.25">
      <c r="A845" s="5"/>
      <c r="B845" s="5"/>
      <c r="C845" s="18"/>
      <c r="D845" s="18"/>
      <c r="E845" s="18"/>
      <c r="F845" s="18"/>
      <c r="G845" s="18"/>
      <c r="H845" s="18"/>
    </row>
    <row r="846" spans="1:8" ht="15.75" customHeight="1" x14ac:dyDescent="0.25">
      <c r="A846" s="5"/>
      <c r="B846" s="5"/>
      <c r="C846" s="18"/>
      <c r="D846" s="18"/>
      <c r="E846" s="18"/>
      <c r="F846" s="18"/>
      <c r="G846" s="18"/>
      <c r="H846" s="18"/>
    </row>
    <row r="847" spans="1:8" ht="15.75" customHeight="1" x14ac:dyDescent="0.25">
      <c r="A847" s="5"/>
      <c r="B847" s="5"/>
      <c r="C847" s="18"/>
      <c r="D847" s="18"/>
      <c r="E847" s="18"/>
      <c r="F847" s="18"/>
      <c r="G847" s="18"/>
      <c r="H847" s="18"/>
    </row>
    <row r="848" spans="1:8" ht="15.75" customHeight="1" x14ac:dyDescent="0.25">
      <c r="A848" s="5"/>
      <c r="B848" s="5"/>
      <c r="C848" s="18"/>
      <c r="D848" s="18"/>
      <c r="E848" s="18"/>
      <c r="F848" s="18"/>
      <c r="G848" s="18"/>
      <c r="H848" s="18"/>
    </row>
    <row r="849" spans="1:8" ht="15.75" customHeight="1" x14ac:dyDescent="0.25">
      <c r="A849" s="5"/>
      <c r="B849" s="5"/>
      <c r="C849" s="18"/>
      <c r="D849" s="18"/>
      <c r="E849" s="18"/>
      <c r="F849" s="18"/>
      <c r="G849" s="18"/>
      <c r="H849" s="18"/>
    </row>
    <row r="850" spans="1:8" ht="15.75" customHeight="1" x14ac:dyDescent="0.25">
      <c r="A850" s="5"/>
      <c r="B850" s="5"/>
      <c r="C850" s="18"/>
      <c r="D850" s="18"/>
      <c r="E850" s="18"/>
      <c r="F850" s="18"/>
      <c r="G850" s="18"/>
      <c r="H850" s="18"/>
    </row>
    <row r="851" spans="1:8" ht="15.75" customHeight="1" x14ac:dyDescent="0.25">
      <c r="A851" s="5"/>
      <c r="B851" s="5"/>
      <c r="C851" s="18"/>
      <c r="D851" s="18"/>
      <c r="E851" s="18"/>
      <c r="F851" s="18"/>
      <c r="G851" s="18"/>
      <c r="H851" s="18"/>
    </row>
    <row r="852" spans="1:8" ht="15.75" customHeight="1" x14ac:dyDescent="0.25">
      <c r="A852" s="5"/>
      <c r="B852" s="5"/>
      <c r="C852" s="18"/>
      <c r="D852" s="18"/>
      <c r="E852" s="18"/>
      <c r="F852" s="18"/>
      <c r="G852" s="18"/>
      <c r="H852" s="18"/>
    </row>
    <row r="853" spans="1:8" ht="15.75" customHeight="1" x14ac:dyDescent="0.25">
      <c r="A853" s="5"/>
      <c r="B853" s="5"/>
      <c r="C853" s="18"/>
      <c r="D853" s="18"/>
      <c r="E853" s="18"/>
      <c r="F853" s="18"/>
      <c r="G853" s="18"/>
      <c r="H853" s="18"/>
    </row>
    <row r="854" spans="1:8" ht="15.75" customHeight="1" x14ac:dyDescent="0.25">
      <c r="A854" s="5"/>
      <c r="B854" s="5"/>
      <c r="C854" s="18"/>
      <c r="D854" s="18"/>
      <c r="E854" s="18"/>
      <c r="F854" s="18"/>
      <c r="G854" s="18"/>
      <c r="H854" s="18"/>
    </row>
    <row r="855" spans="1:8" ht="15.75" customHeight="1" x14ac:dyDescent="0.25">
      <c r="A855" s="5"/>
      <c r="B855" s="5"/>
      <c r="C855" s="18"/>
      <c r="D855" s="18"/>
      <c r="E855" s="18"/>
      <c r="F855" s="18"/>
      <c r="G855" s="18"/>
      <c r="H855" s="18"/>
    </row>
    <row r="856" spans="1:8" ht="15.75" customHeight="1" x14ac:dyDescent="0.25">
      <c r="A856" s="5"/>
      <c r="B856" s="5"/>
      <c r="C856" s="18"/>
      <c r="D856" s="18"/>
      <c r="E856" s="18"/>
      <c r="F856" s="18"/>
      <c r="G856" s="18"/>
      <c r="H856" s="18"/>
    </row>
    <row r="857" spans="1:8" ht="15.75" customHeight="1" x14ac:dyDescent="0.25">
      <c r="A857" s="5"/>
      <c r="B857" s="5"/>
      <c r="C857" s="18"/>
      <c r="D857" s="18"/>
      <c r="E857" s="18"/>
      <c r="F857" s="18"/>
      <c r="G857" s="18"/>
      <c r="H857" s="18"/>
    </row>
    <row r="858" spans="1:8" ht="15.75" customHeight="1" x14ac:dyDescent="0.25">
      <c r="A858" s="5"/>
      <c r="B858" s="5"/>
      <c r="C858" s="18"/>
      <c r="D858" s="18"/>
      <c r="E858" s="18"/>
      <c r="F858" s="18"/>
      <c r="G858" s="18"/>
      <c r="H858" s="18"/>
    </row>
    <row r="859" spans="1:8" ht="15.75" customHeight="1" x14ac:dyDescent="0.25">
      <c r="A859" s="5"/>
      <c r="B859" s="5"/>
      <c r="C859" s="18"/>
      <c r="D859" s="18"/>
      <c r="E859" s="18"/>
      <c r="F859" s="18"/>
      <c r="G859" s="18"/>
      <c r="H859" s="18"/>
    </row>
    <row r="860" spans="1:8" ht="15.75" customHeight="1" x14ac:dyDescent="0.25">
      <c r="A860" s="5"/>
      <c r="B860" s="5"/>
      <c r="C860" s="18"/>
      <c r="D860" s="18"/>
      <c r="E860" s="18"/>
      <c r="F860" s="18"/>
      <c r="G860" s="18"/>
      <c r="H860" s="18"/>
    </row>
    <row r="861" spans="1:8" ht="15.75" customHeight="1" x14ac:dyDescent="0.25">
      <c r="A861" s="5"/>
      <c r="B861" s="5"/>
      <c r="C861" s="18"/>
      <c r="D861" s="18"/>
      <c r="E861" s="18"/>
      <c r="F861" s="18"/>
      <c r="G861" s="18"/>
      <c r="H861" s="18"/>
    </row>
    <row r="862" spans="1:8" ht="15.75" customHeight="1" x14ac:dyDescent="0.25">
      <c r="A862" s="5"/>
      <c r="B862" s="5"/>
      <c r="C862" s="18"/>
      <c r="D862" s="18"/>
      <c r="E862" s="18"/>
      <c r="F862" s="18"/>
      <c r="G862" s="18"/>
      <c r="H862" s="18"/>
    </row>
    <row r="863" spans="1:8" ht="15.75" customHeight="1" x14ac:dyDescent="0.25">
      <c r="A863" s="5"/>
      <c r="B863" s="5"/>
      <c r="C863" s="18"/>
      <c r="D863" s="18"/>
      <c r="E863" s="18"/>
      <c r="F863" s="18"/>
      <c r="G863" s="18"/>
      <c r="H863" s="18"/>
    </row>
    <row r="864" spans="1:8" ht="15.75" customHeight="1" x14ac:dyDescent="0.25">
      <c r="A864" s="5"/>
      <c r="B864" s="5"/>
      <c r="C864" s="18"/>
      <c r="D864" s="18"/>
      <c r="E864" s="18"/>
      <c r="F864" s="18"/>
      <c r="G864" s="18"/>
      <c r="H864" s="18"/>
    </row>
    <row r="865" spans="1:8" ht="15.75" customHeight="1" x14ac:dyDescent="0.25">
      <c r="A865" s="5"/>
      <c r="B865" s="5"/>
      <c r="C865" s="18"/>
      <c r="D865" s="18"/>
      <c r="E865" s="18"/>
      <c r="F865" s="18"/>
      <c r="G865" s="18"/>
      <c r="H865" s="18"/>
    </row>
    <row r="866" spans="1:8" ht="15.75" customHeight="1" x14ac:dyDescent="0.25">
      <c r="A866" s="5"/>
      <c r="B866" s="5"/>
      <c r="C866" s="18"/>
      <c r="D866" s="18"/>
      <c r="E866" s="18"/>
      <c r="F866" s="18"/>
      <c r="G866" s="18"/>
      <c r="H866" s="18"/>
    </row>
    <row r="867" spans="1:8" ht="15.75" customHeight="1" x14ac:dyDescent="0.25">
      <c r="A867" s="5"/>
      <c r="B867" s="5"/>
      <c r="C867" s="18"/>
      <c r="D867" s="18"/>
      <c r="E867" s="18"/>
      <c r="F867" s="18"/>
      <c r="G867" s="18"/>
      <c r="H867" s="18"/>
    </row>
    <row r="868" spans="1:8" ht="15.75" customHeight="1" x14ac:dyDescent="0.25">
      <c r="A868" s="5"/>
      <c r="B868" s="5"/>
      <c r="C868" s="18"/>
      <c r="D868" s="18"/>
      <c r="E868" s="18"/>
      <c r="F868" s="18"/>
      <c r="G868" s="18"/>
      <c r="H868" s="18"/>
    </row>
    <row r="869" spans="1:8" ht="15.75" customHeight="1" x14ac:dyDescent="0.25">
      <c r="A869" s="5"/>
      <c r="B869" s="5"/>
      <c r="C869" s="18"/>
      <c r="D869" s="18"/>
      <c r="E869" s="18"/>
      <c r="F869" s="18"/>
      <c r="G869" s="18"/>
      <c r="H869" s="18"/>
    </row>
    <row r="870" spans="1:8" ht="15.75" customHeight="1" x14ac:dyDescent="0.25">
      <c r="A870" s="5"/>
      <c r="B870" s="5"/>
      <c r="C870" s="18"/>
      <c r="D870" s="18"/>
      <c r="E870" s="18"/>
      <c r="F870" s="18"/>
      <c r="G870" s="18"/>
      <c r="H870" s="18"/>
    </row>
    <row r="871" spans="1:8" ht="15.75" customHeight="1" x14ac:dyDescent="0.25">
      <c r="A871" s="5"/>
      <c r="B871" s="5"/>
      <c r="C871" s="18"/>
      <c r="D871" s="18"/>
      <c r="E871" s="18"/>
      <c r="F871" s="18"/>
      <c r="G871" s="18"/>
      <c r="H871" s="18"/>
    </row>
    <row r="872" spans="1:8" ht="15.75" customHeight="1" x14ac:dyDescent="0.25">
      <c r="A872" s="5"/>
      <c r="B872" s="5"/>
      <c r="C872" s="18"/>
      <c r="D872" s="18"/>
      <c r="E872" s="18"/>
      <c r="F872" s="18"/>
      <c r="G872" s="18"/>
      <c r="H872" s="18"/>
    </row>
    <row r="873" spans="1:8" ht="15.75" customHeight="1" x14ac:dyDescent="0.25">
      <c r="A873" s="5"/>
      <c r="B873" s="5"/>
      <c r="C873" s="18"/>
      <c r="D873" s="18"/>
      <c r="E873" s="18"/>
      <c r="F873" s="18"/>
      <c r="G873" s="18"/>
      <c r="H873" s="18"/>
    </row>
    <row r="874" spans="1:8" ht="15.75" customHeight="1" x14ac:dyDescent="0.25">
      <c r="A874" s="5"/>
      <c r="B874" s="5"/>
      <c r="C874" s="18"/>
      <c r="D874" s="18"/>
      <c r="E874" s="18"/>
      <c r="F874" s="18"/>
      <c r="G874" s="18"/>
      <c r="H874" s="18"/>
    </row>
    <row r="875" spans="1:8" ht="15.75" customHeight="1" x14ac:dyDescent="0.25">
      <c r="A875" s="5"/>
      <c r="B875" s="5"/>
      <c r="C875" s="18"/>
      <c r="D875" s="18"/>
      <c r="E875" s="18"/>
      <c r="F875" s="18"/>
      <c r="G875" s="18"/>
      <c r="H875" s="18"/>
    </row>
    <row r="876" spans="1:8" ht="15.75" customHeight="1" x14ac:dyDescent="0.25">
      <c r="A876" s="5"/>
      <c r="B876" s="5"/>
      <c r="C876" s="18"/>
      <c r="D876" s="18"/>
      <c r="E876" s="18"/>
      <c r="F876" s="18"/>
      <c r="G876" s="18"/>
      <c r="H876" s="18"/>
    </row>
    <row r="877" spans="1:8" ht="15.75" customHeight="1" x14ac:dyDescent="0.25">
      <c r="A877" s="5"/>
      <c r="B877" s="5"/>
      <c r="C877" s="18"/>
      <c r="D877" s="18"/>
      <c r="E877" s="18"/>
      <c r="F877" s="18"/>
      <c r="G877" s="18"/>
      <c r="H877" s="18"/>
    </row>
    <row r="878" spans="1:8" ht="15.75" customHeight="1" x14ac:dyDescent="0.25">
      <c r="A878" s="5"/>
      <c r="B878" s="5"/>
      <c r="C878" s="18"/>
      <c r="D878" s="18"/>
      <c r="E878" s="18"/>
      <c r="F878" s="18"/>
      <c r="G878" s="18"/>
      <c r="H878" s="18"/>
    </row>
    <row r="879" spans="1:8" ht="15.75" customHeight="1" x14ac:dyDescent="0.25">
      <c r="A879" s="5"/>
      <c r="B879" s="5"/>
      <c r="C879" s="18"/>
      <c r="D879" s="18"/>
      <c r="E879" s="18"/>
      <c r="F879" s="18"/>
      <c r="G879" s="18"/>
      <c r="H879" s="18"/>
    </row>
    <row r="880" spans="1:8" ht="15.75" customHeight="1" x14ac:dyDescent="0.25">
      <c r="A880" s="5"/>
      <c r="B880" s="5"/>
      <c r="C880" s="18"/>
      <c r="D880" s="18"/>
      <c r="E880" s="18"/>
      <c r="F880" s="18"/>
      <c r="G880" s="18"/>
      <c r="H880" s="18"/>
    </row>
    <row r="881" spans="1:8" ht="15.75" customHeight="1" x14ac:dyDescent="0.25">
      <c r="A881" s="5"/>
      <c r="B881" s="5"/>
      <c r="C881" s="18"/>
      <c r="D881" s="18"/>
      <c r="E881" s="18"/>
      <c r="F881" s="18"/>
      <c r="G881" s="18"/>
      <c r="H881" s="18"/>
    </row>
    <row r="882" spans="1:8" ht="15.75" customHeight="1" x14ac:dyDescent="0.25">
      <c r="A882" s="5"/>
      <c r="B882" s="5"/>
      <c r="C882" s="18"/>
      <c r="D882" s="18"/>
      <c r="E882" s="18"/>
      <c r="F882" s="18"/>
      <c r="G882" s="18"/>
      <c r="H882" s="18"/>
    </row>
    <row r="883" spans="1:8" ht="15.75" customHeight="1" x14ac:dyDescent="0.25">
      <c r="A883" s="5"/>
      <c r="B883" s="5"/>
      <c r="C883" s="18"/>
      <c r="D883" s="18"/>
      <c r="E883" s="18"/>
      <c r="F883" s="18"/>
      <c r="G883" s="18"/>
      <c r="H883" s="18"/>
    </row>
    <row r="884" spans="1:8" ht="15.75" customHeight="1" x14ac:dyDescent="0.25">
      <c r="A884" s="5"/>
      <c r="B884" s="5"/>
      <c r="C884" s="18"/>
      <c r="D884" s="18"/>
      <c r="E884" s="18"/>
      <c r="F884" s="18"/>
      <c r="G884" s="18"/>
      <c r="H884" s="18"/>
    </row>
    <row r="885" spans="1:8" ht="15.75" customHeight="1" x14ac:dyDescent="0.25">
      <c r="A885" s="5"/>
      <c r="B885" s="5"/>
      <c r="C885" s="18"/>
      <c r="D885" s="18"/>
      <c r="E885" s="18"/>
      <c r="F885" s="18"/>
      <c r="G885" s="18"/>
      <c r="H885" s="18"/>
    </row>
    <row r="886" spans="1:8" ht="15.75" customHeight="1" x14ac:dyDescent="0.25">
      <c r="A886" s="5"/>
      <c r="B886" s="5"/>
      <c r="C886" s="18"/>
      <c r="D886" s="18"/>
      <c r="E886" s="18"/>
      <c r="F886" s="18"/>
      <c r="G886" s="18"/>
      <c r="H886" s="18"/>
    </row>
    <row r="887" spans="1:8" ht="15.75" customHeight="1" x14ac:dyDescent="0.25">
      <c r="A887" s="5"/>
      <c r="B887" s="5"/>
      <c r="C887" s="18"/>
      <c r="D887" s="18"/>
      <c r="E887" s="18"/>
      <c r="F887" s="18"/>
      <c r="G887" s="18"/>
      <c r="H887" s="18"/>
    </row>
    <row r="888" spans="1:8" ht="15.75" customHeight="1" x14ac:dyDescent="0.25">
      <c r="A888" s="5"/>
      <c r="B888" s="5"/>
      <c r="C888" s="18"/>
      <c r="D888" s="18"/>
      <c r="E888" s="18"/>
      <c r="F888" s="18"/>
      <c r="G888" s="18"/>
      <c r="H888" s="18"/>
    </row>
    <row r="889" spans="1:8" ht="15.75" customHeight="1" x14ac:dyDescent="0.25">
      <c r="A889" s="5"/>
      <c r="B889" s="5"/>
      <c r="C889" s="18"/>
      <c r="D889" s="18"/>
      <c r="E889" s="18"/>
      <c r="F889" s="18"/>
      <c r="G889" s="18"/>
      <c r="H889" s="18"/>
    </row>
    <row r="890" spans="1:8" ht="15.75" customHeight="1" x14ac:dyDescent="0.25">
      <c r="A890" s="5"/>
      <c r="B890" s="5"/>
      <c r="C890" s="18"/>
      <c r="D890" s="18"/>
      <c r="E890" s="18"/>
      <c r="F890" s="18"/>
      <c r="G890" s="18"/>
      <c r="H890" s="18"/>
    </row>
    <row r="891" spans="1:8" ht="15.75" customHeight="1" x14ac:dyDescent="0.25">
      <c r="A891" s="5"/>
      <c r="B891" s="5"/>
      <c r="C891" s="18"/>
      <c r="D891" s="18"/>
      <c r="E891" s="18"/>
      <c r="F891" s="18"/>
      <c r="G891" s="18"/>
      <c r="H891" s="18"/>
    </row>
    <row r="892" spans="1:8" ht="15.75" customHeight="1" x14ac:dyDescent="0.25">
      <c r="A892" s="5"/>
      <c r="B892" s="5"/>
      <c r="C892" s="18"/>
      <c r="D892" s="18"/>
      <c r="E892" s="18"/>
      <c r="F892" s="18"/>
      <c r="G892" s="18"/>
      <c r="H892" s="18"/>
    </row>
    <row r="893" spans="1:8" ht="15.75" customHeight="1" x14ac:dyDescent="0.25">
      <c r="A893" s="5"/>
      <c r="B893" s="5"/>
      <c r="C893" s="18"/>
      <c r="D893" s="18"/>
      <c r="E893" s="18"/>
      <c r="F893" s="18"/>
      <c r="G893" s="18"/>
      <c r="H893" s="18"/>
    </row>
    <row r="894" spans="1:8" ht="15.75" customHeight="1" x14ac:dyDescent="0.25">
      <c r="A894" s="5"/>
      <c r="B894" s="5"/>
      <c r="C894" s="18"/>
      <c r="D894" s="18"/>
      <c r="E894" s="18"/>
      <c r="F894" s="18"/>
      <c r="G894" s="18"/>
      <c r="H894" s="18"/>
    </row>
    <row r="895" spans="1:8" ht="15.75" customHeight="1" x14ac:dyDescent="0.25">
      <c r="A895" s="5"/>
      <c r="B895" s="5"/>
      <c r="C895" s="18"/>
      <c r="D895" s="18"/>
      <c r="E895" s="18"/>
      <c r="F895" s="18"/>
      <c r="G895" s="18"/>
      <c r="H895" s="18"/>
    </row>
    <row r="896" spans="1:8" ht="15.75" customHeight="1" x14ac:dyDescent="0.25">
      <c r="A896" s="5"/>
      <c r="B896" s="5"/>
      <c r="C896" s="18"/>
      <c r="D896" s="18"/>
      <c r="E896" s="18"/>
      <c r="F896" s="18"/>
      <c r="G896" s="18"/>
      <c r="H896" s="18"/>
    </row>
    <row r="897" spans="1:8" ht="15.75" customHeight="1" x14ac:dyDescent="0.25">
      <c r="A897" s="5"/>
      <c r="B897" s="5"/>
      <c r="C897" s="18"/>
      <c r="D897" s="18"/>
      <c r="E897" s="18"/>
      <c r="F897" s="18"/>
      <c r="G897" s="18"/>
      <c r="H897" s="18"/>
    </row>
    <row r="898" spans="1:8" ht="15.75" customHeight="1" x14ac:dyDescent="0.25">
      <c r="A898" s="5"/>
      <c r="B898" s="5"/>
      <c r="C898" s="18"/>
      <c r="D898" s="18"/>
      <c r="E898" s="18"/>
      <c r="F898" s="18"/>
      <c r="G898" s="18"/>
      <c r="H898" s="18"/>
    </row>
    <row r="899" spans="1:8" ht="15.75" customHeight="1" x14ac:dyDescent="0.25">
      <c r="A899" s="5"/>
      <c r="B899" s="5"/>
      <c r="C899" s="18"/>
      <c r="D899" s="18"/>
      <c r="E899" s="18"/>
      <c r="F899" s="18"/>
      <c r="G899" s="18"/>
      <c r="H899" s="18"/>
    </row>
    <row r="900" spans="1:8" ht="15.75" customHeight="1" x14ac:dyDescent="0.25">
      <c r="A900" s="5"/>
      <c r="B900" s="5"/>
      <c r="C900" s="18"/>
      <c r="D900" s="18"/>
      <c r="E900" s="18"/>
      <c r="F900" s="18"/>
      <c r="G900" s="18"/>
      <c r="H900" s="18"/>
    </row>
    <row r="901" spans="1:8" ht="15.75" customHeight="1" x14ac:dyDescent="0.25">
      <c r="A901" s="5"/>
      <c r="B901" s="5"/>
      <c r="C901" s="18"/>
      <c r="D901" s="18"/>
      <c r="E901" s="18"/>
      <c r="F901" s="18"/>
      <c r="G901" s="18"/>
      <c r="H901" s="18"/>
    </row>
    <row r="902" spans="1:8" ht="15.75" customHeight="1" x14ac:dyDescent="0.25">
      <c r="A902" s="5"/>
      <c r="B902" s="5"/>
      <c r="C902" s="18"/>
      <c r="D902" s="18"/>
      <c r="E902" s="18"/>
      <c r="F902" s="18"/>
      <c r="G902" s="18"/>
      <c r="H902" s="18"/>
    </row>
    <row r="903" spans="1:8" ht="15.75" customHeight="1" x14ac:dyDescent="0.25">
      <c r="A903" s="5"/>
      <c r="B903" s="5"/>
      <c r="C903" s="18"/>
      <c r="D903" s="18"/>
      <c r="E903" s="18"/>
      <c r="F903" s="18"/>
      <c r="G903" s="18"/>
      <c r="H903" s="18"/>
    </row>
    <row r="904" spans="1:8" ht="15.75" customHeight="1" x14ac:dyDescent="0.25">
      <c r="A904" s="5"/>
      <c r="B904" s="5"/>
      <c r="C904" s="18"/>
      <c r="D904" s="18"/>
      <c r="E904" s="18"/>
      <c r="F904" s="18"/>
      <c r="G904" s="18"/>
      <c r="H904" s="18"/>
    </row>
    <row r="905" spans="1:8" ht="15.75" customHeight="1" x14ac:dyDescent="0.25">
      <c r="A905" s="5"/>
      <c r="B905" s="5"/>
      <c r="C905" s="18"/>
      <c r="D905" s="18"/>
      <c r="E905" s="18"/>
      <c r="F905" s="18"/>
      <c r="G905" s="18"/>
      <c r="H905" s="18"/>
    </row>
    <row r="906" spans="1:8" ht="15.75" customHeight="1" x14ac:dyDescent="0.25">
      <c r="A906" s="5"/>
      <c r="B906" s="5"/>
      <c r="C906" s="18"/>
      <c r="D906" s="18"/>
      <c r="E906" s="18"/>
      <c r="F906" s="18"/>
      <c r="G906" s="18"/>
      <c r="H906" s="18"/>
    </row>
    <row r="907" spans="1:8" ht="15.75" customHeight="1" x14ac:dyDescent="0.25">
      <c r="A907" s="5"/>
      <c r="B907" s="5"/>
      <c r="C907" s="18"/>
      <c r="D907" s="18"/>
      <c r="E907" s="18"/>
      <c r="F907" s="18"/>
      <c r="G907" s="18"/>
      <c r="H907" s="18"/>
    </row>
    <row r="908" spans="1:8" ht="15.75" customHeight="1" x14ac:dyDescent="0.25">
      <c r="A908" s="5"/>
      <c r="B908" s="5"/>
      <c r="C908" s="18"/>
      <c r="D908" s="18"/>
      <c r="E908" s="18"/>
      <c r="F908" s="18"/>
      <c r="G908" s="18"/>
      <c r="H908" s="18"/>
    </row>
    <row r="909" spans="1:8" ht="15.75" customHeight="1" x14ac:dyDescent="0.25">
      <c r="A909" s="5"/>
      <c r="B909" s="5"/>
      <c r="C909" s="18"/>
      <c r="D909" s="18"/>
      <c r="E909" s="18"/>
      <c r="F909" s="18"/>
      <c r="G909" s="18"/>
      <c r="H909" s="18"/>
    </row>
    <row r="910" spans="1:8" ht="15.75" customHeight="1" x14ac:dyDescent="0.25">
      <c r="A910" s="5"/>
      <c r="B910" s="5"/>
      <c r="C910" s="18"/>
      <c r="D910" s="18"/>
      <c r="E910" s="18"/>
      <c r="F910" s="18"/>
      <c r="G910" s="18"/>
      <c r="H910" s="18"/>
    </row>
    <row r="911" spans="1:8" ht="15.75" customHeight="1" x14ac:dyDescent="0.25">
      <c r="A911" s="5"/>
      <c r="B911" s="5"/>
      <c r="C911" s="18"/>
      <c r="D911" s="18"/>
      <c r="E911" s="18"/>
      <c r="F911" s="18"/>
      <c r="G911" s="18"/>
      <c r="H911" s="18"/>
    </row>
    <row r="912" spans="1:8" ht="15.75" customHeight="1" x14ac:dyDescent="0.25">
      <c r="A912" s="5"/>
      <c r="B912" s="5"/>
      <c r="C912" s="18"/>
      <c r="D912" s="18"/>
      <c r="E912" s="18"/>
      <c r="F912" s="18"/>
      <c r="G912" s="18"/>
      <c r="H912" s="18"/>
    </row>
    <row r="913" spans="1:8" ht="15.75" customHeight="1" x14ac:dyDescent="0.25">
      <c r="A913" s="5"/>
      <c r="B913" s="5"/>
      <c r="C913" s="18"/>
      <c r="D913" s="18"/>
      <c r="E913" s="18"/>
      <c r="F913" s="18"/>
      <c r="G913" s="18"/>
      <c r="H913" s="18"/>
    </row>
    <row r="914" spans="1:8" ht="15.75" customHeight="1" x14ac:dyDescent="0.25">
      <c r="A914" s="5"/>
      <c r="B914" s="5"/>
      <c r="C914" s="18"/>
      <c r="D914" s="18"/>
      <c r="E914" s="18"/>
      <c r="F914" s="18"/>
      <c r="G914" s="18"/>
      <c r="H914" s="18"/>
    </row>
    <row r="915" spans="1:8" ht="15.75" customHeight="1" x14ac:dyDescent="0.25">
      <c r="A915" s="5"/>
      <c r="B915" s="5"/>
      <c r="C915" s="18"/>
      <c r="D915" s="18"/>
      <c r="E915" s="18"/>
      <c r="F915" s="18"/>
      <c r="G915" s="18"/>
      <c r="H915" s="18"/>
    </row>
    <row r="916" spans="1:8" ht="15.75" customHeight="1" x14ac:dyDescent="0.25">
      <c r="A916" s="5"/>
      <c r="B916" s="5"/>
      <c r="C916" s="18"/>
      <c r="D916" s="18"/>
      <c r="E916" s="18"/>
      <c r="F916" s="18"/>
      <c r="G916" s="18"/>
      <c r="H916" s="18"/>
    </row>
    <row r="917" spans="1:8" ht="15.75" customHeight="1" x14ac:dyDescent="0.25">
      <c r="A917" s="5"/>
      <c r="B917" s="5"/>
      <c r="C917" s="18"/>
      <c r="D917" s="18"/>
      <c r="E917" s="18"/>
      <c r="F917" s="18"/>
      <c r="G917" s="18"/>
      <c r="H917" s="18"/>
    </row>
    <row r="918" spans="1:8" ht="15.75" customHeight="1" x14ac:dyDescent="0.25">
      <c r="A918" s="5"/>
      <c r="B918" s="5"/>
      <c r="C918" s="18"/>
      <c r="D918" s="18"/>
      <c r="E918" s="18"/>
      <c r="F918" s="18"/>
      <c r="G918" s="18"/>
      <c r="H918" s="18"/>
    </row>
    <row r="919" spans="1:8" ht="15.75" customHeight="1" x14ac:dyDescent="0.25">
      <c r="A919" s="5"/>
      <c r="B919" s="5"/>
      <c r="C919" s="18"/>
      <c r="D919" s="18"/>
      <c r="E919" s="18"/>
      <c r="F919" s="18"/>
      <c r="G919" s="18"/>
      <c r="H919" s="18"/>
    </row>
    <row r="920" spans="1:8" ht="15.75" customHeight="1" x14ac:dyDescent="0.25">
      <c r="A920" s="5"/>
      <c r="B920" s="5"/>
      <c r="C920" s="18"/>
      <c r="D920" s="18"/>
      <c r="E920" s="18"/>
      <c r="F920" s="18"/>
      <c r="G920" s="18"/>
      <c r="H920" s="18"/>
    </row>
    <row r="921" spans="1:8" ht="15.75" customHeight="1" x14ac:dyDescent="0.25">
      <c r="A921" s="5"/>
      <c r="B921" s="5"/>
      <c r="C921" s="18"/>
      <c r="D921" s="18"/>
      <c r="E921" s="18"/>
      <c r="F921" s="18"/>
      <c r="G921" s="18"/>
      <c r="H921" s="18"/>
    </row>
    <row r="922" spans="1:8" ht="15.75" customHeight="1" x14ac:dyDescent="0.25">
      <c r="A922" s="5"/>
      <c r="B922" s="5"/>
      <c r="C922" s="18"/>
      <c r="D922" s="18"/>
      <c r="E922" s="18"/>
      <c r="F922" s="18"/>
      <c r="G922" s="18"/>
      <c r="H922" s="18"/>
    </row>
    <row r="923" spans="1:8" ht="15.75" customHeight="1" x14ac:dyDescent="0.25">
      <c r="A923" s="5"/>
      <c r="B923" s="5"/>
      <c r="C923" s="18"/>
      <c r="D923" s="18"/>
      <c r="E923" s="18"/>
      <c r="F923" s="18"/>
      <c r="G923" s="18"/>
      <c r="H923" s="18"/>
    </row>
    <row r="924" spans="1:8" ht="15.75" customHeight="1" x14ac:dyDescent="0.25">
      <c r="A924" s="5"/>
      <c r="B924" s="5"/>
      <c r="C924" s="18"/>
      <c r="D924" s="18"/>
      <c r="E924" s="18"/>
      <c r="F924" s="18"/>
      <c r="G924" s="18"/>
      <c r="H924" s="18"/>
    </row>
    <row r="925" spans="1:8" ht="15.75" customHeight="1" x14ac:dyDescent="0.25">
      <c r="A925" s="5"/>
      <c r="B925" s="5"/>
      <c r="C925" s="18"/>
      <c r="D925" s="18"/>
      <c r="E925" s="18"/>
      <c r="F925" s="18"/>
      <c r="G925" s="18"/>
      <c r="H925" s="18"/>
    </row>
    <row r="926" spans="1:8" ht="15.75" customHeight="1" x14ac:dyDescent="0.25">
      <c r="A926" s="5"/>
      <c r="B926" s="5"/>
      <c r="C926" s="18"/>
      <c r="D926" s="18"/>
      <c r="E926" s="18"/>
      <c r="F926" s="18"/>
      <c r="G926" s="18"/>
      <c r="H926" s="18"/>
    </row>
    <row r="927" spans="1:8" ht="15.75" customHeight="1" x14ac:dyDescent="0.25">
      <c r="A927" s="5"/>
      <c r="B927" s="5"/>
      <c r="C927" s="18"/>
      <c r="D927" s="18"/>
      <c r="E927" s="18"/>
      <c r="F927" s="18"/>
      <c r="G927" s="18"/>
      <c r="H927" s="18"/>
    </row>
    <row r="928" spans="1:8" ht="15.75" customHeight="1" x14ac:dyDescent="0.25">
      <c r="A928" s="5"/>
      <c r="B928" s="5"/>
      <c r="C928" s="18"/>
      <c r="D928" s="18"/>
      <c r="E928" s="18"/>
      <c r="F928" s="18"/>
      <c r="G928" s="18"/>
      <c r="H928" s="18"/>
    </row>
    <row r="929" spans="1:8" ht="15.75" customHeight="1" x14ac:dyDescent="0.25">
      <c r="A929" s="5"/>
      <c r="B929" s="5"/>
      <c r="C929" s="18"/>
      <c r="D929" s="18"/>
      <c r="E929" s="18"/>
      <c r="F929" s="18"/>
      <c r="G929" s="18"/>
      <c r="H929" s="18"/>
    </row>
    <row r="930" spans="1:8" ht="15.75" customHeight="1" x14ac:dyDescent="0.25">
      <c r="A930" s="5"/>
      <c r="B930" s="5"/>
      <c r="C930" s="18"/>
      <c r="D930" s="18"/>
      <c r="E930" s="18"/>
      <c r="F930" s="18"/>
      <c r="G930" s="18"/>
      <c r="H930" s="18"/>
    </row>
    <row r="931" spans="1:8" ht="15.75" customHeight="1" x14ac:dyDescent="0.25">
      <c r="A931" s="5"/>
      <c r="B931" s="5"/>
      <c r="C931" s="18"/>
      <c r="D931" s="18"/>
      <c r="E931" s="18"/>
      <c r="F931" s="18"/>
      <c r="G931" s="18"/>
      <c r="H931" s="18"/>
    </row>
    <row r="932" spans="1:8" ht="15.75" customHeight="1" x14ac:dyDescent="0.25">
      <c r="A932" s="5"/>
      <c r="B932" s="5"/>
      <c r="C932" s="18"/>
      <c r="D932" s="18"/>
      <c r="E932" s="18"/>
      <c r="F932" s="18"/>
      <c r="G932" s="18"/>
      <c r="H932" s="18"/>
    </row>
    <row r="933" spans="1:8" ht="15.75" customHeight="1" x14ac:dyDescent="0.25">
      <c r="A933" s="5"/>
      <c r="B933" s="5"/>
      <c r="C933" s="18"/>
      <c r="D933" s="18"/>
      <c r="E933" s="18"/>
      <c r="F933" s="18"/>
      <c r="G933" s="18"/>
      <c r="H933" s="18"/>
    </row>
    <row r="934" spans="1:8" ht="15.75" customHeight="1" x14ac:dyDescent="0.25">
      <c r="A934" s="5"/>
      <c r="B934" s="5"/>
      <c r="C934" s="18"/>
      <c r="D934" s="18"/>
      <c r="E934" s="18"/>
      <c r="F934" s="18"/>
      <c r="G934" s="18"/>
      <c r="H934" s="18"/>
    </row>
    <row r="935" spans="1:8" ht="15.75" customHeight="1" x14ac:dyDescent="0.25">
      <c r="A935" s="5"/>
      <c r="B935" s="5"/>
      <c r="C935" s="18"/>
      <c r="D935" s="18"/>
      <c r="E935" s="18"/>
      <c r="F935" s="18"/>
      <c r="G935" s="18"/>
      <c r="H935" s="18"/>
    </row>
    <row r="936" spans="1:8" ht="15.75" customHeight="1" x14ac:dyDescent="0.25">
      <c r="A936" s="5"/>
      <c r="B936" s="5"/>
      <c r="C936" s="18"/>
      <c r="D936" s="18"/>
      <c r="E936" s="18"/>
      <c r="F936" s="18"/>
      <c r="G936" s="18"/>
      <c r="H936" s="18"/>
    </row>
    <row r="937" spans="1:8" ht="15.75" customHeight="1" x14ac:dyDescent="0.25">
      <c r="A937" s="5"/>
      <c r="B937" s="5"/>
      <c r="C937" s="18"/>
      <c r="D937" s="18"/>
      <c r="E937" s="18"/>
      <c r="F937" s="18"/>
      <c r="G937" s="18"/>
      <c r="H937" s="18"/>
    </row>
    <row r="938" spans="1:8" ht="15.75" customHeight="1" x14ac:dyDescent="0.25">
      <c r="A938" s="5"/>
      <c r="B938" s="5"/>
      <c r="C938" s="18"/>
      <c r="D938" s="18"/>
      <c r="E938" s="18"/>
      <c r="F938" s="18"/>
      <c r="G938" s="18"/>
      <c r="H938" s="18"/>
    </row>
    <row r="939" spans="1:8" ht="15.75" customHeight="1" x14ac:dyDescent="0.25">
      <c r="A939" s="5"/>
      <c r="B939" s="5"/>
      <c r="C939" s="18"/>
      <c r="D939" s="18"/>
      <c r="E939" s="18"/>
      <c r="F939" s="18"/>
      <c r="G939" s="18"/>
      <c r="H939" s="18"/>
    </row>
    <row r="940" spans="1:8" ht="15.75" customHeight="1" x14ac:dyDescent="0.25">
      <c r="A940" s="5"/>
      <c r="B940" s="5"/>
      <c r="C940" s="18"/>
      <c r="D940" s="18"/>
      <c r="E940" s="18"/>
      <c r="F940" s="18"/>
      <c r="G940" s="18"/>
      <c r="H940" s="18"/>
    </row>
    <row r="941" spans="1:8" ht="15.75" customHeight="1" x14ac:dyDescent="0.25">
      <c r="A941" s="5"/>
      <c r="B941" s="5"/>
      <c r="C941" s="18"/>
      <c r="D941" s="18"/>
      <c r="E941" s="18"/>
      <c r="F941" s="18"/>
      <c r="G941" s="18"/>
      <c r="H941" s="18"/>
    </row>
    <row r="942" spans="1:8" ht="15.75" customHeight="1" x14ac:dyDescent="0.25">
      <c r="A942" s="5"/>
      <c r="B942" s="5"/>
      <c r="C942" s="18"/>
      <c r="D942" s="18"/>
      <c r="E942" s="18"/>
      <c r="F942" s="18"/>
      <c r="G942" s="18"/>
      <c r="H942" s="18"/>
    </row>
    <row r="943" spans="1:8" ht="15.75" customHeight="1" x14ac:dyDescent="0.25">
      <c r="A943" s="5"/>
      <c r="B943" s="5"/>
      <c r="C943" s="18"/>
      <c r="D943" s="18"/>
      <c r="E943" s="18"/>
      <c r="F943" s="18"/>
      <c r="G943" s="18"/>
      <c r="H943" s="18"/>
    </row>
    <row r="944" spans="1:8" ht="15.75" customHeight="1" x14ac:dyDescent="0.25">
      <c r="A944" s="5"/>
      <c r="B944" s="5"/>
      <c r="C944" s="18"/>
      <c r="D944" s="18"/>
      <c r="E944" s="18"/>
      <c r="F944" s="18"/>
      <c r="G944" s="18"/>
      <c r="H944" s="18"/>
    </row>
    <row r="945" spans="1:8" ht="15.75" customHeight="1" x14ac:dyDescent="0.25">
      <c r="A945" s="5"/>
      <c r="B945" s="5"/>
      <c r="C945" s="18"/>
      <c r="D945" s="18"/>
      <c r="E945" s="18"/>
      <c r="F945" s="18"/>
      <c r="G945" s="18"/>
      <c r="H945" s="18"/>
    </row>
    <row r="946" spans="1:8" ht="15.75" customHeight="1" x14ac:dyDescent="0.25">
      <c r="A946" s="5"/>
      <c r="B946" s="5"/>
      <c r="C946" s="18"/>
      <c r="D946" s="18"/>
      <c r="E946" s="18"/>
      <c r="F946" s="18"/>
      <c r="G946" s="18"/>
      <c r="H946" s="18"/>
    </row>
    <row r="947" spans="1:8" ht="15.75" customHeight="1" x14ac:dyDescent="0.25">
      <c r="A947" s="5"/>
      <c r="B947" s="5"/>
      <c r="C947" s="18"/>
      <c r="D947" s="18"/>
      <c r="E947" s="18"/>
      <c r="F947" s="18"/>
      <c r="G947" s="18"/>
      <c r="H947" s="18"/>
    </row>
    <row r="948" spans="1:8" ht="15.75" customHeight="1" x14ac:dyDescent="0.25">
      <c r="A948" s="5"/>
      <c r="B948" s="5"/>
      <c r="C948" s="18"/>
      <c r="D948" s="18"/>
      <c r="E948" s="18"/>
      <c r="F948" s="18"/>
      <c r="G948" s="18"/>
      <c r="H948" s="18"/>
    </row>
    <row r="949" spans="1:8" ht="15.75" customHeight="1" x14ac:dyDescent="0.25">
      <c r="A949" s="5"/>
      <c r="B949" s="5"/>
      <c r="C949" s="18"/>
      <c r="D949" s="18"/>
      <c r="E949" s="18"/>
      <c r="F949" s="18"/>
      <c r="G949" s="18"/>
      <c r="H949" s="18"/>
    </row>
    <row r="950" spans="1:8" ht="15.75" customHeight="1" x14ac:dyDescent="0.25">
      <c r="A950" s="5"/>
      <c r="B950" s="5"/>
      <c r="C950" s="18"/>
      <c r="D950" s="18"/>
      <c r="E950" s="18"/>
      <c r="F950" s="18"/>
      <c r="G950" s="18"/>
      <c r="H950" s="18"/>
    </row>
    <row r="951" spans="1:8" ht="15.75" customHeight="1" x14ac:dyDescent="0.25">
      <c r="A951" s="5"/>
      <c r="B951" s="5"/>
      <c r="C951" s="18"/>
      <c r="D951" s="18"/>
      <c r="E951" s="18"/>
      <c r="F951" s="18"/>
      <c r="G951" s="18"/>
      <c r="H951" s="18"/>
    </row>
    <row r="952" spans="1:8" ht="15.75" customHeight="1" x14ac:dyDescent="0.25">
      <c r="A952" s="5"/>
      <c r="B952" s="5"/>
      <c r="C952" s="18"/>
      <c r="D952" s="18"/>
      <c r="E952" s="18"/>
      <c r="F952" s="18"/>
      <c r="G952" s="18"/>
      <c r="H952" s="18"/>
    </row>
    <row r="953" spans="1:8" ht="15.75" customHeight="1" x14ac:dyDescent="0.25">
      <c r="A953" s="5"/>
      <c r="B953" s="5"/>
      <c r="C953" s="18"/>
      <c r="D953" s="18"/>
      <c r="E953" s="18"/>
      <c r="F953" s="18"/>
      <c r="G953" s="18"/>
      <c r="H953" s="18"/>
    </row>
    <row r="954" spans="1:8" ht="15.75" customHeight="1" x14ac:dyDescent="0.25">
      <c r="A954" s="5"/>
      <c r="B954" s="5"/>
      <c r="C954" s="18"/>
      <c r="D954" s="18"/>
      <c r="E954" s="18"/>
      <c r="F954" s="18"/>
      <c r="G954" s="18"/>
      <c r="H954" s="18"/>
    </row>
    <row r="955" spans="1:8" ht="15.75" customHeight="1" x14ac:dyDescent="0.25">
      <c r="A955" s="5"/>
      <c r="B955" s="5"/>
      <c r="C955" s="18"/>
      <c r="D955" s="18"/>
      <c r="E955" s="18"/>
      <c r="F955" s="18"/>
      <c r="G955" s="18"/>
      <c r="H955" s="18"/>
    </row>
    <row r="956" spans="1:8" ht="15.75" customHeight="1" x14ac:dyDescent="0.25">
      <c r="A956" s="5"/>
      <c r="B956" s="5"/>
      <c r="C956" s="18"/>
      <c r="D956" s="18"/>
      <c r="E956" s="18"/>
      <c r="F956" s="18"/>
      <c r="G956" s="18"/>
      <c r="H956" s="18"/>
    </row>
    <row r="957" spans="1:8" ht="15.75" customHeight="1" x14ac:dyDescent="0.25">
      <c r="A957" s="5"/>
      <c r="B957" s="5"/>
      <c r="C957" s="18"/>
      <c r="D957" s="18"/>
      <c r="E957" s="18"/>
      <c r="F957" s="18"/>
      <c r="G957" s="18"/>
      <c r="H957" s="18"/>
    </row>
    <row r="958" spans="1:8" ht="15.75" customHeight="1" x14ac:dyDescent="0.25">
      <c r="A958" s="5"/>
      <c r="B958" s="5"/>
      <c r="C958" s="18"/>
      <c r="D958" s="18"/>
      <c r="E958" s="18"/>
      <c r="F958" s="18"/>
      <c r="G958" s="18"/>
      <c r="H958" s="18"/>
    </row>
    <row r="959" spans="1:8" ht="15.75" customHeight="1" x14ac:dyDescent="0.25">
      <c r="A959" s="5"/>
      <c r="B959" s="5"/>
      <c r="C959" s="18"/>
      <c r="D959" s="18"/>
      <c r="E959" s="18"/>
      <c r="F959" s="18"/>
      <c r="G959" s="18"/>
      <c r="H959" s="18"/>
    </row>
    <row r="960" spans="1:8" ht="15.75" customHeight="1" x14ac:dyDescent="0.25">
      <c r="A960" s="5"/>
      <c r="B960" s="5"/>
      <c r="C960" s="18"/>
      <c r="D960" s="18"/>
      <c r="E960" s="18"/>
      <c r="F960" s="18"/>
      <c r="G960" s="18"/>
      <c r="H960" s="18"/>
    </row>
    <row r="961" spans="1:8" ht="15.75" customHeight="1" x14ac:dyDescent="0.25">
      <c r="A961" s="5"/>
      <c r="B961" s="5"/>
      <c r="C961" s="18"/>
      <c r="D961" s="18"/>
      <c r="E961" s="18"/>
      <c r="F961" s="18"/>
      <c r="G961" s="18"/>
      <c r="H961" s="18"/>
    </row>
    <row r="962" spans="1:8" ht="15.75" customHeight="1" x14ac:dyDescent="0.25">
      <c r="A962" s="5"/>
      <c r="B962" s="5"/>
      <c r="C962" s="18"/>
      <c r="D962" s="18"/>
      <c r="E962" s="18"/>
      <c r="F962" s="18"/>
      <c r="G962" s="18"/>
      <c r="H962" s="18"/>
    </row>
    <row r="963" spans="1:8" ht="15.75" customHeight="1" x14ac:dyDescent="0.25">
      <c r="A963" s="5"/>
      <c r="B963" s="5"/>
      <c r="C963" s="18"/>
      <c r="D963" s="18"/>
      <c r="E963" s="18"/>
      <c r="F963" s="18"/>
      <c r="G963" s="18"/>
      <c r="H963" s="18"/>
    </row>
    <row r="964" spans="1:8" ht="15.75" customHeight="1" x14ac:dyDescent="0.25">
      <c r="A964" s="5"/>
      <c r="B964" s="5"/>
      <c r="C964" s="18"/>
      <c r="D964" s="18"/>
      <c r="E964" s="18"/>
      <c r="F964" s="18"/>
      <c r="G964" s="18"/>
      <c r="H964" s="18"/>
    </row>
    <row r="965" spans="1:8" ht="15.75" customHeight="1" x14ac:dyDescent="0.25">
      <c r="A965" s="5"/>
      <c r="B965" s="5"/>
      <c r="C965" s="18"/>
      <c r="D965" s="18"/>
      <c r="E965" s="18"/>
      <c r="F965" s="18"/>
      <c r="G965" s="18"/>
      <c r="H965" s="18"/>
    </row>
    <row r="966" spans="1:8" ht="15.75" customHeight="1" x14ac:dyDescent="0.25">
      <c r="A966" s="5"/>
      <c r="B966" s="5"/>
      <c r="C966" s="18"/>
      <c r="D966" s="18"/>
      <c r="E966" s="18"/>
      <c r="F966" s="18"/>
      <c r="G966" s="18"/>
      <c r="H966" s="18"/>
    </row>
    <row r="967" spans="1:8" ht="15.75" customHeight="1" x14ac:dyDescent="0.25">
      <c r="A967" s="5"/>
      <c r="B967" s="5"/>
      <c r="C967" s="18"/>
      <c r="D967" s="18"/>
      <c r="E967" s="18"/>
      <c r="F967" s="18"/>
      <c r="G967" s="18"/>
      <c r="H967" s="18"/>
    </row>
    <row r="968" spans="1:8" ht="15.75" customHeight="1" x14ac:dyDescent="0.25">
      <c r="A968" s="5"/>
      <c r="B968" s="5"/>
      <c r="C968" s="18"/>
      <c r="D968" s="18"/>
      <c r="E968" s="18"/>
      <c r="F968" s="18"/>
      <c r="G968" s="18"/>
      <c r="H968" s="18"/>
    </row>
    <row r="969" spans="1:8" ht="15.75" customHeight="1" x14ac:dyDescent="0.25">
      <c r="A969" s="5"/>
      <c r="B969" s="5"/>
      <c r="C969" s="18"/>
      <c r="D969" s="18"/>
      <c r="E969" s="18"/>
      <c r="F969" s="18"/>
      <c r="G969" s="18"/>
      <c r="H969" s="18"/>
    </row>
    <row r="970" spans="1:8" ht="15.75" customHeight="1" x14ac:dyDescent="0.25">
      <c r="A970" s="5"/>
      <c r="B970" s="5"/>
      <c r="C970" s="18"/>
      <c r="D970" s="18"/>
      <c r="E970" s="18"/>
      <c r="F970" s="18"/>
      <c r="G970" s="18"/>
      <c r="H970" s="18"/>
    </row>
    <row r="971" spans="1:8" ht="15.75" customHeight="1" x14ac:dyDescent="0.25">
      <c r="A971" s="5"/>
      <c r="B971" s="5"/>
      <c r="C971" s="18"/>
      <c r="D971" s="18"/>
      <c r="E971" s="18"/>
      <c r="F971" s="18"/>
      <c r="G971" s="18"/>
      <c r="H971" s="18"/>
    </row>
    <row r="972" spans="1:8" ht="15.75" customHeight="1" x14ac:dyDescent="0.25">
      <c r="A972" s="5"/>
      <c r="B972" s="5"/>
      <c r="C972" s="18"/>
      <c r="D972" s="18"/>
      <c r="E972" s="18"/>
      <c r="F972" s="18"/>
      <c r="G972" s="18"/>
      <c r="H972" s="18"/>
    </row>
    <row r="973" spans="1:8" ht="15.75" customHeight="1" x14ac:dyDescent="0.25">
      <c r="A973" s="5"/>
      <c r="B973" s="5"/>
      <c r="C973" s="18"/>
      <c r="D973" s="18"/>
      <c r="E973" s="18"/>
      <c r="F973" s="18"/>
      <c r="G973" s="18"/>
      <c r="H973" s="18"/>
    </row>
    <row r="974" spans="1:8" ht="15.75" customHeight="1" x14ac:dyDescent="0.25">
      <c r="A974" s="5"/>
      <c r="B974" s="5"/>
      <c r="C974" s="18"/>
      <c r="D974" s="18"/>
      <c r="E974" s="18"/>
      <c r="F974" s="18"/>
      <c r="G974" s="18"/>
      <c r="H974" s="18"/>
    </row>
    <row r="975" spans="1:8" ht="15.75" customHeight="1" x14ac:dyDescent="0.25">
      <c r="A975" s="5"/>
      <c r="B975" s="5"/>
      <c r="C975" s="18"/>
      <c r="D975" s="18"/>
      <c r="E975" s="18"/>
      <c r="F975" s="18"/>
      <c r="G975" s="18"/>
      <c r="H975" s="18"/>
    </row>
    <row r="976" spans="1:8" ht="15.75" customHeight="1" x14ac:dyDescent="0.25">
      <c r="A976" s="5"/>
      <c r="B976" s="5"/>
      <c r="C976" s="18"/>
      <c r="D976" s="18"/>
      <c r="E976" s="18"/>
      <c r="F976" s="18"/>
      <c r="G976" s="18"/>
      <c r="H976" s="18"/>
    </row>
    <row r="977" spans="1:8" ht="15.75" customHeight="1" x14ac:dyDescent="0.25">
      <c r="A977" s="5"/>
      <c r="B977" s="5"/>
      <c r="C977" s="18"/>
      <c r="D977" s="18"/>
      <c r="E977" s="18"/>
      <c r="F977" s="18"/>
      <c r="G977" s="18"/>
      <c r="H977" s="18"/>
    </row>
    <row r="978" spans="1:8" ht="15.75" customHeight="1" x14ac:dyDescent="0.25">
      <c r="A978" s="5"/>
      <c r="B978" s="5"/>
      <c r="C978" s="18"/>
      <c r="D978" s="18"/>
      <c r="E978" s="18"/>
      <c r="F978" s="18"/>
      <c r="G978" s="18"/>
      <c r="H978" s="18"/>
    </row>
    <row r="979" spans="1:8" ht="15.75" customHeight="1" x14ac:dyDescent="0.25">
      <c r="A979" s="5"/>
      <c r="B979" s="5"/>
      <c r="C979" s="18"/>
      <c r="D979" s="18"/>
      <c r="E979" s="18"/>
      <c r="F979" s="18"/>
      <c r="G979" s="18"/>
      <c r="H979" s="18"/>
    </row>
    <row r="980" spans="1:8" ht="15.75" customHeight="1" x14ac:dyDescent="0.25">
      <c r="A980" s="5"/>
      <c r="B980" s="5"/>
      <c r="C980" s="18"/>
      <c r="D980" s="18"/>
      <c r="E980" s="18"/>
      <c r="F980" s="18"/>
      <c r="G980" s="18"/>
      <c r="H980" s="18"/>
    </row>
    <row r="981" spans="1:8" ht="15.75" customHeight="1" x14ac:dyDescent="0.25">
      <c r="A981" s="5"/>
      <c r="B981" s="5"/>
      <c r="C981" s="18"/>
      <c r="D981" s="18"/>
      <c r="E981" s="18"/>
      <c r="F981" s="18"/>
      <c r="G981" s="18"/>
      <c r="H981" s="18"/>
    </row>
    <row r="982" spans="1:8" ht="15.75" customHeight="1" x14ac:dyDescent="0.25">
      <c r="A982" s="5"/>
      <c r="B982" s="5"/>
      <c r="C982" s="18"/>
      <c r="D982" s="18"/>
      <c r="E982" s="18"/>
      <c r="F982" s="18"/>
      <c r="G982" s="18"/>
      <c r="H982" s="18"/>
    </row>
    <row r="983" spans="1:8" ht="15.75" customHeight="1" x14ac:dyDescent="0.25">
      <c r="A983" s="5"/>
      <c r="B983" s="5"/>
      <c r="C983" s="18"/>
      <c r="D983" s="18"/>
      <c r="E983" s="18"/>
      <c r="F983" s="18"/>
      <c r="G983" s="18"/>
      <c r="H983" s="18"/>
    </row>
    <row r="984" spans="1:8" ht="15.75" customHeight="1" x14ac:dyDescent="0.25">
      <c r="A984" s="5"/>
      <c r="B984" s="5"/>
      <c r="C984" s="18"/>
      <c r="D984" s="18"/>
      <c r="E984" s="18"/>
      <c r="F984" s="18"/>
      <c r="G984" s="18"/>
      <c r="H984" s="18"/>
    </row>
    <row r="985" spans="1:8" ht="15.75" customHeight="1" x14ac:dyDescent="0.25">
      <c r="A985" s="5"/>
      <c r="B985" s="5"/>
      <c r="C985" s="18"/>
      <c r="D985" s="18"/>
      <c r="E985" s="18"/>
      <c r="F985" s="18"/>
      <c r="G985" s="18"/>
      <c r="H985" s="18"/>
    </row>
    <row r="986" spans="1:8" ht="15.75" customHeight="1" x14ac:dyDescent="0.25">
      <c r="A986" s="5"/>
      <c r="B986" s="5"/>
      <c r="C986" s="18"/>
      <c r="D986" s="18"/>
      <c r="E986" s="18"/>
      <c r="F986" s="18"/>
      <c r="G986" s="18"/>
      <c r="H986" s="18"/>
    </row>
    <row r="987" spans="1:8" ht="15.75" customHeight="1" x14ac:dyDescent="0.25">
      <c r="A987" s="5"/>
      <c r="B987" s="5"/>
      <c r="C987" s="18"/>
      <c r="D987" s="18"/>
      <c r="E987" s="18"/>
      <c r="F987" s="18"/>
      <c r="G987" s="18"/>
      <c r="H987" s="18"/>
    </row>
    <row r="988" spans="1:8" ht="15.75" customHeight="1" x14ac:dyDescent="0.25">
      <c r="A988" s="5"/>
      <c r="B988" s="5"/>
      <c r="C988" s="18"/>
      <c r="D988" s="18"/>
      <c r="E988" s="18"/>
      <c r="F988" s="18"/>
      <c r="G988" s="18"/>
      <c r="H988" s="18"/>
    </row>
    <row r="989" spans="1:8" ht="15.75" customHeight="1" x14ac:dyDescent="0.25">
      <c r="A989" s="5"/>
      <c r="B989" s="5"/>
      <c r="C989" s="18"/>
      <c r="D989" s="18"/>
      <c r="E989" s="18"/>
      <c r="F989" s="18"/>
      <c r="G989" s="18"/>
      <c r="H989" s="18"/>
    </row>
    <row r="990" spans="1:8" ht="15.75" customHeight="1" x14ac:dyDescent="0.25">
      <c r="A990" s="5"/>
      <c r="B990" s="5"/>
      <c r="C990" s="18"/>
      <c r="D990" s="18"/>
      <c r="E990" s="18"/>
      <c r="F990" s="18"/>
      <c r="G990" s="18"/>
      <c r="H990" s="18"/>
    </row>
    <row r="991" spans="1:8" ht="15.75" customHeight="1" x14ac:dyDescent="0.25">
      <c r="A991" s="5"/>
      <c r="B991" s="5"/>
      <c r="C991" s="18"/>
      <c r="D991" s="18"/>
      <c r="E991" s="18"/>
      <c r="F991" s="18"/>
      <c r="G991" s="18"/>
      <c r="H991" s="18"/>
    </row>
    <row r="992" spans="1:8" ht="15.75" customHeight="1" x14ac:dyDescent="0.25">
      <c r="A992" s="5"/>
      <c r="B992" s="5"/>
      <c r="C992" s="18"/>
      <c r="D992" s="18"/>
      <c r="E992" s="18"/>
      <c r="F992" s="18"/>
      <c r="G992" s="18"/>
      <c r="H992" s="18"/>
    </row>
    <row r="993" spans="1:8" ht="15.75" customHeight="1" x14ac:dyDescent="0.25">
      <c r="A993" s="5"/>
      <c r="B993" s="5"/>
      <c r="C993" s="18"/>
      <c r="D993" s="18"/>
      <c r="E993" s="18"/>
      <c r="F993" s="18"/>
      <c r="G993" s="18"/>
      <c r="H993" s="18"/>
    </row>
    <row r="994" spans="1:8" ht="15.75" customHeight="1" x14ac:dyDescent="0.25">
      <c r="A994" s="5"/>
      <c r="B994" s="5"/>
      <c r="C994" s="18"/>
      <c r="D994" s="18"/>
      <c r="E994" s="18"/>
      <c r="F994" s="18"/>
      <c r="G994" s="18"/>
      <c r="H994" s="18"/>
    </row>
    <row r="995" spans="1:8" ht="15.75" customHeight="1" x14ac:dyDescent="0.25">
      <c r="A995" s="5"/>
      <c r="B995" s="5"/>
      <c r="C995" s="18"/>
      <c r="D995" s="18"/>
      <c r="E995" s="18"/>
      <c r="F995" s="18"/>
      <c r="G995" s="18"/>
      <c r="H995" s="18"/>
    </row>
    <row r="996" spans="1:8" ht="15.75" customHeight="1" x14ac:dyDescent="0.25">
      <c r="A996" s="5"/>
      <c r="B996" s="5"/>
      <c r="C996" s="18"/>
      <c r="D996" s="18"/>
      <c r="E996" s="18"/>
      <c r="F996" s="18"/>
      <c r="G996" s="18"/>
      <c r="H996" s="18"/>
    </row>
    <row r="997" spans="1:8" ht="15.75" customHeight="1" x14ac:dyDescent="0.25">
      <c r="A997" s="5"/>
      <c r="B997" s="5"/>
      <c r="C997" s="18"/>
      <c r="D997" s="18"/>
      <c r="E997" s="18"/>
      <c r="F997" s="18"/>
      <c r="G997" s="18"/>
      <c r="H997" s="18"/>
    </row>
    <row r="998" spans="1:8" ht="15.75" customHeight="1" x14ac:dyDescent="0.25">
      <c r="A998" s="5"/>
      <c r="B998" s="5"/>
      <c r="C998" s="18"/>
      <c r="D998" s="18"/>
      <c r="E998" s="18"/>
      <c r="F998" s="18"/>
      <c r="G998" s="18"/>
      <c r="H998" s="18"/>
    </row>
    <row r="999" spans="1:8" ht="15.75" customHeight="1" x14ac:dyDescent="0.25">
      <c r="A999" s="5"/>
      <c r="B999" s="5"/>
      <c r="C999" s="18"/>
      <c r="D999" s="18"/>
      <c r="E999" s="18"/>
      <c r="F999" s="18"/>
      <c r="G999" s="18"/>
      <c r="H999" s="18"/>
    </row>
    <row r="1000" spans="1:8" ht="15.75" customHeight="1" x14ac:dyDescent="0.25">
      <c r="A1000" s="5"/>
      <c r="B1000" s="5"/>
      <c r="C1000" s="18"/>
      <c r="D1000" s="18"/>
      <c r="E1000" s="18"/>
      <c r="F1000" s="18"/>
      <c r="G1000" s="18"/>
      <c r="H1000" s="18"/>
    </row>
    <row r="1001" spans="1:8" ht="15.75" customHeight="1" x14ac:dyDescent="0.25">
      <c r="A1001" s="5"/>
      <c r="B1001" s="5"/>
      <c r="C1001" s="18"/>
      <c r="D1001" s="18"/>
      <c r="E1001" s="18"/>
      <c r="F1001" s="18"/>
      <c r="G1001" s="18"/>
      <c r="H1001" s="18"/>
    </row>
  </sheetData>
  <printOptions horizontalCentered="1"/>
  <pageMargins left="0" right="0" top="0.75" bottom="0.75" header="0" footer="0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33FD-E26B-4EDC-93A8-521C9E2741C0}">
  <sheetPr codeName="Sheet1">
    <tabColor rgb="FF78206E"/>
  </sheetPr>
  <dimension ref="A1:G26"/>
  <sheetViews>
    <sheetView workbookViewId="0">
      <selection activeCell="C24" sqref="C24"/>
    </sheetView>
  </sheetViews>
  <sheetFormatPr defaultColWidth="16.42578125" defaultRowHeight="15" x14ac:dyDescent="0.25"/>
  <cols>
    <col min="1" max="1" width="21.140625" style="126" bestFit="1" customWidth="1"/>
    <col min="2" max="16384" width="16.42578125" style="126"/>
  </cols>
  <sheetData>
    <row r="1" spans="1:7" ht="63" x14ac:dyDescent="0.25">
      <c r="A1" s="129"/>
      <c r="B1" s="130" t="s">
        <v>306</v>
      </c>
      <c r="C1" s="130" t="s">
        <v>307</v>
      </c>
      <c r="D1" s="130" t="s">
        <v>119</v>
      </c>
      <c r="E1" s="130" t="s">
        <v>308</v>
      </c>
      <c r="F1" s="130" t="s">
        <v>120</v>
      </c>
      <c r="G1" s="131" t="s">
        <v>309</v>
      </c>
    </row>
    <row r="2" spans="1:7" ht="15.75" x14ac:dyDescent="0.25">
      <c r="A2" s="132" t="s">
        <v>310</v>
      </c>
      <c r="B2" s="133">
        <f>B4*B3</f>
        <v>-58234.93</v>
      </c>
      <c r="C2" s="133">
        <f t="shared" ref="C2:F2" si="0">C4*C3</f>
        <v>-2087727.9349999991</v>
      </c>
      <c r="D2" s="133">
        <f t="shared" si="0"/>
        <v>-98750.101999999941</v>
      </c>
      <c r="E2" s="133">
        <f t="shared" si="0"/>
        <v>-1464051.8728</v>
      </c>
      <c r="F2" s="133">
        <f t="shared" si="0"/>
        <v>-24717912.653999999</v>
      </c>
      <c r="G2" s="134"/>
    </row>
    <row r="3" spans="1:7" ht="15.75" x14ac:dyDescent="0.25">
      <c r="A3" s="132" t="s">
        <v>311</v>
      </c>
      <c r="B3" s="135">
        <v>1</v>
      </c>
      <c r="C3" s="135">
        <f>B10</f>
        <v>128.5</v>
      </c>
      <c r="D3" s="135">
        <f>B12</f>
        <v>88.84</v>
      </c>
      <c r="E3" s="136">
        <f>B13</f>
        <v>2454.98</v>
      </c>
      <c r="F3" s="136">
        <f>B11</f>
        <v>3543.99</v>
      </c>
      <c r="G3" s="134"/>
    </row>
    <row r="4" spans="1:7" ht="15.75" x14ac:dyDescent="0.25">
      <c r="A4" s="137" t="s">
        <v>312</v>
      </c>
      <c r="B4" s="138">
        <v>-58234.93</v>
      </c>
      <c r="C4" s="138">
        <v>-16246.909999999993</v>
      </c>
      <c r="D4" s="138">
        <v>-1111.5499999999993</v>
      </c>
      <c r="E4" s="139">
        <v>-596.36</v>
      </c>
      <c r="F4" s="138">
        <v>-6974.6</v>
      </c>
      <c r="G4" s="140">
        <v>-83164.350000000006</v>
      </c>
    </row>
    <row r="10" spans="1:7" x14ac:dyDescent="0.25">
      <c r="A10" s="126" t="s">
        <v>313</v>
      </c>
      <c r="B10" s="126">
        <v>128.5</v>
      </c>
    </row>
    <row r="11" spans="1:7" x14ac:dyDescent="0.25">
      <c r="A11" s="126" t="s">
        <v>314</v>
      </c>
      <c r="B11" s="127">
        <v>3543.99</v>
      </c>
      <c r="E11" s="127"/>
      <c r="F11" s="127"/>
    </row>
    <row r="12" spans="1:7" x14ac:dyDescent="0.25">
      <c r="A12" s="126" t="s">
        <v>315</v>
      </c>
      <c r="B12" s="126">
        <v>88.84</v>
      </c>
    </row>
    <row r="13" spans="1:7" x14ac:dyDescent="0.25">
      <c r="A13" s="126" t="s">
        <v>316</v>
      </c>
      <c r="B13" s="127">
        <v>2454.98</v>
      </c>
      <c r="E13" s="127"/>
      <c r="F13" s="127"/>
    </row>
    <row r="14" spans="1:7" x14ac:dyDescent="0.25">
      <c r="A14" s="126" t="s">
        <v>317</v>
      </c>
      <c r="B14" s="126">
        <v>1</v>
      </c>
    </row>
    <row r="16" spans="1:7" x14ac:dyDescent="0.25">
      <c r="C16" s="128"/>
    </row>
    <row r="17" spans="3:3" x14ac:dyDescent="0.25">
      <c r="C17" s="128"/>
    </row>
    <row r="18" spans="3:3" x14ac:dyDescent="0.25">
      <c r="C18" s="128"/>
    </row>
    <row r="19" spans="3:3" x14ac:dyDescent="0.25">
      <c r="C19" s="128"/>
    </row>
    <row r="20" spans="3:3" x14ac:dyDescent="0.25">
      <c r="C20" s="128"/>
    </row>
    <row r="21" spans="3:3" x14ac:dyDescent="0.25">
      <c r="C21" s="128"/>
    </row>
    <row r="22" spans="3:3" x14ac:dyDescent="0.25">
      <c r="C22" s="128"/>
    </row>
    <row r="23" spans="3:3" x14ac:dyDescent="0.25">
      <c r="C23" s="128"/>
    </row>
    <row r="24" spans="3:3" x14ac:dyDescent="0.25">
      <c r="C24" s="128"/>
    </row>
    <row r="25" spans="3:3" x14ac:dyDescent="0.25">
      <c r="C25" s="128"/>
    </row>
    <row r="26" spans="3:3" x14ac:dyDescent="0.25">
      <c r="C26" s="1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8206E"/>
  </sheetPr>
  <dimension ref="A1:O1003"/>
  <sheetViews>
    <sheetView zoomScale="60" zoomScaleNormal="60" workbookViewId="0">
      <selection activeCell="I48" sqref="I48:K48"/>
    </sheetView>
  </sheetViews>
  <sheetFormatPr defaultColWidth="12.5703125" defaultRowHeight="15" customHeight="1" x14ac:dyDescent="0.25"/>
  <cols>
    <col min="1" max="1" width="7.85546875" customWidth="1"/>
    <col min="2" max="2" width="44" customWidth="1"/>
    <col min="3" max="3" width="14" customWidth="1"/>
    <col min="4" max="4" width="16.42578125" customWidth="1"/>
    <col min="5" max="5" width="14" bestFit="1" customWidth="1"/>
    <col min="6" max="6" width="16" customWidth="1"/>
    <col min="7" max="7" width="12.5703125" customWidth="1"/>
    <col min="8" max="8" width="14.42578125" bestFit="1" customWidth="1"/>
    <col min="9" max="9" width="14.85546875" bestFit="1" customWidth="1"/>
    <col min="10" max="10" width="17.28515625" bestFit="1" customWidth="1"/>
    <col min="11" max="11" width="14" bestFit="1" customWidth="1"/>
    <col min="12" max="14" width="12.5703125" customWidth="1"/>
    <col min="15" max="15" width="13.5703125" customWidth="1"/>
  </cols>
  <sheetData>
    <row r="1" spans="1:15" ht="15.75" customHeight="1" x14ac:dyDescent="0.25">
      <c r="A1" s="6" t="str">
        <f>TableofContent!A1</f>
        <v>POWER FINANCIAL WELLNESS  INC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7" t="str">
        <f>TableofContent!F1</f>
        <v>USD</v>
      </c>
    </row>
    <row r="2" spans="1:15" ht="15.75" customHeight="1" x14ac:dyDescent="0.25">
      <c r="A2" s="6" t="str">
        <f>TableofContent!A2</f>
        <v>CONSOLIDATED MANAGEMENT ACCOUNTS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.75" customHeight="1" x14ac:dyDescent="0.25">
      <c r="A3" s="6" t="s">
        <v>145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.75" customHeight="1" x14ac:dyDescent="0.25">
      <c r="A4" s="6" t="str">
        <f>TableofContent!A4</f>
        <v>FOR PERIOD ENDED JULY 31,  2025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5.75" customHeight="1" x14ac:dyDescent="0.25">
      <c r="A5" s="6" t="str">
        <f>TableofContent!A5</f>
        <v>PREPARED BY: MOSES KIGO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.75" customHeight="1" x14ac:dyDescent="0.25">
      <c r="A6" s="5"/>
      <c r="B6" s="5"/>
      <c r="C6" s="11">
        <v>2</v>
      </c>
      <c r="D6" s="11">
        <f>C6+1</f>
        <v>3</v>
      </c>
      <c r="E6" s="11">
        <f t="shared" ref="E6:K6" si="0">D6+1</f>
        <v>4</v>
      </c>
      <c r="F6" s="11">
        <f t="shared" si="0"/>
        <v>5</v>
      </c>
      <c r="G6" s="11">
        <f t="shared" si="0"/>
        <v>6</v>
      </c>
      <c r="H6" s="11">
        <f t="shared" si="0"/>
        <v>7</v>
      </c>
      <c r="I6" s="11">
        <f t="shared" si="0"/>
        <v>8</v>
      </c>
      <c r="J6" s="11">
        <f t="shared" si="0"/>
        <v>9</v>
      </c>
      <c r="K6" s="11">
        <f t="shared" si="0"/>
        <v>10</v>
      </c>
      <c r="L6" s="5"/>
      <c r="M6" s="5"/>
      <c r="N6" s="5"/>
      <c r="O6" s="5"/>
    </row>
    <row r="7" spans="1:15" ht="15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 x14ac:dyDescent="0.25">
      <c r="A8" s="5"/>
      <c r="B8" s="33" t="s">
        <v>146</v>
      </c>
      <c r="C8" s="32">
        <v>45658</v>
      </c>
      <c r="D8" s="32">
        <f t="shared" ref="D8:N8" si="1">EOMONTH(C8,1)</f>
        <v>45716</v>
      </c>
      <c r="E8" s="32">
        <f t="shared" si="1"/>
        <v>45747</v>
      </c>
      <c r="F8" s="32">
        <f t="shared" si="1"/>
        <v>45777</v>
      </c>
      <c r="G8" s="32">
        <f t="shared" si="1"/>
        <v>45808</v>
      </c>
      <c r="H8" s="32">
        <f t="shared" si="1"/>
        <v>45838</v>
      </c>
      <c r="I8" s="32">
        <f t="shared" si="1"/>
        <v>45869</v>
      </c>
      <c r="J8" s="32">
        <f t="shared" si="1"/>
        <v>45900</v>
      </c>
      <c r="K8" s="32">
        <f t="shared" si="1"/>
        <v>45930</v>
      </c>
      <c r="L8" s="32">
        <f t="shared" si="1"/>
        <v>45961</v>
      </c>
      <c r="M8" s="32">
        <f t="shared" si="1"/>
        <v>45991</v>
      </c>
      <c r="N8" s="32">
        <f t="shared" si="1"/>
        <v>46022</v>
      </c>
      <c r="O8" s="32" t="s">
        <v>123</v>
      </c>
    </row>
    <row r="9" spans="1:15" ht="15.75" customHeight="1" x14ac:dyDescent="0.25">
      <c r="A9" s="5" t="s">
        <v>28</v>
      </c>
      <c r="B9" s="36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5.75" customHeight="1" x14ac:dyDescent="0.25">
      <c r="A10" s="20" t="s">
        <v>29</v>
      </c>
      <c r="B10" s="8" t="s">
        <v>147</v>
      </c>
      <c r="C10" s="11">
        <f>BS_12MoM!D46-BS_12MoM!C46</f>
        <v>-90623.850000000093</v>
      </c>
      <c r="D10" s="11">
        <f>BS_12MoM!E46-BS_12MoM!D46</f>
        <v>-95814.969999999739</v>
      </c>
      <c r="E10" s="11">
        <f>BS_12MoM!F46-BS_12MoM!E46</f>
        <v>-77687.860000000335</v>
      </c>
      <c r="F10" s="11">
        <f>BS_12MoM!G46-BS_12MoM!F46</f>
        <v>-99600.449999999721</v>
      </c>
      <c r="G10" s="11">
        <f>BS_12MoM!H46-BS_12MoM!G46</f>
        <v>-96765.160000000149</v>
      </c>
      <c r="H10" s="11">
        <f>BS_12MoM!I46-BS_12MoM!H46</f>
        <v>-97379.089999999851</v>
      </c>
      <c r="I10" s="11">
        <f>BS_12MoM!J46-BS_12MoM!I46</f>
        <v>-89872.660000000149</v>
      </c>
      <c r="J10" s="11">
        <f>BS_12MoM!K46-BS_12MoM!J46</f>
        <v>-81767.279999999795</v>
      </c>
      <c r="K10" s="11">
        <f>BS_12MoM!L46-BS_12MoM!K46</f>
        <v>-76906.320000000298</v>
      </c>
      <c r="L10" s="11">
        <v>0</v>
      </c>
      <c r="M10" s="11">
        <v>0</v>
      </c>
      <c r="N10" s="11">
        <f>IS_12MoM!N41</f>
        <v>0</v>
      </c>
      <c r="O10" s="11"/>
    </row>
    <row r="11" spans="1:15" ht="15.75" customHeight="1" x14ac:dyDescent="0.25">
      <c r="A11" s="20" t="s">
        <v>31</v>
      </c>
      <c r="B11" s="10" t="s">
        <v>148</v>
      </c>
      <c r="C11" s="11">
        <f>BS_12MoM!C19-BS_12MoM!D19</f>
        <v>1001.0600000000013</v>
      </c>
      <c r="D11" s="11">
        <f>BS_12MoM!D19-BS_12MoM!E19</f>
        <v>1089.0999999999985</v>
      </c>
      <c r="E11" s="11">
        <f>BS_12MoM!E19-BS_12MoM!F19</f>
        <v>1091.4000000000015</v>
      </c>
      <c r="F11" s="11">
        <f>BS_12MoM!F19-BS_12MoM!G19</f>
        <v>1099.1899999999987</v>
      </c>
      <c r="G11" s="11">
        <f>BS_12MoM!G19-BS_12MoM!H19</f>
        <v>1090.7999999999993</v>
      </c>
      <c r="H11" s="11">
        <f>BS_12MoM!H19-BS_12MoM!I19</f>
        <v>1164.380000000001</v>
      </c>
      <c r="I11" s="11">
        <f>BS_12MoM!I19-BS_12MoM!J19</f>
        <v>1152.1800000000003</v>
      </c>
      <c r="J11" s="11">
        <f>BS_12MoM!J19-BS_12MoM!K19</f>
        <v>1152.739999999998</v>
      </c>
      <c r="K11" s="11">
        <f>BS_12MoM!K19-BS_12MoM!L19</f>
        <v>1204.1599999999999</v>
      </c>
      <c r="L11" s="11">
        <v>0</v>
      </c>
      <c r="M11" s="11">
        <v>0</v>
      </c>
      <c r="N11" s="11">
        <f>BS_12MoM!N19-BS_12MoM!O19</f>
        <v>0</v>
      </c>
      <c r="O11" s="11"/>
    </row>
    <row r="12" spans="1:15" ht="15.75" customHeight="1" x14ac:dyDescent="0.25">
      <c r="A12" s="20" t="s">
        <v>33</v>
      </c>
      <c r="B12" s="10" t="s">
        <v>149</v>
      </c>
      <c r="C12" s="11">
        <f>BS_12MoM!C21-BS_12MoM!D21</f>
        <v>20158.869999999995</v>
      </c>
      <c r="D12" s="11">
        <f>BS_12MoM!D21-BS_12MoM!E21</f>
        <v>20177.969999999972</v>
      </c>
      <c r="E12" s="11">
        <f>BS_12MoM!E21-BS_12MoM!F21</f>
        <v>20168.220000000088</v>
      </c>
      <c r="F12" s="11">
        <f>BS_12MoM!F21-BS_12MoM!G21</f>
        <v>20168.219999999972</v>
      </c>
      <c r="G12" s="11">
        <f>BS_12MoM!G21-BS_12MoM!H21</f>
        <v>20168.219999999972</v>
      </c>
      <c r="H12" s="11">
        <f>BS_12MoM!H21-BS_12MoM!I21</f>
        <v>20168.219999999972</v>
      </c>
      <c r="I12" s="11">
        <f>BS_12MoM!I21-BS_12MoM!J21</f>
        <v>20165.650000000023</v>
      </c>
      <c r="J12" s="11">
        <f>BS_12MoM!J21-BS_12MoM!K21</f>
        <v>7741.3399999999674</v>
      </c>
      <c r="K12" s="11">
        <f>BS_12MoM!K21-BS_12MoM!L21</f>
        <v>287.70000000006985</v>
      </c>
      <c r="L12" s="11">
        <v>0</v>
      </c>
      <c r="M12" s="11">
        <v>0</v>
      </c>
      <c r="N12" s="11">
        <f>BS_12MoM!N21-BS_12MoM!O21</f>
        <v>0</v>
      </c>
      <c r="O12" s="11"/>
    </row>
    <row r="13" spans="1:15" ht="15.75" customHeight="1" x14ac:dyDescent="0.25">
      <c r="A13" s="20" t="s">
        <v>35</v>
      </c>
      <c r="B13" s="10" t="s">
        <v>150</v>
      </c>
      <c r="C13" s="11">
        <f>IS_12MoM!C38</f>
        <v>-8866.64</v>
      </c>
      <c r="D13" s="11">
        <f>IS_12MoM!D38</f>
        <v>-9616.99</v>
      </c>
      <c r="E13" s="11">
        <f>IS_12MoM!E38</f>
        <v>-9476.5</v>
      </c>
      <c r="F13" s="11">
        <f>IS_12MoM!F38</f>
        <v>-7694.2</v>
      </c>
      <c r="G13" s="11">
        <f>IS_12MoM!G38</f>
        <v>-7310.57</v>
      </c>
      <c r="H13" s="11">
        <f>IS_12MoM!H38</f>
        <v>-7172.2</v>
      </c>
      <c r="I13" s="11">
        <f>IS_12MoM!I38</f>
        <v>-5862.85</v>
      </c>
      <c r="J13" s="11">
        <f>IS_12MoM!J38</f>
        <v>-5459.98</v>
      </c>
      <c r="K13" s="11">
        <f>IS_12MoM!K38</f>
        <v>-5483.75</v>
      </c>
      <c r="L13" s="11">
        <v>0</v>
      </c>
      <c r="M13" s="11">
        <v>0</v>
      </c>
      <c r="N13" s="11">
        <f>IS_12MoM!N38</f>
        <v>0</v>
      </c>
      <c r="O13" s="11"/>
    </row>
    <row r="14" spans="1:15" ht="15.75" customHeight="1" x14ac:dyDescent="0.25">
      <c r="A14" s="20"/>
      <c r="B14" s="10" t="s">
        <v>281</v>
      </c>
      <c r="C14" s="11">
        <f>BS_12MoM!D45-BS_12MoM!C45</f>
        <v>0.5</v>
      </c>
      <c r="D14" s="11">
        <f>BS_12MoM!E45-BS_12MoM!D45</f>
        <v>0</v>
      </c>
      <c r="E14" s="11">
        <f>BS_12MoM!F45-BS_12MoM!E45</f>
        <v>0</v>
      </c>
      <c r="F14" s="11">
        <f>BS_12MoM!G45-BS_12MoM!F45</f>
        <v>0</v>
      </c>
      <c r="G14" s="11">
        <f>BS_12MoM!H45-BS_12MoM!G45</f>
        <v>0</v>
      </c>
      <c r="H14" s="11">
        <f>BS_12MoM!I45-BS_12MoM!H45</f>
        <v>0</v>
      </c>
      <c r="I14" s="11">
        <f>BS_12MoM!J45-BS_12MoM!I45</f>
        <v>0</v>
      </c>
      <c r="J14" s="11">
        <f>BS_12MoM!K45-BS_12MoM!J45</f>
        <v>0</v>
      </c>
      <c r="K14" s="11">
        <f>BS_12MoM!L45-BS_12MoM!K45</f>
        <v>0</v>
      </c>
      <c r="L14" s="11">
        <v>0</v>
      </c>
      <c r="M14" s="11">
        <v>0</v>
      </c>
      <c r="N14" s="11">
        <f>BS_12MoM!O45-BS_12MoM!N45</f>
        <v>0</v>
      </c>
      <c r="O14" s="11"/>
    </row>
    <row r="15" spans="1:15" ht="15.75" customHeight="1" x14ac:dyDescent="0.25">
      <c r="A15" s="20"/>
      <c r="B15" s="10" t="s">
        <v>280</v>
      </c>
      <c r="C15" s="11">
        <f>BS_12MoM!D47-BS_12MoM!C47</f>
        <v>-9404.0899999999965</v>
      </c>
      <c r="D15" s="11">
        <f>BS_12MoM!E47-BS_12MoM!D47</f>
        <v>-32.669999999998254</v>
      </c>
      <c r="E15" s="11">
        <f>BS_12MoM!F47-BS_12MoM!E47</f>
        <v>-38.880000000004657</v>
      </c>
      <c r="F15" s="11">
        <f>BS_12MoM!G47-BS_12MoM!F47</f>
        <v>-19.350000000005821</v>
      </c>
      <c r="G15" s="11">
        <f>BS_12MoM!H47-BS_12MoM!G47</f>
        <v>-15.899999999994179</v>
      </c>
      <c r="H15" s="11">
        <f>BS_12MoM!I47-BS_12MoM!H47</f>
        <v>-31.279999999998836</v>
      </c>
      <c r="I15" s="11">
        <f>BS_12MoM!J47-BS_12MoM!I47</f>
        <v>0.33000000000174623</v>
      </c>
      <c r="J15" s="11">
        <f>BS_12MoM!K47-BS_12MoM!J47</f>
        <v>0.1299999999901047</v>
      </c>
      <c r="K15" s="11">
        <f>BS_12MoM!L47-BS_12MoM!K47</f>
        <v>0.13000000000465661</v>
      </c>
      <c r="L15" s="11">
        <v>0</v>
      </c>
      <c r="M15" s="11">
        <v>0</v>
      </c>
      <c r="N15" s="11">
        <f>BS_12MoM!O47-BS_12MoM!N47</f>
        <v>0</v>
      </c>
      <c r="O15" s="11"/>
    </row>
    <row r="16" spans="1:15" ht="15.75" customHeight="1" x14ac:dyDescent="0.25">
      <c r="A16" s="20" t="s">
        <v>37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>
        <v>0</v>
      </c>
      <c r="M16" s="14">
        <v>0</v>
      </c>
      <c r="N16" s="14"/>
      <c r="O16" s="68"/>
    </row>
    <row r="17" spans="1:15" ht="15.75" customHeight="1" x14ac:dyDescent="0.25">
      <c r="A17" s="36" t="s">
        <v>39</v>
      </c>
      <c r="B17" s="43" t="s">
        <v>151</v>
      </c>
      <c r="C17" s="15">
        <f t="shared" ref="C17:K17" si="2">SUM(C10:C16)</f>
        <v>-87734.150000000096</v>
      </c>
      <c r="D17" s="15">
        <f t="shared" ref="D17:E17" si="3">SUM(D10:D16)</f>
        <v>-84197.559999999765</v>
      </c>
      <c r="E17" s="15">
        <f t="shared" si="3"/>
        <v>-65943.620000000257</v>
      </c>
      <c r="F17" s="15">
        <f t="shared" ref="F17:G17" si="4">SUM(F10:F16)</f>
        <v>-86046.589999999749</v>
      </c>
      <c r="G17" s="15">
        <f t="shared" ref="G17:L17" si="5">SUM(G10:G16)</f>
        <v>-82832.610000000161</v>
      </c>
      <c r="H17" s="15">
        <f t="shared" si="5"/>
        <v>-83249.96999999987</v>
      </c>
      <c r="I17" s="15">
        <f t="shared" si="5"/>
        <v>-74417.350000000137</v>
      </c>
      <c r="J17" s="15">
        <f t="shared" si="5"/>
        <v>-78333.049999999843</v>
      </c>
      <c r="K17" s="15">
        <f t="shared" si="5"/>
        <v>-80898.08000000022</v>
      </c>
      <c r="L17" s="15">
        <v>0</v>
      </c>
      <c r="M17" s="15">
        <v>0</v>
      </c>
      <c r="N17" s="15">
        <f>SUM(N10:N16)</f>
        <v>0</v>
      </c>
      <c r="O17" s="15"/>
    </row>
    <row r="18" spans="1:15" ht="15.75" customHeight="1" x14ac:dyDescent="0.25">
      <c r="A18" s="20" t="s">
        <v>28</v>
      </c>
      <c r="B18" s="10" t="s">
        <v>28</v>
      </c>
      <c r="C18" s="11"/>
      <c r="D18" s="11"/>
      <c r="E18" s="11"/>
      <c r="F18" s="11"/>
      <c r="G18" s="11"/>
      <c r="H18" s="11"/>
      <c r="I18" s="11"/>
      <c r="J18" s="11"/>
      <c r="K18" s="11"/>
      <c r="L18" s="11">
        <v>0</v>
      </c>
      <c r="M18" s="11">
        <v>0</v>
      </c>
      <c r="N18" s="11"/>
      <c r="O18" s="11"/>
    </row>
    <row r="19" spans="1:15" ht="15.75" customHeight="1" x14ac:dyDescent="0.25">
      <c r="A19" s="20" t="s">
        <v>41</v>
      </c>
      <c r="B19" s="10" t="str">
        <f>BS_12MoM!B12</f>
        <v>Net Loan Receivable</v>
      </c>
      <c r="C19" s="11">
        <f>BS_12MoM!C12-BS_12MoM!D12</f>
        <v>-207069.89</v>
      </c>
      <c r="D19" s="11">
        <f>BS_12MoM!D12-BS_12MoM!E12</f>
        <v>-165907.4800000001</v>
      </c>
      <c r="E19" s="11">
        <f>BS_12MoM!E12-BS_12MoM!F12</f>
        <v>5918.0300000000279</v>
      </c>
      <c r="F19" s="11">
        <f>BS_12MoM!F12-BS_12MoM!G12</f>
        <v>-57124.459999999963</v>
      </c>
      <c r="G19" s="11">
        <f>BS_12MoM!G12-BS_12MoM!H12</f>
        <v>-56327.889999999898</v>
      </c>
      <c r="H19" s="11">
        <f>BS_12MoM!H12-BS_12MoM!I12</f>
        <v>-82570.860000000102</v>
      </c>
      <c r="I19" s="11">
        <f>BS_12MoM!I12-BS_12MoM!J12</f>
        <v>-67006.199999999953</v>
      </c>
      <c r="J19" s="11">
        <f>BS_12MoM!J12-BS_12MoM!K12</f>
        <v>-113112.87000000011</v>
      </c>
      <c r="K19" s="11">
        <f>BS_12MoM!K12-BS_12MoM!L12</f>
        <v>-97368.459999999963</v>
      </c>
      <c r="L19" s="11">
        <v>0</v>
      </c>
      <c r="M19" s="11">
        <v>0</v>
      </c>
      <c r="N19" s="11">
        <f>BS_12MoM!N12-BS_12MoM!O12</f>
        <v>0</v>
      </c>
      <c r="O19" s="11"/>
    </row>
    <row r="20" spans="1:15" ht="15.75" customHeight="1" x14ac:dyDescent="0.25">
      <c r="A20" s="20"/>
      <c r="B20" s="10" t="str">
        <f>BS_12MoM!B13</f>
        <v>Interco-Receivable</v>
      </c>
      <c r="C20" s="11">
        <f>BS_12MoM!C13-BS_12MoM!D13</f>
        <v>-97041.069999999949</v>
      </c>
      <c r="D20" s="11">
        <f>BS_12MoM!D13-BS_12MoM!E13</f>
        <v>-124471.89000000001</v>
      </c>
      <c r="E20" s="11">
        <f>BS_12MoM!E13-BS_12MoM!F13</f>
        <v>-39620.939999999944</v>
      </c>
      <c r="F20" s="11">
        <f>BS_12MoM!F13-BS_12MoM!G13</f>
        <v>-76060.820000000065</v>
      </c>
      <c r="G20" s="11">
        <f>BS_12MoM!G13-BS_12MoM!H13</f>
        <v>-78601.380000000121</v>
      </c>
      <c r="H20" s="11">
        <f>BS_12MoM!H13-BS_12MoM!I13</f>
        <v>-23602.959999999963</v>
      </c>
      <c r="I20" s="11">
        <f>BS_12MoM!I13-BS_12MoM!J13</f>
        <v>-190405.80000000005</v>
      </c>
      <c r="J20" s="11">
        <f>BS_12MoM!J13-BS_12MoM!K13</f>
        <v>-50933.159999999916</v>
      </c>
      <c r="K20" s="11">
        <f>BS_12MoM!K13-BS_12MoM!L13</f>
        <v>-57750.179999999935</v>
      </c>
      <c r="L20" s="11">
        <v>0</v>
      </c>
      <c r="M20" s="11">
        <v>0</v>
      </c>
      <c r="N20" s="11">
        <f>BS_12MoM!N13-BS_12MoM!O13</f>
        <v>0</v>
      </c>
      <c r="O20" s="11"/>
    </row>
    <row r="21" spans="1:15" ht="15.75" customHeight="1" x14ac:dyDescent="0.25">
      <c r="A21" s="20"/>
      <c r="B21" s="10" t="str">
        <f>BS_12MoM!B14</f>
        <v>Other Current Assets</v>
      </c>
      <c r="C21" s="11">
        <f>BS_12MoM!C14-BS_12MoM!D14</f>
        <v>-5466.5899999999965</v>
      </c>
      <c r="D21" s="11">
        <f>BS_12MoM!D14-BS_12MoM!E14</f>
        <v>9411.3699999999953</v>
      </c>
      <c r="E21" s="11">
        <f>BS_12MoM!E14-BS_12MoM!F14</f>
        <v>15098.110000000015</v>
      </c>
      <c r="F21" s="11">
        <f>BS_12MoM!F14-BS_12MoM!G14</f>
        <v>3407.1399999999849</v>
      </c>
      <c r="G21" s="11">
        <f>BS_12MoM!G14-BS_12MoM!H14</f>
        <v>22021.369999999995</v>
      </c>
      <c r="H21" s="11">
        <f>BS_12MoM!H14-BS_12MoM!I14</f>
        <v>21310.99000000002</v>
      </c>
      <c r="I21" s="11">
        <f>BS_12MoM!I14-BS_12MoM!J14</f>
        <v>2775.789999999979</v>
      </c>
      <c r="J21" s="11">
        <f>BS_12MoM!J14-BS_12MoM!K14</f>
        <v>833.26000000000931</v>
      </c>
      <c r="K21" s="11">
        <f>BS_12MoM!K14-BS_12MoM!L14</f>
        <v>-6079.6700000000128</v>
      </c>
      <c r="L21" s="11">
        <v>0</v>
      </c>
      <c r="M21" s="11">
        <v>0</v>
      </c>
      <c r="N21" s="11">
        <f>BS_12MoM!N14-BS_12MoM!O14</f>
        <v>0</v>
      </c>
      <c r="O21" s="11"/>
    </row>
    <row r="22" spans="1:15" ht="15.75" customHeight="1" x14ac:dyDescent="0.25">
      <c r="A22" s="20"/>
      <c r="B22" s="10" t="str">
        <f>BS_12MoM!B30</f>
        <v>Accounts Payable</v>
      </c>
      <c r="C22" s="11">
        <f>BS_12MoM!D30-BS_12MoM!C30</f>
        <v>1007.5400000000081</v>
      </c>
      <c r="D22" s="11">
        <f>BS_12MoM!E30-BS_12MoM!D30</f>
        <v>52738.50999999998</v>
      </c>
      <c r="E22" s="11">
        <f>BS_12MoM!F30-BS_12MoM!E30</f>
        <v>-31774.739999999991</v>
      </c>
      <c r="F22" s="11">
        <f>BS_12MoM!G30-BS_12MoM!F30</f>
        <v>6051.9700000000012</v>
      </c>
      <c r="G22" s="11">
        <f>BS_12MoM!H30-BS_12MoM!G30</f>
        <v>15641.279999999999</v>
      </c>
      <c r="H22" s="11">
        <f>BS_12MoM!I30-BS_12MoM!H30</f>
        <v>-27525.299999999988</v>
      </c>
      <c r="I22" s="11">
        <f>BS_12MoM!J30-BS_12MoM!I30</f>
        <v>-3623.9200000000128</v>
      </c>
      <c r="J22" s="11">
        <f>BS_12MoM!K30-BS_12MoM!J30</f>
        <v>27804.110000000015</v>
      </c>
      <c r="K22" s="11">
        <f>BS_12MoM!L30-BS_12MoM!K30</f>
        <v>11950.809999999998</v>
      </c>
      <c r="L22" s="11">
        <v>0</v>
      </c>
      <c r="M22" s="11">
        <v>0</v>
      </c>
      <c r="N22" s="11">
        <f>BS_12MoM!O30-BS_12MoM!N30</f>
        <v>0</v>
      </c>
      <c r="O22" s="11"/>
    </row>
    <row r="23" spans="1:15" ht="15.75" customHeight="1" x14ac:dyDescent="0.25">
      <c r="A23" s="20"/>
      <c r="B23" s="10" t="str">
        <f>BS_12MoM!B31</f>
        <v>Intercompany Payable</v>
      </c>
      <c r="C23" s="11">
        <f>BS_12MoM!D31-BS_12MoM!C31</f>
        <v>35884.140000000014</v>
      </c>
      <c r="D23" s="11">
        <f>BS_12MoM!E31-BS_12MoM!D31</f>
        <v>39312.29999999993</v>
      </c>
      <c r="E23" s="11">
        <f>BS_12MoM!F31-BS_12MoM!E31</f>
        <v>12161.640000000014</v>
      </c>
      <c r="F23" s="11">
        <f>BS_12MoM!G31-BS_12MoM!F31</f>
        <v>88550.730000000098</v>
      </c>
      <c r="G23" s="11">
        <f>BS_12MoM!H31-BS_12MoM!G31</f>
        <v>51003.939999999944</v>
      </c>
      <c r="H23" s="11">
        <f>BS_12MoM!I31-BS_12MoM!H31</f>
        <v>19120.880000000005</v>
      </c>
      <c r="I23" s="11">
        <f>BS_12MoM!J31-BS_12MoM!I31</f>
        <v>98888.170000000042</v>
      </c>
      <c r="J23" s="11">
        <f>BS_12MoM!K31-BS_12MoM!J31</f>
        <v>54709.709999999963</v>
      </c>
      <c r="K23" s="11">
        <f>BS_12MoM!L31-BS_12MoM!K31</f>
        <v>73534.889999999898</v>
      </c>
      <c r="L23" s="11">
        <v>0</v>
      </c>
      <c r="M23" s="11">
        <v>0</v>
      </c>
      <c r="N23" s="11">
        <f>BS_12MoM!O31-BS_12MoM!N31</f>
        <v>0</v>
      </c>
      <c r="O23" s="11"/>
    </row>
    <row r="24" spans="1:15" ht="15.75" customHeight="1" x14ac:dyDescent="0.25">
      <c r="A24" s="20"/>
      <c r="B24" s="10" t="str">
        <f>BS_12MoM!B33</f>
        <v>Customer Deposits</v>
      </c>
      <c r="C24" s="11">
        <f>BS_12MoM!D33-BS_12MoM!C33</f>
        <v>2810.2900000000009</v>
      </c>
      <c r="D24" s="11">
        <f>BS_12MoM!E33-BS_12MoM!D33</f>
        <v>-4245.6200000000026</v>
      </c>
      <c r="E24" s="11">
        <f>BS_12MoM!F33-BS_12MoM!E33</f>
        <v>-10979.449999999997</v>
      </c>
      <c r="F24" s="11">
        <f>BS_12MoM!G33-BS_12MoM!F33</f>
        <v>-4263.4500000000044</v>
      </c>
      <c r="G24" s="11">
        <f>BS_12MoM!H33-BS_12MoM!G33</f>
        <v>102.13000000000466</v>
      </c>
      <c r="H24" s="11">
        <f>BS_12MoM!I33-BS_12MoM!H33</f>
        <v>-8898.2300000000032</v>
      </c>
      <c r="I24" s="11">
        <f>BS_12MoM!J33-BS_12MoM!I33</f>
        <v>-4339.3999999999978</v>
      </c>
      <c r="J24" s="11">
        <f>BS_12MoM!K33-BS_12MoM!J33</f>
        <v>-302.85000000000218</v>
      </c>
      <c r="K24" s="11">
        <f>BS_12MoM!L33-BS_12MoM!K33</f>
        <v>-2238.7699999999968</v>
      </c>
      <c r="L24" s="11">
        <v>0</v>
      </c>
      <c r="M24" s="11">
        <v>0</v>
      </c>
      <c r="N24" s="11">
        <f>BS_12MoM!O33-BS_12MoM!N33</f>
        <v>0</v>
      </c>
      <c r="O24" s="11"/>
    </row>
    <row r="25" spans="1:15" ht="15.75" customHeight="1" x14ac:dyDescent="0.25">
      <c r="A25" s="20"/>
      <c r="B25" s="10" t="str">
        <f>BS_12MoM!B34</f>
        <v>Accrued Expenses</v>
      </c>
      <c r="C25" s="14">
        <f>BS_12MoM!D34-BS_12MoM!C34</f>
        <v>8339.8999999999942</v>
      </c>
      <c r="D25" s="14">
        <f>BS_12MoM!E34-BS_12MoM!D34</f>
        <v>4626.1100000000151</v>
      </c>
      <c r="E25" s="14">
        <f>BS_12MoM!F34-BS_12MoM!E34</f>
        <v>5533.1399999999849</v>
      </c>
      <c r="F25" s="14">
        <f>BS_12MoM!G34-BS_12MoM!F34</f>
        <v>-2994.5599999999977</v>
      </c>
      <c r="G25" s="14">
        <f>BS_12MoM!H34-BS_12MoM!G34</f>
        <v>-10417.429999999993</v>
      </c>
      <c r="H25" s="14">
        <f>BS_12MoM!I34-BS_12MoM!H34</f>
        <v>-17751.98000000001</v>
      </c>
      <c r="I25" s="14">
        <f>BS_12MoM!J34-BS_12MoM!I34</f>
        <v>-14592.729999999996</v>
      </c>
      <c r="J25" s="14">
        <f>BS_12MoM!K34-BS_12MoM!J34</f>
        <v>-12785.259999999995</v>
      </c>
      <c r="K25" s="14">
        <f>BS_12MoM!L34-BS_12MoM!K34</f>
        <v>4853.7700000000041</v>
      </c>
      <c r="L25" s="14">
        <v>0</v>
      </c>
      <c r="M25" s="14">
        <v>0</v>
      </c>
      <c r="N25" s="14">
        <f>BS_12MoM!O34-BS_12MoM!N34</f>
        <v>0</v>
      </c>
      <c r="O25" s="14"/>
    </row>
    <row r="26" spans="1:15" ht="15.75" customHeight="1" x14ac:dyDescent="0.25">
      <c r="A26" s="20"/>
      <c r="B26" s="44" t="s">
        <v>152</v>
      </c>
      <c r="C26" s="11">
        <f t="shared" ref="C26:J26" si="6">SUM(C19:C25)</f>
        <v>-261535.67999999991</v>
      </c>
      <c r="D26" s="11">
        <f t="shared" si="6"/>
        <v>-188536.70000000019</v>
      </c>
      <c r="E26" s="11">
        <f t="shared" si="6"/>
        <v>-43664.20999999989</v>
      </c>
      <c r="F26" s="11">
        <f t="shared" si="6"/>
        <v>-42433.449999999946</v>
      </c>
      <c r="G26" s="11">
        <f t="shared" ref="G26:L26" si="7">SUM(G19:G25)</f>
        <v>-56577.980000000069</v>
      </c>
      <c r="H26" s="11">
        <f t="shared" si="7"/>
        <v>-119917.46000000005</v>
      </c>
      <c r="I26" s="11">
        <f t="shared" si="7"/>
        <v>-178304.08999999997</v>
      </c>
      <c r="J26" s="11">
        <f t="shared" si="7"/>
        <v>-93787.060000000041</v>
      </c>
      <c r="K26" s="11">
        <f t="shared" si="7"/>
        <v>-73097.61</v>
      </c>
      <c r="L26" s="11">
        <v>0</v>
      </c>
      <c r="M26" s="11">
        <v>0</v>
      </c>
      <c r="N26" s="11">
        <f>SUM(N19:N25)</f>
        <v>0</v>
      </c>
      <c r="O26" s="11"/>
    </row>
    <row r="27" spans="1:15" ht="15.75" customHeight="1" x14ac:dyDescent="0.25">
      <c r="A27" s="20"/>
      <c r="B27" s="61" t="s">
        <v>271</v>
      </c>
      <c r="C27" s="11">
        <f>SUM(BS_12MoM!C22:C23)-SUM(BS_12MoM!D22:D23)</f>
        <v>4.0000000037252903E-2</v>
      </c>
      <c r="D27" s="11">
        <f>SUM(BS_12MoM!D22:D23)-SUM(BS_12MoM!E22:E23)</f>
        <v>0</v>
      </c>
      <c r="E27" s="11">
        <f>SUM(BS_12MoM!E22:E23)-SUM(BS_12MoM!F22:F23)</f>
        <v>0</v>
      </c>
      <c r="F27" s="11">
        <f>SUM(BS_12MoM!F22:F23)-SUM(BS_12MoM!G22:G23)</f>
        <v>0</v>
      </c>
      <c r="G27" s="11">
        <f>SUM(BS_12MoM!G22:G23)-SUM(BS_12MoM!H22:H23)</f>
        <v>0</v>
      </c>
      <c r="H27" s="11">
        <f>SUM(BS_12MoM!H22:H23)-SUM(BS_12MoM!I22:I23)</f>
        <v>0</v>
      </c>
      <c r="I27" s="11">
        <f>SUM(BS_12MoM!I22:I23)-SUM(BS_12MoM!J22:J23)</f>
        <v>0</v>
      </c>
      <c r="J27" s="11">
        <f>SUM(BS_12MoM!J22:J23)-SUM(BS_12MoM!K22:K23)</f>
        <v>0</v>
      </c>
      <c r="K27" s="11">
        <f>SUM(BS_12MoM!K22:K23)-SUM(BS_12MoM!L22:L23)</f>
        <v>0</v>
      </c>
      <c r="L27" s="11">
        <v>0</v>
      </c>
      <c r="M27" s="11">
        <v>0</v>
      </c>
      <c r="N27" s="11">
        <f>SUM(BS_12MoM!N22:N23)-SUM(BS_12MoM!O22:O23)</f>
        <v>0</v>
      </c>
      <c r="O27" s="11"/>
    </row>
    <row r="28" spans="1:15" ht="15.75" customHeight="1" x14ac:dyDescent="0.25">
      <c r="A28" s="20"/>
      <c r="B28" s="5" t="s">
        <v>28</v>
      </c>
      <c r="C28" s="11"/>
      <c r="D28" s="11"/>
      <c r="E28" s="11"/>
      <c r="F28" s="11"/>
      <c r="G28" s="11"/>
      <c r="H28" s="11"/>
      <c r="I28" s="11"/>
      <c r="J28" s="11"/>
      <c r="K28" s="11"/>
      <c r="L28" s="11">
        <v>0</v>
      </c>
      <c r="M28" s="11">
        <v>0</v>
      </c>
      <c r="N28" s="11"/>
      <c r="O28" s="11"/>
    </row>
    <row r="29" spans="1:15" ht="15.75" customHeight="1" thickBot="1" x14ac:dyDescent="0.3">
      <c r="A29" s="20" t="s">
        <v>28</v>
      </c>
      <c r="B29" s="45" t="s">
        <v>153</v>
      </c>
      <c r="C29" s="17">
        <f t="shared" ref="C29:K29" si="8">C17+SUM(C26:C28)</f>
        <v>-349269.79</v>
      </c>
      <c r="D29" s="17">
        <f t="shared" ref="D29:E29" si="9">D17+SUM(D26:D28)</f>
        <v>-272734.25999999995</v>
      </c>
      <c r="E29" s="17">
        <f t="shared" si="9"/>
        <v>-109607.83000000015</v>
      </c>
      <c r="F29" s="17">
        <f t="shared" ref="F29:L29" si="10">F17+SUM(F26:F28)</f>
        <v>-128480.03999999969</v>
      </c>
      <c r="G29" s="17">
        <f t="shared" si="10"/>
        <v>-139410.59000000023</v>
      </c>
      <c r="H29" s="17">
        <f t="shared" si="10"/>
        <v>-203167.42999999993</v>
      </c>
      <c r="I29" s="17">
        <f t="shared" si="10"/>
        <v>-252721.44000000012</v>
      </c>
      <c r="J29" s="17">
        <f t="shared" si="10"/>
        <v>-172120.10999999987</v>
      </c>
      <c r="K29" s="17">
        <f t="shared" si="10"/>
        <v>-153995.69000000024</v>
      </c>
      <c r="L29" s="17">
        <v>0</v>
      </c>
      <c r="M29" s="17">
        <v>0</v>
      </c>
      <c r="N29" s="17">
        <f>N17+SUM(N26:N28)</f>
        <v>0</v>
      </c>
      <c r="O29" s="17"/>
    </row>
    <row r="30" spans="1:15" ht="15.75" customHeight="1" x14ac:dyDescent="0.25">
      <c r="A30" s="36" t="s">
        <v>51</v>
      </c>
      <c r="B30" s="5" t="s">
        <v>28</v>
      </c>
      <c r="C30" s="11"/>
      <c r="D30" s="11"/>
      <c r="E30" s="11"/>
      <c r="F30" s="11"/>
      <c r="G30" s="11"/>
      <c r="H30" s="11"/>
      <c r="I30" s="11"/>
      <c r="J30" s="11"/>
      <c r="K30" s="11"/>
      <c r="L30" s="11">
        <v>0</v>
      </c>
      <c r="M30" s="11">
        <v>0</v>
      </c>
      <c r="N30" s="11"/>
      <c r="O30" s="11"/>
    </row>
    <row r="31" spans="1:15" ht="15.75" customHeight="1" x14ac:dyDescent="0.25">
      <c r="A31" s="20" t="s">
        <v>28</v>
      </c>
      <c r="B31" s="10" t="s">
        <v>154</v>
      </c>
      <c r="C31" s="11">
        <f>BS_12MoM!C18-BS_12MoM!D18</f>
        <v>-2346.760000000002</v>
      </c>
      <c r="D31" s="11">
        <f>BS_12MoM!D18-BS_12MoM!E18</f>
        <v>-4538.7799999999988</v>
      </c>
      <c r="E31" s="11">
        <f>BS_12MoM!E18-BS_12MoM!F18</f>
        <v>-3974.7999999999956</v>
      </c>
      <c r="F31" s="11">
        <f>BS_12MoM!F18-BS_12MoM!G18</f>
        <v>-520.55000000000291</v>
      </c>
      <c r="G31" s="11">
        <f>BS_12MoM!G18-BS_12MoM!H18</f>
        <v>0</v>
      </c>
      <c r="H31" s="11">
        <f>BS_12MoM!H18-BS_12MoM!I18</f>
        <v>-520.55000000000291</v>
      </c>
      <c r="I31" s="11">
        <f>BS_12MoM!I18-BS_12MoM!J18</f>
        <v>-1756.3499999999985</v>
      </c>
      <c r="J31" s="11">
        <f>BS_12MoM!J18-BS_12MoM!K18</f>
        <v>0</v>
      </c>
      <c r="K31" s="11">
        <f>BS_12MoM!K18-BS_12MoM!L18</f>
        <v>-2064.7099999999991</v>
      </c>
      <c r="L31" s="11">
        <v>0</v>
      </c>
      <c r="M31" s="11">
        <v>0</v>
      </c>
      <c r="N31" s="11">
        <f>BS_12MoM!N18-BS_12MoM!O18</f>
        <v>0</v>
      </c>
      <c r="O31" s="11"/>
    </row>
    <row r="32" spans="1:15" ht="15.75" customHeight="1" x14ac:dyDescent="0.25">
      <c r="A32" s="20" t="s">
        <v>54</v>
      </c>
      <c r="B32" s="10" t="s">
        <v>155</v>
      </c>
      <c r="C32" s="11">
        <f>BS_12MoM!C20-BS_12MoM!D20</f>
        <v>-0.28000000002793968</v>
      </c>
      <c r="D32" s="11">
        <f>BS_12MoM!D20-BS_12MoM!E20</f>
        <v>0</v>
      </c>
      <c r="E32" s="11">
        <f>BS_12MoM!E20-BS_12MoM!F20</f>
        <v>0</v>
      </c>
      <c r="F32" s="11">
        <f>BS_12MoM!F20-BS_12MoM!G20</f>
        <v>0</v>
      </c>
      <c r="G32" s="11">
        <f>BS_12MoM!G20-BS_12MoM!H20</f>
        <v>0</v>
      </c>
      <c r="H32" s="11">
        <f>BS_12MoM!H20-BS_12MoM!I20</f>
        <v>0</v>
      </c>
      <c r="I32" s="11">
        <f>BS_12MoM!I20-BS_12MoM!J20</f>
        <v>0</v>
      </c>
      <c r="J32" s="11">
        <f>BS_12MoM!J20-BS_12MoM!K20</f>
        <v>0</v>
      </c>
      <c r="K32" s="11">
        <f>BS_12MoM!K20-BS_12MoM!L20</f>
        <v>0</v>
      </c>
      <c r="L32" s="11">
        <v>0</v>
      </c>
      <c r="M32" s="11">
        <v>0</v>
      </c>
      <c r="N32" s="11">
        <f>BS_12MoM!N20-BS_12MoM!O20</f>
        <v>0</v>
      </c>
      <c r="O32" s="11"/>
    </row>
    <row r="33" spans="1:15" ht="19.5" customHeight="1" x14ac:dyDescent="0.25">
      <c r="A33" s="20" t="s">
        <v>56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>
        <v>0</v>
      </c>
      <c r="M33" s="14">
        <v>0</v>
      </c>
      <c r="N33" s="14"/>
      <c r="O33" s="14"/>
    </row>
    <row r="34" spans="1:15" ht="15.75" customHeight="1" x14ac:dyDescent="0.25">
      <c r="A34" s="20"/>
      <c r="B34" s="46" t="s">
        <v>156</v>
      </c>
      <c r="C34" s="15">
        <f t="shared" ref="C34:H34" si="11">SUM(C31:C32)</f>
        <v>-2347.04000000003</v>
      </c>
      <c r="D34" s="15">
        <f t="shared" si="11"/>
        <v>-4538.7799999999988</v>
      </c>
      <c r="E34" s="15">
        <f t="shared" si="11"/>
        <v>-3974.7999999999956</v>
      </c>
      <c r="F34" s="15">
        <f t="shared" si="11"/>
        <v>-520.55000000000291</v>
      </c>
      <c r="G34" s="15">
        <f t="shared" ref="G34:L34" si="12">SUM(G31:G32)</f>
        <v>0</v>
      </c>
      <c r="H34" s="15">
        <f t="shared" si="12"/>
        <v>-520.55000000000291</v>
      </c>
      <c r="I34" s="15">
        <f t="shared" si="12"/>
        <v>-1756.3499999999985</v>
      </c>
      <c r="J34" s="15">
        <f t="shared" si="12"/>
        <v>0</v>
      </c>
      <c r="K34" s="15">
        <f t="shared" si="12"/>
        <v>-2064.7099999999991</v>
      </c>
      <c r="L34" s="15">
        <v>0</v>
      </c>
      <c r="M34" s="15">
        <v>0</v>
      </c>
      <c r="N34" s="15">
        <f t="shared" ref="M34:N34" si="13">SUM(N31:N32)</f>
        <v>0</v>
      </c>
      <c r="O34" s="15"/>
    </row>
    <row r="35" spans="1:15" ht="15.75" customHeight="1" x14ac:dyDescent="0.25">
      <c r="A35" s="36" t="s">
        <v>66</v>
      </c>
      <c r="B35" s="5" t="s">
        <v>28</v>
      </c>
      <c r="C35" s="11"/>
      <c r="D35" s="11"/>
      <c r="E35" s="11"/>
      <c r="F35" s="11"/>
      <c r="G35" s="11"/>
      <c r="H35" s="11"/>
      <c r="I35" s="11"/>
      <c r="J35" s="11"/>
      <c r="K35" s="11"/>
      <c r="L35" s="11">
        <v>0</v>
      </c>
      <c r="M35" s="11">
        <v>0</v>
      </c>
      <c r="N35" s="11"/>
      <c r="O35" s="11"/>
    </row>
    <row r="36" spans="1:15" ht="15.75" customHeight="1" x14ac:dyDescent="0.25">
      <c r="A36" s="20" t="s">
        <v>28</v>
      </c>
      <c r="B36" s="10" t="s">
        <v>157</v>
      </c>
      <c r="C36" s="11">
        <f>BS_12MoM!D43-BS_12MoM!C43</f>
        <v>-450000.10000000009</v>
      </c>
      <c r="D36" s="11">
        <f>BS_12MoM!E43-BS_12MoM!D43</f>
        <v>0</v>
      </c>
      <c r="E36" s="11">
        <f>BS_12MoM!F43-BS_12MoM!E43</f>
        <v>0</v>
      </c>
      <c r="F36" s="11">
        <f>BS_12MoM!G43-BS_12MoM!F43</f>
        <v>0</v>
      </c>
      <c r="G36" s="11">
        <f>BS_12MoM!H43-BS_12MoM!G43</f>
        <v>35.040000000037253</v>
      </c>
      <c r="H36" s="11">
        <f>BS_12MoM!I43-BS_12MoM!H43</f>
        <v>0</v>
      </c>
      <c r="I36" s="11">
        <f>BS_12MoM!J43-BS_12MoM!I43</f>
        <v>0</v>
      </c>
      <c r="J36" s="11">
        <f>BS_12MoM!K43-BS_12MoM!J43</f>
        <v>0</v>
      </c>
      <c r="K36" s="11">
        <f>BS_12MoM!L43-BS_12MoM!K43</f>
        <v>0</v>
      </c>
      <c r="L36" s="11">
        <v>0</v>
      </c>
      <c r="M36" s="11">
        <v>0</v>
      </c>
      <c r="N36" s="11">
        <f>BS_12MoM!O43-BS_12MoM!N43</f>
        <v>0</v>
      </c>
      <c r="O36" s="11"/>
    </row>
    <row r="37" spans="1:15" ht="15.75" customHeight="1" x14ac:dyDescent="0.25">
      <c r="A37" s="20" t="s">
        <v>70</v>
      </c>
      <c r="B37" s="10" t="s">
        <v>158</v>
      </c>
      <c r="C37" s="11">
        <f>BS_12MoM!D40-BS_12MoM!C40</f>
        <v>931153.5</v>
      </c>
      <c r="D37" s="11">
        <f>BS_12MoM!E40-BS_12MoM!D40</f>
        <v>235112.1400000006</v>
      </c>
      <c r="E37" s="11">
        <f>BS_12MoM!F40-BS_12MoM!E40</f>
        <v>30455.589999999851</v>
      </c>
      <c r="F37" s="11">
        <f>BS_12MoM!G40-BS_12MoM!F40</f>
        <v>250000</v>
      </c>
      <c r="G37" s="11">
        <f>BS_12MoM!H40-BS_12MoM!G40</f>
        <v>180094.69999999925</v>
      </c>
      <c r="H37" s="11">
        <f>BS_12MoM!I40-BS_12MoM!H40</f>
        <v>-30017.650000000373</v>
      </c>
      <c r="I37" s="11">
        <f>BS_12MoM!J40-BS_12MoM!I40</f>
        <v>112470.3900000006</v>
      </c>
      <c r="J37" s="11">
        <f>BS_12MoM!K40-BS_12MoM!J40</f>
        <v>100533.1400000006</v>
      </c>
      <c r="K37" s="11">
        <f>BS_12MoM!L40-BS_12MoM!K40</f>
        <v>250000</v>
      </c>
      <c r="L37" s="11">
        <v>0</v>
      </c>
      <c r="M37" s="11">
        <v>0</v>
      </c>
      <c r="N37" s="11">
        <f>BS_12MoM!O40-BS_12MoM!N40</f>
        <v>0</v>
      </c>
      <c r="O37" s="11"/>
    </row>
    <row r="38" spans="1:15" ht="15.75" customHeight="1" x14ac:dyDescent="0.25">
      <c r="A38" s="20" t="s">
        <v>72</v>
      </c>
      <c r="B38" s="10" t="s">
        <v>159</v>
      </c>
      <c r="C38" s="11">
        <f>BS_12MoM!D32-BS_12MoM!C32</f>
        <v>27971.08</v>
      </c>
      <c r="D38" s="11">
        <f>BS_12MoM!E32-BS_12MoM!D32</f>
        <v>-1684.5299999999988</v>
      </c>
      <c r="E38" s="11">
        <f>BS_12MoM!F32-BS_12MoM!E32</f>
        <v>2799.9300000000003</v>
      </c>
      <c r="F38" s="11">
        <f>BS_12MoM!G32-BS_12MoM!F32</f>
        <v>10656</v>
      </c>
      <c r="G38" s="11">
        <f>BS_12MoM!H32-BS_12MoM!G32</f>
        <v>12089.259999999995</v>
      </c>
      <c r="H38" s="11">
        <f>BS_12MoM!I32-BS_12MoM!H32</f>
        <v>-8995.5499999999956</v>
      </c>
      <c r="I38" s="11">
        <f>BS_12MoM!J32-BS_12MoM!I32</f>
        <v>-5510.4000000000015</v>
      </c>
      <c r="J38" s="11">
        <f>BS_12MoM!K32-BS_12MoM!J32</f>
        <v>26.639999999999418</v>
      </c>
      <c r="K38" s="11">
        <f>BS_12MoM!L32-BS_12MoM!K32</f>
        <v>-6827.1699999999983</v>
      </c>
      <c r="L38" s="11">
        <v>0</v>
      </c>
      <c r="M38" s="11">
        <v>0</v>
      </c>
      <c r="N38" s="11">
        <f>BS_12MoM!O32-BS_12MoM!N32</f>
        <v>0</v>
      </c>
      <c r="O38" s="11"/>
    </row>
    <row r="39" spans="1:15" ht="15.75" customHeight="1" x14ac:dyDescent="0.25">
      <c r="A39" s="20"/>
      <c r="B39" s="10" t="s">
        <v>160</v>
      </c>
      <c r="C39" s="11">
        <f>BS_12MoM!D44-BS_12MoM!C44</f>
        <v>-6.9999999999708962E-2</v>
      </c>
      <c r="D39" s="11">
        <f>BS_12MoM!E44-BS_12MoM!D44</f>
        <v>0</v>
      </c>
      <c r="E39" s="11">
        <f>BS_12MoM!F44-BS_12MoM!E44</f>
        <v>0</v>
      </c>
      <c r="F39" s="11">
        <f>BS_12MoM!G44-BS_12MoM!F44</f>
        <v>0</v>
      </c>
      <c r="G39" s="11">
        <f>BS_12MoM!H44-BS_12MoM!G44</f>
        <v>0</v>
      </c>
      <c r="H39" s="11">
        <f>BS_12MoM!I44-BS_12MoM!H44</f>
        <v>0</v>
      </c>
      <c r="I39" s="11">
        <f>BS_12MoM!J44-BS_12MoM!I44</f>
        <v>0</v>
      </c>
      <c r="J39" s="11">
        <f>BS_12MoM!K44-BS_12MoM!J44</f>
        <v>0</v>
      </c>
      <c r="K39" s="11">
        <f>BS_12MoM!L44-BS_12MoM!K44</f>
        <v>0</v>
      </c>
      <c r="L39" s="11">
        <v>0</v>
      </c>
      <c r="M39" s="11">
        <v>0</v>
      </c>
      <c r="N39" s="11">
        <f>BS_12MoM!O44-BS_12MoM!N44</f>
        <v>0</v>
      </c>
      <c r="O39" s="11"/>
    </row>
    <row r="40" spans="1:15" ht="15.75" customHeight="1" x14ac:dyDescent="0.25">
      <c r="A40" s="20"/>
      <c r="B40" s="10" t="s">
        <v>161</v>
      </c>
      <c r="C40" s="11">
        <f t="shared" ref="C40:H40" si="14">-C13</f>
        <v>8866.64</v>
      </c>
      <c r="D40" s="11">
        <f t="shared" si="14"/>
        <v>9616.99</v>
      </c>
      <c r="E40" s="11">
        <f t="shared" si="14"/>
        <v>9476.5</v>
      </c>
      <c r="F40" s="11">
        <f t="shared" si="14"/>
        <v>7694.2</v>
      </c>
      <c r="G40" s="11">
        <f t="shared" ref="G40:L40" si="15">-G13</f>
        <v>7310.57</v>
      </c>
      <c r="H40" s="11">
        <f t="shared" si="15"/>
        <v>7172.2</v>
      </c>
      <c r="I40" s="11">
        <f t="shared" si="15"/>
        <v>5862.85</v>
      </c>
      <c r="J40" s="11">
        <f t="shared" si="15"/>
        <v>5459.98</v>
      </c>
      <c r="K40" s="11">
        <f t="shared" si="15"/>
        <v>5483.75</v>
      </c>
      <c r="L40" s="11">
        <v>0</v>
      </c>
      <c r="M40" s="11">
        <v>0</v>
      </c>
      <c r="N40" s="11">
        <f>-N13</f>
        <v>0</v>
      </c>
      <c r="O40" s="11"/>
    </row>
    <row r="41" spans="1:15" ht="15.75" customHeight="1" x14ac:dyDescent="0.25">
      <c r="A41" s="20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>
        <v>0</v>
      </c>
      <c r="M41" s="14">
        <v>0</v>
      </c>
      <c r="N41" s="14"/>
      <c r="O41" s="14"/>
    </row>
    <row r="42" spans="1:15" ht="15.75" customHeight="1" x14ac:dyDescent="0.25">
      <c r="A42" s="20"/>
      <c r="B42" s="46" t="s">
        <v>162</v>
      </c>
      <c r="C42" s="15">
        <f t="shared" ref="C42:J42" si="16">SUM(C36:C41)</f>
        <v>517991.04999999993</v>
      </c>
      <c r="D42" s="15">
        <f t="shared" si="16"/>
        <v>243044.60000000059</v>
      </c>
      <c r="E42" s="15">
        <f t="shared" si="16"/>
        <v>42732.019999999851</v>
      </c>
      <c r="F42" s="15">
        <f t="shared" si="16"/>
        <v>268350.2</v>
      </c>
      <c r="G42" s="15">
        <f t="shared" ref="G42:L42" si="17">SUM(G36:G41)</f>
        <v>199529.56999999931</v>
      </c>
      <c r="H42" s="15">
        <f t="shared" si="17"/>
        <v>-31841.000000000367</v>
      </c>
      <c r="I42" s="15">
        <f t="shared" si="17"/>
        <v>112822.84000000061</v>
      </c>
      <c r="J42" s="15">
        <f t="shared" si="17"/>
        <v>106019.76000000059</v>
      </c>
      <c r="K42" s="15">
        <f t="shared" si="17"/>
        <v>248656.58000000002</v>
      </c>
      <c r="L42" s="15">
        <v>0</v>
      </c>
      <c r="M42" s="15">
        <v>0</v>
      </c>
      <c r="N42" s="15">
        <f>SUM(N36:N41)</f>
        <v>0</v>
      </c>
      <c r="O42" s="15"/>
    </row>
    <row r="43" spans="1:15" ht="15.75" customHeight="1" x14ac:dyDescent="0.25">
      <c r="A43" s="36" t="s">
        <v>74</v>
      </c>
      <c r="B43" s="5" t="s">
        <v>28</v>
      </c>
      <c r="C43" s="11"/>
      <c r="D43" s="11"/>
      <c r="E43" s="11"/>
      <c r="F43" s="11"/>
      <c r="G43" s="11"/>
      <c r="H43" s="11"/>
      <c r="I43" s="11"/>
      <c r="J43" s="11"/>
      <c r="K43" s="11"/>
      <c r="L43" s="11">
        <v>0</v>
      </c>
      <c r="M43" s="11">
        <v>0</v>
      </c>
      <c r="N43" s="11"/>
      <c r="O43" s="11"/>
    </row>
    <row r="44" spans="1:15" ht="15.75" customHeight="1" x14ac:dyDescent="0.25">
      <c r="A44" s="20" t="s">
        <v>28</v>
      </c>
      <c r="B44" s="47" t="s">
        <v>163</v>
      </c>
      <c r="C44" s="48">
        <f t="shared" ref="C44:H44" si="18">C29+C34+C42</f>
        <v>166374.21999999991</v>
      </c>
      <c r="D44" s="48">
        <f t="shared" si="18"/>
        <v>-34228.439999999333</v>
      </c>
      <c r="E44" s="48">
        <f t="shared" si="18"/>
        <v>-70850.610000000306</v>
      </c>
      <c r="F44" s="48">
        <f t="shared" si="18"/>
        <v>139349.61000000034</v>
      </c>
      <c r="G44" s="48">
        <f t="shared" ref="G44:L44" si="19">G29+G34+G42</f>
        <v>60118.979999999079</v>
      </c>
      <c r="H44" s="48">
        <f t="shared" si="19"/>
        <v>-235528.9800000003</v>
      </c>
      <c r="I44" s="48">
        <f t="shared" si="19"/>
        <v>-141654.94999999952</v>
      </c>
      <c r="J44" s="48">
        <f t="shared" si="19"/>
        <v>-66100.349999999278</v>
      </c>
      <c r="K44" s="48">
        <f t="shared" si="19"/>
        <v>92596.179999999789</v>
      </c>
      <c r="L44" s="48">
        <v>0</v>
      </c>
      <c r="M44" s="48">
        <v>0</v>
      </c>
      <c r="N44" s="48">
        <f t="shared" ref="M44:N44" si="20">N29+N34+N42</f>
        <v>0</v>
      </c>
      <c r="O44" s="48"/>
    </row>
    <row r="45" spans="1:15" ht="15.75" customHeight="1" x14ac:dyDescent="0.25">
      <c r="A45" s="20"/>
      <c r="B45" s="10" t="s">
        <v>269</v>
      </c>
      <c r="C45" s="11">
        <f>BS_12MoM!C11</f>
        <v>627920</v>
      </c>
      <c r="D45" s="11">
        <f>BS_12MoM!D11</f>
        <v>794294.22</v>
      </c>
      <c r="E45" s="11">
        <f>BS_12MoM!E11</f>
        <v>760065.78</v>
      </c>
      <c r="F45" s="11">
        <f>BS_12MoM!F11</f>
        <v>689215.17</v>
      </c>
      <c r="G45" s="11">
        <f>BS_12MoM!G11</f>
        <v>828564.78</v>
      </c>
      <c r="H45" s="11">
        <f>BS_12MoM!H11</f>
        <v>888683.76</v>
      </c>
      <c r="I45" s="11">
        <f>BS_12MoM!I11</f>
        <v>653154.78</v>
      </c>
      <c r="J45" s="11">
        <f>BS_12MoM!J11</f>
        <v>511499.83</v>
      </c>
      <c r="K45" s="11">
        <f>BS_12MoM!K11</f>
        <v>445399.48</v>
      </c>
      <c r="L45" s="11">
        <v>0</v>
      </c>
      <c r="M45" s="11">
        <v>0</v>
      </c>
      <c r="N45" s="11">
        <f>M46</f>
        <v>0</v>
      </c>
      <c r="O45" s="11"/>
    </row>
    <row r="46" spans="1:15" ht="15.75" customHeight="1" thickBot="1" x14ac:dyDescent="0.3">
      <c r="A46" s="20"/>
      <c r="B46" s="49" t="s">
        <v>270</v>
      </c>
      <c r="C46" s="50">
        <f t="shared" ref="C46:K46" si="21">SUM(C44:C45)</f>
        <v>794294.22</v>
      </c>
      <c r="D46" s="50">
        <f t="shared" ref="D46:J46" si="22">SUM(D44:D45)</f>
        <v>760065.78000000061</v>
      </c>
      <c r="E46" s="50">
        <f t="shared" si="22"/>
        <v>689215.16999999969</v>
      </c>
      <c r="F46" s="50">
        <f t="shared" si="22"/>
        <v>828564.78000000038</v>
      </c>
      <c r="G46" s="50">
        <f t="shared" ref="G46:L46" si="23">SUM(G44:G45)</f>
        <v>888683.75999999908</v>
      </c>
      <c r="H46" s="50">
        <f t="shared" si="23"/>
        <v>653154.77999999968</v>
      </c>
      <c r="I46" s="50">
        <f t="shared" si="23"/>
        <v>511499.83000000054</v>
      </c>
      <c r="J46" s="50">
        <f t="shared" si="23"/>
        <v>445399.48000000074</v>
      </c>
      <c r="K46" s="50">
        <f t="shared" si="23"/>
        <v>537995.6599999998</v>
      </c>
      <c r="L46" s="50">
        <v>0</v>
      </c>
      <c r="M46" s="50">
        <v>0</v>
      </c>
      <c r="N46" s="50">
        <f>SUM(N44:N45)</f>
        <v>0</v>
      </c>
      <c r="O46" s="50"/>
    </row>
    <row r="47" spans="1:15" ht="15.6" customHeight="1" x14ac:dyDescent="0.25">
      <c r="A47" s="2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ht="15.75" customHeight="1" x14ac:dyDescent="0.25">
      <c r="A48" s="20"/>
      <c r="B48" s="10" t="s">
        <v>287</v>
      </c>
      <c r="C48" s="11">
        <f>C46-BS_12MoM!D11</f>
        <v>0</v>
      </c>
      <c r="D48" s="11">
        <f>D46-BS_12MoM!E11</f>
        <v>0</v>
      </c>
      <c r="E48" s="11">
        <f>E46-BS_12MoM!F11</f>
        <v>0</v>
      </c>
      <c r="F48" s="11">
        <f>F46-BS_12MoM!G11</f>
        <v>0</v>
      </c>
      <c r="G48" s="11">
        <f>G46-BS_12MoM!H11</f>
        <v>-9.3132257461547852E-10</v>
      </c>
      <c r="H48" s="11">
        <f>H46-BS_12MoM!I11</f>
        <v>0</v>
      </c>
      <c r="I48" s="11">
        <f>I46-BS_12MoM!J11</f>
        <v>5.2386894822120667E-10</v>
      </c>
      <c r="J48" s="11">
        <f>J46-BS_12MoM!K11</f>
        <v>7.5669959187507629E-10</v>
      </c>
      <c r="K48" s="11">
        <f>K46-BS_12MoM!L11</f>
        <v>0</v>
      </c>
      <c r="L48" s="11"/>
      <c r="M48" s="11"/>
      <c r="N48" s="11"/>
      <c r="O48" s="11"/>
    </row>
    <row r="49" spans="1:15" ht="15.75" customHeight="1" x14ac:dyDescent="0.25">
      <c r="A49" s="20"/>
      <c r="B49" s="8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ht="15.75" customHeight="1" x14ac:dyDescent="0.25">
      <c r="A50" s="6"/>
      <c r="B50" s="5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15.75" customHeight="1" x14ac:dyDescent="0.25">
      <c r="A51" s="5"/>
      <c r="B51" s="5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5.75" customHeight="1" x14ac:dyDescent="0.25">
      <c r="A52" s="5"/>
      <c r="B52" s="5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1"/>
    </row>
    <row r="55" spans="1:15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27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ht="15.7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ht="15.75" customHeight="1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ht="15.75" customHeight="1" x14ac:dyDescent="0.25">
      <c r="A1003" s="5"/>
    </row>
  </sheetData>
  <printOptions horizontalCentered="1"/>
  <pageMargins left="0" right="0" top="0.75" bottom="0.75" header="0" footer="0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04EC-B145-4007-970A-C1238345CDA9}">
  <sheetPr>
    <tabColor rgb="FF78206E"/>
  </sheetPr>
  <dimension ref="A1:K56"/>
  <sheetViews>
    <sheetView topLeftCell="D1" workbookViewId="0">
      <selection activeCell="A4" sqref="A4"/>
    </sheetView>
  </sheetViews>
  <sheetFormatPr defaultColWidth="10.85546875" defaultRowHeight="15.75" x14ac:dyDescent="0.25"/>
  <cols>
    <col min="1" max="1" width="1.42578125" style="88" customWidth="1"/>
    <col min="2" max="2" width="27" style="88" customWidth="1"/>
    <col min="3" max="3" width="13.7109375" style="88" bestFit="1" customWidth="1"/>
    <col min="4" max="6" width="15.140625" style="88" bestFit="1" customWidth="1"/>
    <col min="7" max="7" width="13.7109375" style="88" bestFit="1" customWidth="1"/>
    <col min="8" max="8" width="15.85546875" style="88" customWidth="1"/>
    <col min="9" max="9" width="10.85546875" style="88"/>
    <col min="10" max="10" width="32.42578125" bestFit="1" customWidth="1"/>
    <col min="11" max="11" width="14.140625" bestFit="1" customWidth="1"/>
    <col min="12" max="16384" width="10.85546875" style="88"/>
  </cols>
  <sheetData>
    <row r="1" spans="1:11" x14ac:dyDescent="0.25">
      <c r="A1" s="6" t="str">
        <f>TableofContent!A1</f>
        <v>POWER FINANCIAL WELLNESS  INC</v>
      </c>
    </row>
    <row r="2" spans="1:11" x14ac:dyDescent="0.25">
      <c r="A2" s="6" t="str">
        <f>TableofContent!A2</f>
        <v>CONSOLIDATED MANAGEMENT ACCOUNTS</v>
      </c>
    </row>
    <row r="3" spans="1:11" x14ac:dyDescent="0.25">
      <c r="A3" s="6" t="s">
        <v>145</v>
      </c>
    </row>
    <row r="4" spans="1:11" x14ac:dyDescent="0.25">
      <c r="A4" s="6" t="str">
        <f>TableofContent!A4</f>
        <v>FOR PERIOD ENDED JULY 31,  2025</v>
      </c>
    </row>
    <row r="5" spans="1:11" x14ac:dyDescent="0.25">
      <c r="A5" s="6" t="str">
        <f>TableofContent!A5</f>
        <v>PREPARED BY: MOSES KIGO</v>
      </c>
    </row>
    <row r="8" spans="1:11" x14ac:dyDescent="0.25">
      <c r="B8" s="89" t="s">
        <v>291</v>
      </c>
      <c r="C8" s="90">
        <v>45778</v>
      </c>
      <c r="D8" s="90"/>
      <c r="E8" s="90"/>
      <c r="F8" s="90"/>
      <c r="G8" s="90"/>
      <c r="H8" s="90"/>
    </row>
    <row r="9" spans="1:11" x14ac:dyDescent="0.25">
      <c r="A9" s="88" t="s">
        <v>28</v>
      </c>
      <c r="B9" s="91"/>
      <c r="C9" s="109"/>
      <c r="D9" s="109"/>
      <c r="E9" s="109"/>
      <c r="F9" s="109"/>
      <c r="G9" s="109"/>
      <c r="H9" s="109"/>
    </row>
    <row r="10" spans="1:11" x14ac:dyDescent="0.25">
      <c r="B10" s="108" t="str">
        <f>Cburn_Entity!V3</f>
        <v>Salary &amp; Wages</v>
      </c>
      <c r="C10" s="108">
        <f>Cburn_Entity!W3</f>
        <v>0</v>
      </c>
      <c r="D10" s="108">
        <f>Cburn_Entity!X3</f>
        <v>24247.64</v>
      </c>
      <c r="E10" s="108">
        <f>Cburn_Entity!Y3</f>
        <v>7522.36</v>
      </c>
      <c r="F10" s="108">
        <f>Cburn_Entity!Z3</f>
        <v>0</v>
      </c>
      <c r="G10" s="108">
        <f>Cburn_Entity!AA3</f>
        <v>4003.64</v>
      </c>
      <c r="H10" s="108">
        <f>Cburn_Entity!AB3</f>
        <v>35773.64</v>
      </c>
      <c r="J10" s="95"/>
      <c r="K10" s="95"/>
    </row>
    <row r="11" spans="1:11" x14ac:dyDescent="0.25">
      <c r="B11" s="108" t="str">
        <f>Cburn_Entity!V4</f>
        <v>Consultants</v>
      </c>
      <c r="C11" s="108">
        <f>Cburn_Entity!W4</f>
        <v>31994.75</v>
      </c>
      <c r="D11" s="108">
        <f>Cburn_Entity!X4</f>
        <v>1818.21</v>
      </c>
      <c r="E11" s="108">
        <f>Cburn_Entity!Y4</f>
        <v>0</v>
      </c>
      <c r="F11" s="108">
        <f>Cburn_Entity!Z4</f>
        <v>1062.33</v>
      </c>
      <c r="G11" s="108">
        <f>Cburn_Entity!AA4</f>
        <v>0</v>
      </c>
      <c r="H11" s="108">
        <f>Cburn_Entity!AB4</f>
        <v>34875.29</v>
      </c>
      <c r="J11" s="95"/>
      <c r="K11" s="95"/>
    </row>
    <row r="12" spans="1:11" x14ac:dyDescent="0.25">
      <c r="B12" s="108" t="str">
        <f>Cburn_Entity!V5</f>
        <v>Fringe Benefits</v>
      </c>
      <c r="C12" s="108">
        <f>Cburn_Entity!W5</f>
        <v>726.5</v>
      </c>
      <c r="D12" s="108">
        <f>Cburn_Entity!X5</f>
        <v>12052.12</v>
      </c>
      <c r="E12" s="108">
        <f>Cburn_Entity!Y5</f>
        <v>587.79999999999995</v>
      </c>
      <c r="F12" s="108">
        <f>Cburn_Entity!Z5</f>
        <v>0</v>
      </c>
      <c r="G12" s="108">
        <f>Cburn_Entity!AA5</f>
        <v>2689.27</v>
      </c>
      <c r="H12" s="108">
        <f>Cburn_Entity!AB5</f>
        <v>16055.69</v>
      </c>
      <c r="J12" s="96"/>
      <c r="K12" s="97"/>
    </row>
    <row r="13" spans="1:11" x14ac:dyDescent="0.25">
      <c r="B13" s="108" t="str">
        <f>Cburn_Entity!V6</f>
        <v>Rent &amp; Office related expenses</v>
      </c>
      <c r="C13" s="108">
        <f>Cburn_Entity!W6</f>
        <v>12590.61</v>
      </c>
      <c r="D13" s="108">
        <f>Cburn_Entity!X6</f>
        <v>1968.13</v>
      </c>
      <c r="E13" s="108">
        <f>Cburn_Entity!Y6</f>
        <v>476.64</v>
      </c>
      <c r="F13" s="108">
        <f>Cburn_Entity!Z6</f>
        <v>0</v>
      </c>
      <c r="G13" s="108">
        <f>Cburn_Entity!AA6</f>
        <v>526.38</v>
      </c>
      <c r="H13" s="108">
        <f>Cburn_Entity!AB6</f>
        <v>15561.76</v>
      </c>
      <c r="J13" s="96"/>
      <c r="K13" s="97"/>
    </row>
    <row r="14" spans="1:11" x14ac:dyDescent="0.25">
      <c r="B14" s="108" t="str">
        <f>Cburn_Entity!V7</f>
        <v>Utilities</v>
      </c>
      <c r="C14" s="108">
        <f>Cburn_Entity!W7</f>
        <v>0</v>
      </c>
      <c r="D14" s="108">
        <f>Cburn_Entity!X7</f>
        <v>132.6</v>
      </c>
      <c r="E14" s="108">
        <f>Cburn_Entity!Y7</f>
        <v>0</v>
      </c>
      <c r="F14" s="108">
        <f>Cburn_Entity!Z7</f>
        <v>0</v>
      </c>
      <c r="G14" s="108">
        <f>Cburn_Entity!AA7</f>
        <v>62.38</v>
      </c>
      <c r="H14" s="108">
        <f>Cburn_Entity!AB7</f>
        <v>194.98</v>
      </c>
      <c r="J14" s="96"/>
      <c r="K14" s="97"/>
    </row>
    <row r="15" spans="1:11" s="87" customFormat="1" x14ac:dyDescent="0.25">
      <c r="B15" s="108" t="str">
        <f>Cburn_Entity!V8</f>
        <v>IT Costs</v>
      </c>
      <c r="C15" s="108">
        <f>Cburn_Entity!W8</f>
        <v>1456.23</v>
      </c>
      <c r="D15" s="108">
        <f>Cburn_Entity!X8</f>
        <v>3209.13</v>
      </c>
      <c r="E15" s="108">
        <f>Cburn_Entity!Y8</f>
        <v>3107.99</v>
      </c>
      <c r="F15" s="108">
        <f>Cburn_Entity!Z8</f>
        <v>39.590000000000003</v>
      </c>
      <c r="G15" s="108">
        <f>Cburn_Entity!AA8</f>
        <v>240.02</v>
      </c>
      <c r="H15" s="108">
        <f>Cburn_Entity!AB8</f>
        <v>8052.96</v>
      </c>
      <c r="J15" s="96"/>
      <c r="K15" s="97"/>
    </row>
    <row r="16" spans="1:11" x14ac:dyDescent="0.25">
      <c r="B16" s="108" t="str">
        <f>Cburn_Entity!V9</f>
        <v>Outside Servces</v>
      </c>
      <c r="C16" s="108">
        <f>Cburn_Entity!W9</f>
        <v>0</v>
      </c>
      <c r="D16" s="108">
        <f>Cburn_Entity!X9</f>
        <v>230.66</v>
      </c>
      <c r="E16" s="108">
        <f>Cburn_Entity!Y9</f>
        <v>0</v>
      </c>
      <c r="F16" s="108">
        <f>Cburn_Entity!Z9</f>
        <v>0</v>
      </c>
      <c r="G16" s="108">
        <f>Cburn_Entity!AA9</f>
        <v>144.76</v>
      </c>
      <c r="H16" s="108">
        <f>Cburn_Entity!AB9</f>
        <v>375.42</v>
      </c>
      <c r="J16" s="96"/>
      <c r="K16" s="97"/>
    </row>
    <row r="17" spans="2:11" x14ac:dyDescent="0.25">
      <c r="B17" s="108" t="str">
        <f>Cburn_Entity!V10</f>
        <v>Professional Servicess</v>
      </c>
      <c r="C17" s="108">
        <f>Cburn_Entity!W10</f>
        <v>6534</v>
      </c>
      <c r="D17" s="108">
        <f>Cburn_Entity!X10</f>
        <v>2753.55</v>
      </c>
      <c r="E17" s="108">
        <f>Cburn_Entity!Y10</f>
        <v>0</v>
      </c>
      <c r="F17" s="108">
        <f>Cburn_Entity!Z10</f>
        <v>0</v>
      </c>
      <c r="G17" s="108">
        <f>Cburn_Entity!AA10</f>
        <v>202.68</v>
      </c>
      <c r="H17" s="108">
        <f>Cburn_Entity!AB10</f>
        <v>9490.23</v>
      </c>
      <c r="J17" s="96"/>
      <c r="K17" s="97"/>
    </row>
    <row r="18" spans="2:11" x14ac:dyDescent="0.25">
      <c r="B18" s="108" t="str">
        <f>Cburn_Entity!V11</f>
        <v>Selling Expenses</v>
      </c>
      <c r="C18" s="108">
        <f>Cburn_Entity!W11</f>
        <v>0</v>
      </c>
      <c r="D18" s="108">
        <f>Cburn_Entity!X11</f>
        <v>2546.0500000000002</v>
      </c>
      <c r="E18" s="108">
        <f>Cburn_Entity!Y11</f>
        <v>0</v>
      </c>
      <c r="F18" s="108">
        <f>Cburn_Entity!Z11</f>
        <v>0</v>
      </c>
      <c r="G18" s="108">
        <f>Cburn_Entity!AA11</f>
        <v>122.01</v>
      </c>
      <c r="H18" s="108">
        <f>Cburn_Entity!AB11</f>
        <v>2668.06</v>
      </c>
      <c r="J18" s="96"/>
      <c r="K18" s="97"/>
    </row>
    <row r="19" spans="2:11" x14ac:dyDescent="0.25">
      <c r="B19" s="108" t="str">
        <f>Cburn_Entity!V12</f>
        <v>Travel &amp; Entertainment</v>
      </c>
      <c r="C19" s="108">
        <f>Cburn_Entity!W12</f>
        <v>840</v>
      </c>
      <c r="D19" s="108">
        <f>Cburn_Entity!X12</f>
        <v>0</v>
      </c>
      <c r="E19" s="108">
        <f>Cburn_Entity!Y12</f>
        <v>0</v>
      </c>
      <c r="F19" s="108">
        <f>Cburn_Entity!Z12</f>
        <v>0</v>
      </c>
      <c r="G19" s="108">
        <f>Cburn_Entity!AA12</f>
        <v>0</v>
      </c>
      <c r="H19" s="108">
        <f>Cburn_Entity!AB12</f>
        <v>840</v>
      </c>
      <c r="J19" s="96"/>
      <c r="K19" s="97"/>
    </row>
    <row r="20" spans="2:11" x14ac:dyDescent="0.25">
      <c r="B20" s="108" t="str">
        <f>Cburn_Entity!V13</f>
        <v>Office Equipment</v>
      </c>
      <c r="C20" s="108">
        <f>Cburn_Entity!W13</f>
        <v>0</v>
      </c>
      <c r="D20" s="108">
        <f>Cburn_Entity!X13</f>
        <v>0</v>
      </c>
      <c r="E20" s="108">
        <f>Cburn_Entity!Y13</f>
        <v>0</v>
      </c>
      <c r="F20" s="108">
        <f>Cburn_Entity!Z13</f>
        <v>0</v>
      </c>
      <c r="G20" s="108">
        <f>Cburn_Entity!AA13</f>
        <v>0</v>
      </c>
      <c r="H20" s="108">
        <f>Cburn_Entity!AB13</f>
        <v>0</v>
      </c>
      <c r="J20" s="96"/>
      <c r="K20" s="97"/>
    </row>
    <row r="21" spans="2:11" x14ac:dyDescent="0.25">
      <c r="B21" s="108" t="str">
        <f>Cburn_Entity!V14</f>
        <v>Auto Expenses</v>
      </c>
      <c r="C21" s="108">
        <f>Cburn_Entity!W14</f>
        <v>0</v>
      </c>
      <c r="D21" s="108">
        <f>Cburn_Entity!X14</f>
        <v>546.91999999999996</v>
      </c>
      <c r="E21" s="108">
        <f>Cburn_Entity!Y14</f>
        <v>0</v>
      </c>
      <c r="F21" s="108">
        <f>Cburn_Entity!Z14</f>
        <v>0</v>
      </c>
      <c r="G21" s="108">
        <f>Cburn_Entity!AA14</f>
        <v>279.64</v>
      </c>
      <c r="H21" s="108">
        <f>Cburn_Entity!AB14</f>
        <v>826.56</v>
      </c>
      <c r="J21" s="96"/>
      <c r="K21" s="97"/>
    </row>
    <row r="22" spans="2:11" x14ac:dyDescent="0.25">
      <c r="B22" s="108" t="str">
        <f>Cburn_Entity!V15</f>
        <v>Insurance</v>
      </c>
      <c r="C22" s="108">
        <f>Cburn_Entity!W15</f>
        <v>0</v>
      </c>
      <c r="D22" s="108">
        <f>Cburn_Entity!X15</f>
        <v>268.57</v>
      </c>
      <c r="E22" s="108">
        <f>Cburn_Entity!Y15</f>
        <v>0</v>
      </c>
      <c r="F22" s="108">
        <f>Cburn_Entity!Z15</f>
        <v>0</v>
      </c>
      <c r="G22" s="108">
        <f>Cburn_Entity!AA15</f>
        <v>0</v>
      </c>
      <c r="H22" s="108">
        <f>Cburn_Entity!AB15</f>
        <v>268.57</v>
      </c>
      <c r="J22" s="96"/>
      <c r="K22" s="97"/>
    </row>
    <row r="23" spans="2:11" x14ac:dyDescent="0.25">
      <c r="B23" s="108" t="str">
        <f>Cburn_Entity!V16</f>
        <v>Facility Fees</v>
      </c>
      <c r="C23" s="108">
        <f>Cburn_Entity!W16</f>
        <v>0</v>
      </c>
      <c r="D23" s="108">
        <f>Cburn_Entity!X16</f>
        <v>2736.02</v>
      </c>
      <c r="E23" s="108">
        <f>Cburn_Entity!Y16</f>
        <v>0</v>
      </c>
      <c r="F23" s="108">
        <f>Cburn_Entity!Z16</f>
        <v>0</v>
      </c>
      <c r="G23" s="108">
        <f>Cburn_Entity!AA16</f>
        <v>0</v>
      </c>
      <c r="H23" s="108">
        <f>Cburn_Entity!AB16</f>
        <v>2736.02</v>
      </c>
      <c r="J23" s="96"/>
      <c r="K23" s="97"/>
    </row>
    <row r="24" spans="2:11" x14ac:dyDescent="0.25">
      <c r="B24" s="108" t="str">
        <f>Cburn_Entity!V17</f>
        <v>Other Expenses</v>
      </c>
      <c r="C24" s="108">
        <f>Cburn_Entity!W17</f>
        <v>100</v>
      </c>
      <c r="D24" s="108">
        <f>Cburn_Entity!X17</f>
        <v>719.25</v>
      </c>
      <c r="E24" s="108">
        <f>Cburn_Entity!Y17</f>
        <v>0</v>
      </c>
      <c r="F24" s="108">
        <f>Cburn_Entity!Z17</f>
        <v>0</v>
      </c>
      <c r="G24" s="108">
        <f>Cburn_Entity!AA17</f>
        <v>525.44000000000005</v>
      </c>
      <c r="H24" s="108">
        <f>Cburn_Entity!AB17</f>
        <v>1344.69</v>
      </c>
      <c r="J24" s="96"/>
      <c r="K24" s="97"/>
    </row>
    <row r="25" spans="2:11" x14ac:dyDescent="0.25">
      <c r="B25" s="98"/>
      <c r="C25" s="99"/>
      <c r="D25" s="99"/>
      <c r="E25" s="99"/>
      <c r="F25" s="99"/>
      <c r="G25" s="99"/>
      <c r="H25" s="99"/>
      <c r="J25" s="96"/>
      <c r="K25" s="97"/>
    </row>
    <row r="26" spans="2:11" s="87" customFormat="1" x14ac:dyDescent="0.25">
      <c r="B26" s="101" t="str">
        <f>[2]Burn_MTD!T19</f>
        <v>TOTAL OPERATING EXPENSES</v>
      </c>
      <c r="C26" s="102">
        <f>SUM(C10:C25)</f>
        <v>54242.090000000004</v>
      </c>
      <c r="D26" s="102">
        <f t="shared" ref="D26:H26" si="0">SUM(D10:D25)</f>
        <v>53228.85</v>
      </c>
      <c r="E26" s="102">
        <f t="shared" si="0"/>
        <v>11694.789999999999</v>
      </c>
      <c r="F26" s="102">
        <f t="shared" si="0"/>
        <v>1101.9199999999998</v>
      </c>
      <c r="G26" s="102">
        <f t="shared" si="0"/>
        <v>8796.2200000000012</v>
      </c>
      <c r="H26" s="102">
        <f t="shared" si="0"/>
        <v>129063.87</v>
      </c>
      <c r="J26" s="103"/>
      <c r="K26" s="104"/>
    </row>
    <row r="27" spans="2:11" x14ac:dyDescent="0.25">
      <c r="C27" s="94"/>
      <c r="D27" s="94"/>
      <c r="E27" s="94"/>
      <c r="F27" s="94"/>
      <c r="G27" s="94"/>
      <c r="H27" s="94"/>
      <c r="J27" s="96"/>
      <c r="K27" s="97"/>
    </row>
    <row r="28" spans="2:11" x14ac:dyDescent="0.25">
      <c r="B28" s="93"/>
      <c r="C28" s="94"/>
      <c r="D28" s="94"/>
      <c r="E28" s="94"/>
      <c r="F28" s="94"/>
      <c r="G28" s="94"/>
      <c r="H28" s="94"/>
      <c r="J28" s="96"/>
      <c r="K28" s="97"/>
    </row>
    <row r="29" spans="2:11" ht="20.100000000000001" customHeight="1" x14ac:dyDescent="0.25">
      <c r="B29" s="93"/>
      <c r="C29" s="94"/>
      <c r="D29" s="94"/>
      <c r="E29" s="94"/>
      <c r="F29" s="94"/>
      <c r="G29" s="94"/>
      <c r="H29" s="94"/>
      <c r="J29" s="96"/>
      <c r="K29" s="97"/>
    </row>
    <row r="30" spans="2:11" x14ac:dyDescent="0.25">
      <c r="B30" s="93"/>
      <c r="C30" s="94"/>
      <c r="D30" s="94"/>
      <c r="E30" s="94"/>
      <c r="F30" s="94"/>
      <c r="G30" s="94"/>
      <c r="H30" s="94"/>
      <c r="J30" s="96"/>
      <c r="K30" s="97"/>
    </row>
    <row r="31" spans="2:11" s="87" customFormat="1" x14ac:dyDescent="0.25">
      <c r="B31" s="101"/>
      <c r="C31" s="105"/>
      <c r="D31" s="105"/>
      <c r="E31" s="105"/>
      <c r="F31" s="105"/>
      <c r="G31" s="105"/>
      <c r="H31" s="105"/>
      <c r="J31" s="96"/>
      <c r="K31" s="97"/>
    </row>
    <row r="32" spans="2:11" x14ac:dyDescent="0.25">
      <c r="C32" s="94"/>
      <c r="D32" s="94"/>
      <c r="E32" s="94"/>
      <c r="F32" s="94"/>
      <c r="G32" s="94"/>
      <c r="H32" s="94"/>
      <c r="J32" s="96"/>
      <c r="K32" s="97"/>
    </row>
    <row r="33" spans="1:11" x14ac:dyDescent="0.25">
      <c r="B33" s="93"/>
      <c r="C33" s="94"/>
      <c r="D33" s="94"/>
      <c r="E33" s="94"/>
      <c r="F33" s="94"/>
      <c r="G33" s="94"/>
      <c r="H33" s="94"/>
      <c r="J33" s="96"/>
      <c r="K33" s="97"/>
    </row>
    <row r="34" spans="1:11" x14ac:dyDescent="0.25">
      <c r="B34" s="93"/>
      <c r="C34" s="94"/>
      <c r="D34" s="94"/>
      <c r="E34" s="94"/>
      <c r="F34" s="94"/>
      <c r="G34" s="94"/>
      <c r="H34" s="94"/>
      <c r="J34" s="96"/>
      <c r="K34" s="97"/>
    </row>
    <row r="35" spans="1:11" x14ac:dyDescent="0.25">
      <c r="B35" s="93"/>
      <c r="C35" s="94"/>
      <c r="D35" s="94"/>
      <c r="E35" s="94"/>
      <c r="F35" s="94"/>
      <c r="G35" s="94"/>
      <c r="H35" s="94"/>
      <c r="J35" s="96"/>
      <c r="K35" s="97"/>
    </row>
    <row r="36" spans="1:11" x14ac:dyDescent="0.25">
      <c r="B36" s="93"/>
      <c r="C36" s="94"/>
      <c r="D36" s="94"/>
      <c r="E36" s="94"/>
      <c r="F36" s="94"/>
      <c r="G36" s="94"/>
      <c r="H36" s="94"/>
      <c r="J36" s="96"/>
      <c r="K36" s="97"/>
    </row>
    <row r="37" spans="1:11" x14ac:dyDescent="0.25">
      <c r="B37" s="93"/>
      <c r="C37" s="94"/>
      <c r="D37" s="94"/>
      <c r="E37" s="94"/>
      <c r="F37" s="94"/>
      <c r="G37" s="94"/>
      <c r="H37" s="94"/>
      <c r="J37" s="96"/>
      <c r="K37" s="97"/>
    </row>
    <row r="38" spans="1:11" x14ac:dyDescent="0.25">
      <c r="B38" s="93"/>
      <c r="C38" s="94"/>
      <c r="D38" s="94"/>
      <c r="E38" s="94"/>
      <c r="F38" s="94"/>
      <c r="G38" s="94"/>
      <c r="H38" s="94"/>
      <c r="J38" s="96"/>
      <c r="K38" s="97"/>
    </row>
    <row r="39" spans="1:11" s="87" customFormat="1" x14ac:dyDescent="0.25">
      <c r="B39" s="101"/>
      <c r="C39" s="105"/>
      <c r="D39" s="105"/>
      <c r="E39" s="105"/>
      <c r="F39" s="105"/>
      <c r="G39" s="105"/>
      <c r="H39" s="105"/>
      <c r="J39" s="103"/>
      <c r="K39" s="104"/>
    </row>
    <row r="40" spans="1:11" x14ac:dyDescent="0.25">
      <c r="C40" s="94"/>
      <c r="D40" s="94"/>
      <c r="E40" s="94"/>
      <c r="F40" s="94"/>
      <c r="G40" s="94"/>
      <c r="H40" s="94"/>
      <c r="J40" s="96"/>
      <c r="K40" s="97"/>
    </row>
    <row r="41" spans="1:11" x14ac:dyDescent="0.25">
      <c r="B41" s="101"/>
      <c r="C41" s="94"/>
      <c r="D41" s="94"/>
      <c r="E41" s="94"/>
      <c r="F41" s="94"/>
      <c r="G41" s="94"/>
      <c r="H41" s="94"/>
      <c r="J41" s="96"/>
      <c r="K41" s="97"/>
    </row>
    <row r="42" spans="1:11" x14ac:dyDescent="0.25">
      <c r="B42" s="93"/>
      <c r="C42" s="94"/>
      <c r="D42" s="94"/>
      <c r="E42" s="94"/>
      <c r="F42" s="94"/>
      <c r="G42" s="94"/>
      <c r="H42" s="94"/>
      <c r="J42" s="96"/>
      <c r="K42" s="97"/>
    </row>
    <row r="43" spans="1:11" x14ac:dyDescent="0.25">
      <c r="B43" s="93"/>
      <c r="C43" s="94"/>
      <c r="D43" s="94"/>
      <c r="E43" s="94"/>
      <c r="F43" s="94"/>
      <c r="G43" s="94"/>
      <c r="H43" s="94"/>
      <c r="J43" s="96"/>
      <c r="K43" s="97"/>
    </row>
    <row r="44" spans="1:11" x14ac:dyDescent="0.25">
      <c r="B44" s="93"/>
      <c r="C44" s="94"/>
      <c r="D44" s="94"/>
      <c r="E44" s="94"/>
      <c r="F44" s="94"/>
      <c r="G44" s="94"/>
      <c r="H44" s="94"/>
      <c r="J44" s="96"/>
      <c r="K44" s="97"/>
    </row>
    <row r="45" spans="1:11" x14ac:dyDescent="0.25">
      <c r="A45" s="106"/>
      <c r="B45" s="93"/>
      <c r="C45" s="107">
        <f>[2]BS_12Months!D11-C43</f>
        <v>0</v>
      </c>
      <c r="D45" s="107">
        <f>[2]BS_12Months!E11-D43</f>
        <v>0</v>
      </c>
      <c r="E45" s="107"/>
      <c r="F45" s="94"/>
      <c r="G45" s="94"/>
      <c r="H45" s="94"/>
      <c r="J45" s="96"/>
      <c r="K45" s="97"/>
    </row>
    <row r="46" spans="1:11" s="87" customFormat="1" x14ac:dyDescent="0.25">
      <c r="B46" s="101"/>
      <c r="C46" s="105"/>
      <c r="D46" s="105"/>
      <c r="E46" s="105"/>
      <c r="F46" s="105"/>
      <c r="G46" s="105"/>
      <c r="H46" s="105"/>
      <c r="J46" s="96"/>
      <c r="K46" s="97"/>
    </row>
    <row r="47" spans="1:11" x14ac:dyDescent="0.25">
      <c r="C47" s="94"/>
      <c r="D47" s="94"/>
      <c r="E47" s="94"/>
      <c r="F47" s="94"/>
      <c r="G47" s="94"/>
      <c r="H47" s="94"/>
    </row>
    <row r="48" spans="1:11" x14ac:dyDescent="0.25">
      <c r="C48" s="94"/>
      <c r="D48" s="94"/>
      <c r="E48" s="94"/>
      <c r="F48" s="94"/>
      <c r="G48" s="94"/>
      <c r="H48" s="94"/>
    </row>
    <row r="49" spans="3:8" x14ac:dyDescent="0.25">
      <c r="C49" s="94"/>
      <c r="D49" s="94"/>
      <c r="E49" s="94"/>
      <c r="F49" s="94"/>
      <c r="G49" s="94"/>
      <c r="H49" s="94"/>
    </row>
    <row r="56" spans="3:8" ht="27.9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9410-C263-40AF-8F02-1E578AB0CAF7}">
  <sheetPr>
    <tabColor rgb="FF78206E"/>
  </sheetPr>
  <dimension ref="A1:R56"/>
  <sheetViews>
    <sheetView workbookViewId="0">
      <selection activeCell="A4" sqref="A4"/>
    </sheetView>
  </sheetViews>
  <sheetFormatPr defaultColWidth="10.85546875" defaultRowHeight="15.75" x14ac:dyDescent="0.25"/>
  <cols>
    <col min="1" max="1" width="1.42578125" style="88" customWidth="1"/>
    <col min="2" max="2" width="27" style="88" customWidth="1"/>
    <col min="3" max="3" width="13.7109375" style="88" bestFit="1" customWidth="1"/>
    <col min="4" max="6" width="15.140625" style="88" bestFit="1" customWidth="1"/>
    <col min="7" max="7" width="13.7109375" style="88" bestFit="1" customWidth="1"/>
    <col min="8" max="8" width="12" style="88" bestFit="1" customWidth="1"/>
    <col min="9" max="9" width="13.7109375" style="88" bestFit="1" customWidth="1"/>
    <col min="10" max="14" width="12.5703125" style="88" bestFit="1" customWidth="1"/>
    <col min="15" max="15" width="15.140625" style="88" bestFit="1" customWidth="1"/>
    <col min="16" max="16" width="10.85546875" style="88"/>
    <col min="17" max="17" width="32.42578125" bestFit="1" customWidth="1"/>
    <col min="18" max="18" width="14.140625" bestFit="1" customWidth="1"/>
    <col min="19" max="16384" width="10.85546875" style="88"/>
  </cols>
  <sheetData>
    <row r="1" spans="1:18" x14ac:dyDescent="0.25">
      <c r="A1" s="6" t="str">
        <f>TableofContent!A1</f>
        <v>POWER FINANCIAL WELLNESS  INC</v>
      </c>
      <c r="O1" s="87" t="str">
        <f>[2]TableofContent!I1</f>
        <v>Tanzania Shilling</v>
      </c>
    </row>
    <row r="2" spans="1:18" x14ac:dyDescent="0.25">
      <c r="A2" s="6" t="str">
        <f>TableofContent!A2</f>
        <v>CONSOLIDATED MANAGEMENT ACCOUNTS</v>
      </c>
    </row>
    <row r="3" spans="1:18" x14ac:dyDescent="0.25">
      <c r="A3" s="6" t="s">
        <v>145</v>
      </c>
    </row>
    <row r="4" spans="1:18" x14ac:dyDescent="0.25">
      <c r="A4" s="6" t="str">
        <f>TableofContent!A4</f>
        <v>FOR PERIOD ENDED JULY 31,  2025</v>
      </c>
    </row>
    <row r="5" spans="1:18" x14ac:dyDescent="0.25">
      <c r="A5" s="6" t="str">
        <f>TableofContent!A5</f>
        <v>PREPARED BY: MOSES KIGO</v>
      </c>
    </row>
    <row r="8" spans="1:18" x14ac:dyDescent="0.25">
      <c r="B8" s="89" t="s">
        <v>291</v>
      </c>
      <c r="C8" s="90">
        <v>45658</v>
      </c>
      <c r="D8" s="90">
        <f>EOMONTH(C8,1)</f>
        <v>45716</v>
      </c>
      <c r="E8" s="90">
        <f t="shared" ref="E8:N8" si="0">EOMONTH(D8,1)</f>
        <v>45747</v>
      </c>
      <c r="F8" s="90">
        <f t="shared" si="0"/>
        <v>45777</v>
      </c>
      <c r="G8" s="90">
        <f t="shared" si="0"/>
        <v>45808</v>
      </c>
      <c r="H8" s="90">
        <f t="shared" si="0"/>
        <v>45838</v>
      </c>
      <c r="I8" s="90">
        <f t="shared" si="0"/>
        <v>45869</v>
      </c>
      <c r="J8" s="90">
        <f t="shared" si="0"/>
        <v>45900</v>
      </c>
      <c r="K8" s="90">
        <f t="shared" si="0"/>
        <v>45930</v>
      </c>
      <c r="L8" s="90">
        <f t="shared" si="0"/>
        <v>45961</v>
      </c>
      <c r="M8" s="90">
        <f t="shared" si="0"/>
        <v>45991</v>
      </c>
      <c r="N8" s="90">
        <f t="shared" si="0"/>
        <v>46022</v>
      </c>
      <c r="O8" s="90" t="s">
        <v>123</v>
      </c>
    </row>
    <row r="9" spans="1:18" x14ac:dyDescent="0.25">
      <c r="A9" s="88" t="s">
        <v>28</v>
      </c>
      <c r="B9" s="91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</row>
    <row r="10" spans="1:18" x14ac:dyDescent="0.25">
      <c r="B10" s="108" t="str">
        <f>CBurn_12Months!V3</f>
        <v>Salary &amp; Wages</v>
      </c>
      <c r="C10" s="108">
        <f>CBurn_12Months!W3</f>
        <v>23081.07</v>
      </c>
      <c r="D10" s="108">
        <f>CBurn_12Months!X3</f>
        <v>25959.19</v>
      </c>
      <c r="E10" s="108">
        <f>CBurn_12Months!Y3</f>
        <v>25780.560000000001</v>
      </c>
      <c r="F10" s="108">
        <f>CBurn_12Months!Z3</f>
        <v>26373.439999999999</v>
      </c>
      <c r="G10" s="108">
        <f>CBurn_12Months!AA3</f>
        <v>30280.34</v>
      </c>
      <c r="H10" s="108">
        <f>CBurn_12Months!AB3</f>
        <v>31906.57</v>
      </c>
      <c r="I10" s="108">
        <f>CBurn_12Months!AC3</f>
        <v>24218.22</v>
      </c>
      <c r="J10" s="108">
        <f>CBurn_12Months!AD3</f>
        <v>33761.760000000002</v>
      </c>
      <c r="K10" s="108">
        <f>CBurn_12Months!AE3</f>
        <v>35773.64</v>
      </c>
      <c r="L10" s="108">
        <f>CBurn_12Months!AF3</f>
        <v>0</v>
      </c>
      <c r="M10" s="108">
        <f>CBurn_12Months!AG3</f>
        <v>0</v>
      </c>
      <c r="N10" s="108">
        <f>CBurn_12Months!AH3</f>
        <v>0</v>
      </c>
      <c r="O10" s="94">
        <f>SUM(C10:N10)</f>
        <v>257134.79000000004</v>
      </c>
      <c r="Q10" s="95"/>
      <c r="R10" s="95"/>
    </row>
    <row r="11" spans="1:18" x14ac:dyDescent="0.25">
      <c r="B11" s="108" t="str">
        <f>CBurn_12Months!V4</f>
        <v>Consultants</v>
      </c>
      <c r="C11" s="108">
        <f>CBurn_12Months!W4</f>
        <v>28217.15</v>
      </c>
      <c r="D11" s="108">
        <f>CBurn_12Months!X4</f>
        <v>29883.99</v>
      </c>
      <c r="E11" s="108">
        <f>CBurn_12Months!Y4</f>
        <v>29584.99</v>
      </c>
      <c r="F11" s="108">
        <f>CBurn_12Months!Z4</f>
        <v>35157.69</v>
      </c>
      <c r="G11" s="108">
        <f>CBurn_12Months!AA4</f>
        <v>29945.29</v>
      </c>
      <c r="H11" s="108">
        <f>CBurn_12Months!AB4</f>
        <v>34621.65</v>
      </c>
      <c r="I11" s="108">
        <f>CBurn_12Months!AC4</f>
        <v>32262.39</v>
      </c>
      <c r="J11" s="108">
        <f>CBurn_12Months!AD4</f>
        <v>32397.4</v>
      </c>
      <c r="K11" s="108">
        <f>CBurn_12Months!AE4</f>
        <v>34875.29</v>
      </c>
      <c r="L11" s="108">
        <f>CBurn_12Months!AF4</f>
        <v>0</v>
      </c>
      <c r="M11" s="108">
        <f>CBurn_12Months!AG4</f>
        <v>0</v>
      </c>
      <c r="N11" s="108">
        <f>CBurn_12Months!AH4</f>
        <v>0</v>
      </c>
      <c r="O11" s="94">
        <f t="shared" ref="O11:O24" si="1">SUM(C11:N11)</f>
        <v>286945.84000000003</v>
      </c>
      <c r="Q11" s="95"/>
      <c r="R11" s="95"/>
    </row>
    <row r="12" spans="1:18" x14ac:dyDescent="0.25">
      <c r="B12" s="108" t="str">
        <f>CBurn_12Months!V5</f>
        <v>Fringe Benefits</v>
      </c>
      <c r="C12" s="108">
        <f>CBurn_12Months!W5</f>
        <v>7303.02</v>
      </c>
      <c r="D12" s="108">
        <f>CBurn_12Months!X5</f>
        <v>8712.94</v>
      </c>
      <c r="E12" s="108">
        <f>CBurn_12Months!Y5</f>
        <v>10141.19</v>
      </c>
      <c r="F12" s="108">
        <f>CBurn_12Months!Z5</f>
        <v>10237.780000000001</v>
      </c>
      <c r="G12" s="108">
        <f>CBurn_12Months!AA5</f>
        <v>11557.12</v>
      </c>
      <c r="H12" s="108">
        <f>CBurn_12Months!AB5</f>
        <v>12790.85</v>
      </c>
      <c r="I12" s="108">
        <f>CBurn_12Months!AC5</f>
        <v>13077.82</v>
      </c>
      <c r="J12" s="108">
        <f>CBurn_12Months!AD5</f>
        <v>13610.19</v>
      </c>
      <c r="K12" s="108">
        <f>CBurn_12Months!AE5</f>
        <v>16055.69</v>
      </c>
      <c r="L12" s="108">
        <f>CBurn_12Months!AF5</f>
        <v>0</v>
      </c>
      <c r="M12" s="108">
        <f>CBurn_12Months!AG5</f>
        <v>0</v>
      </c>
      <c r="N12" s="108">
        <f>CBurn_12Months!AH5</f>
        <v>0</v>
      </c>
      <c r="O12" s="94">
        <f t="shared" si="1"/>
        <v>103486.6</v>
      </c>
      <c r="Q12" s="96"/>
      <c r="R12" s="97"/>
    </row>
    <row r="13" spans="1:18" x14ac:dyDescent="0.25">
      <c r="B13" s="108" t="str">
        <f>CBurn_12Months!V6</f>
        <v>Rent &amp; Office related expenses</v>
      </c>
      <c r="C13" s="108">
        <f>CBurn_12Months!W6</f>
        <v>11039.74</v>
      </c>
      <c r="D13" s="108">
        <f>CBurn_12Months!X6</f>
        <v>12261.63</v>
      </c>
      <c r="E13" s="108">
        <f>CBurn_12Months!Y6</f>
        <v>11821.84</v>
      </c>
      <c r="F13" s="108">
        <f>CBurn_12Months!Z6</f>
        <v>12830.96</v>
      </c>
      <c r="G13" s="108">
        <f>CBurn_12Months!AA6</f>
        <v>14956.29</v>
      </c>
      <c r="H13" s="108">
        <f>CBurn_12Months!AB6</f>
        <v>15446.32</v>
      </c>
      <c r="I13" s="108">
        <f>CBurn_12Months!AC6</f>
        <v>14744.41</v>
      </c>
      <c r="J13" s="108">
        <f>CBurn_12Months!AD6</f>
        <v>15311.32</v>
      </c>
      <c r="K13" s="108">
        <f>CBurn_12Months!AE6</f>
        <v>15561.76</v>
      </c>
      <c r="L13" s="108">
        <f>CBurn_12Months!AF6</f>
        <v>0</v>
      </c>
      <c r="M13" s="108">
        <f>CBurn_12Months!AG6</f>
        <v>0</v>
      </c>
      <c r="N13" s="108">
        <f>CBurn_12Months!AH6</f>
        <v>0</v>
      </c>
      <c r="O13" s="94">
        <f t="shared" si="1"/>
        <v>123974.27</v>
      </c>
      <c r="Q13" s="96"/>
      <c r="R13" s="97"/>
    </row>
    <row r="14" spans="1:18" x14ac:dyDescent="0.25">
      <c r="B14" s="108" t="str">
        <f>CBurn_12Months!V7</f>
        <v>Utilities</v>
      </c>
      <c r="C14" s="108">
        <f>CBurn_12Months!W7</f>
        <v>232.59</v>
      </c>
      <c r="D14" s="108">
        <f>CBurn_12Months!X7</f>
        <v>175.64</v>
      </c>
      <c r="E14" s="108">
        <f>CBurn_12Months!Y7</f>
        <v>182.03</v>
      </c>
      <c r="F14" s="108">
        <f>CBurn_12Months!Z7</f>
        <v>184.27</v>
      </c>
      <c r="G14" s="108">
        <f>CBurn_12Months!AA7</f>
        <v>283.41000000000003</v>
      </c>
      <c r="H14" s="108">
        <f>CBurn_12Months!AB7</f>
        <v>186.35</v>
      </c>
      <c r="I14" s="108">
        <f>CBurn_12Months!AC7</f>
        <v>212.93</v>
      </c>
      <c r="J14" s="108">
        <f>CBurn_12Months!AD7</f>
        <v>275.39999999999998</v>
      </c>
      <c r="K14" s="108">
        <f>CBurn_12Months!AE7</f>
        <v>194.98</v>
      </c>
      <c r="L14" s="108">
        <f>CBurn_12Months!AF7</f>
        <v>0</v>
      </c>
      <c r="M14" s="108">
        <f>CBurn_12Months!AG7</f>
        <v>0</v>
      </c>
      <c r="N14" s="108">
        <f>CBurn_12Months!AH7</f>
        <v>0</v>
      </c>
      <c r="O14" s="94">
        <f t="shared" si="1"/>
        <v>1927.6</v>
      </c>
      <c r="Q14" s="96"/>
      <c r="R14" s="97"/>
    </row>
    <row r="15" spans="1:18" s="87" customFormat="1" x14ac:dyDescent="0.25">
      <c r="B15" s="108" t="str">
        <f>CBurn_12Months!V8</f>
        <v>IT Costs</v>
      </c>
      <c r="C15" s="108">
        <f>CBurn_12Months!W8</f>
        <v>7138.49</v>
      </c>
      <c r="D15" s="108">
        <f>CBurn_12Months!X8</f>
        <v>6587.16</v>
      </c>
      <c r="E15" s="108">
        <f>CBurn_12Months!Y8</f>
        <v>9142.57</v>
      </c>
      <c r="F15" s="108">
        <f>CBurn_12Months!Z8</f>
        <v>4262.4399999999996</v>
      </c>
      <c r="G15" s="108">
        <f>CBurn_12Months!AA8</f>
        <v>10260.18</v>
      </c>
      <c r="H15" s="108">
        <f>CBurn_12Months!AB8</f>
        <v>6198.06</v>
      </c>
      <c r="I15" s="108">
        <f>CBurn_12Months!AC8</f>
        <v>10255.68</v>
      </c>
      <c r="J15" s="108">
        <f>CBurn_12Months!AD8</f>
        <v>6945.5</v>
      </c>
      <c r="K15" s="108">
        <f>CBurn_12Months!AE8</f>
        <v>8052.96</v>
      </c>
      <c r="L15" s="108">
        <f>CBurn_12Months!AF8</f>
        <v>0</v>
      </c>
      <c r="M15" s="108">
        <f>CBurn_12Months!AG8</f>
        <v>0</v>
      </c>
      <c r="N15" s="108">
        <f>CBurn_12Months!AH8</f>
        <v>0</v>
      </c>
      <c r="O15" s="94">
        <f t="shared" si="1"/>
        <v>68843.039999999994</v>
      </c>
      <c r="Q15" s="96"/>
      <c r="R15" s="97"/>
    </row>
    <row r="16" spans="1:18" x14ac:dyDescent="0.25">
      <c r="B16" s="108" t="str">
        <f>CBurn_12Months!V9</f>
        <v>Outside Servces</v>
      </c>
      <c r="C16" s="108">
        <f>CBurn_12Months!W9</f>
        <v>273.94</v>
      </c>
      <c r="D16" s="108">
        <f>CBurn_12Months!X9</f>
        <v>279.7</v>
      </c>
      <c r="E16" s="108">
        <f>CBurn_12Months!Y9</f>
        <v>290.95</v>
      </c>
      <c r="F16" s="108">
        <f>CBurn_12Months!Z9</f>
        <v>506.86</v>
      </c>
      <c r="G16" s="108">
        <f>CBurn_12Months!AA9</f>
        <v>337.33</v>
      </c>
      <c r="H16" s="108">
        <f>CBurn_12Months!AB9</f>
        <v>151.81</v>
      </c>
      <c r="I16" s="108">
        <f>CBurn_12Months!AC9</f>
        <v>292.92</v>
      </c>
      <c r="J16" s="108">
        <f>CBurn_12Months!AD9</f>
        <v>477.69</v>
      </c>
      <c r="K16" s="108">
        <f>CBurn_12Months!AE9</f>
        <v>375.42</v>
      </c>
      <c r="L16" s="108">
        <f>CBurn_12Months!AF9</f>
        <v>0</v>
      </c>
      <c r="M16" s="108">
        <f>CBurn_12Months!AG9</f>
        <v>0</v>
      </c>
      <c r="N16" s="108">
        <f>CBurn_12Months!AH9</f>
        <v>0</v>
      </c>
      <c r="O16" s="94">
        <f t="shared" si="1"/>
        <v>2986.62</v>
      </c>
      <c r="Q16" s="96"/>
      <c r="R16" s="97"/>
    </row>
    <row r="17" spans="2:18" x14ac:dyDescent="0.25">
      <c r="B17" s="108" t="str">
        <f>CBurn_12Months!V10</f>
        <v>Professional Servicess</v>
      </c>
      <c r="C17" s="108">
        <f>CBurn_12Months!W10</f>
        <v>3654.74</v>
      </c>
      <c r="D17" s="108">
        <f>CBurn_12Months!X10</f>
        <v>2371.4499999999998</v>
      </c>
      <c r="E17" s="108">
        <f>CBurn_12Months!Y10</f>
        <v>3434.75</v>
      </c>
      <c r="F17" s="108">
        <f>CBurn_12Months!Z10</f>
        <v>12533.8</v>
      </c>
      <c r="G17" s="108">
        <f>CBurn_12Months!AA10</f>
        <v>3982.42</v>
      </c>
      <c r="H17" s="108">
        <f>CBurn_12Months!AB10</f>
        <v>4942.2700000000004</v>
      </c>
      <c r="I17" s="108">
        <f>CBurn_12Months!AC10</f>
        <v>4913.1099999999997</v>
      </c>
      <c r="J17" s="108">
        <f>CBurn_12Months!AD10</f>
        <v>2462.7399999999998</v>
      </c>
      <c r="K17" s="108">
        <f>CBurn_12Months!AE10</f>
        <v>9490.23</v>
      </c>
      <c r="L17" s="108">
        <f>CBurn_12Months!AF10</f>
        <v>0</v>
      </c>
      <c r="M17" s="108">
        <f>CBurn_12Months!AG10</f>
        <v>0</v>
      </c>
      <c r="N17" s="108">
        <f>CBurn_12Months!AH10</f>
        <v>0</v>
      </c>
      <c r="O17" s="94">
        <f t="shared" si="1"/>
        <v>47785.509999999995</v>
      </c>
      <c r="Q17" s="96"/>
      <c r="R17" s="97"/>
    </row>
    <row r="18" spans="2:18" x14ac:dyDescent="0.25">
      <c r="B18" s="108" t="str">
        <f>CBurn_12Months!V11</f>
        <v>Selling Expenses</v>
      </c>
      <c r="C18" s="108">
        <f>CBurn_12Months!W11</f>
        <v>2396.58</v>
      </c>
      <c r="D18" s="108">
        <f>CBurn_12Months!X11</f>
        <v>1175.31</v>
      </c>
      <c r="E18" s="108">
        <f>CBurn_12Months!Y11</f>
        <v>3332.11</v>
      </c>
      <c r="F18" s="108">
        <f>CBurn_12Months!Z11</f>
        <v>3376.45</v>
      </c>
      <c r="G18" s="108">
        <f>CBurn_12Months!AA11</f>
        <v>6493.16</v>
      </c>
      <c r="H18" s="108">
        <f>CBurn_12Months!AB11</f>
        <v>2413.92</v>
      </c>
      <c r="I18" s="108">
        <f>CBurn_12Months!AC11</f>
        <v>3630.66</v>
      </c>
      <c r="J18" s="108">
        <f>CBurn_12Months!AD11</f>
        <v>2732.12</v>
      </c>
      <c r="K18" s="108">
        <f>CBurn_12Months!AE11</f>
        <v>2668.06</v>
      </c>
      <c r="L18" s="108">
        <f>CBurn_12Months!AF11</f>
        <v>0</v>
      </c>
      <c r="M18" s="108">
        <f>CBurn_12Months!AG11</f>
        <v>0</v>
      </c>
      <c r="N18" s="108">
        <f>CBurn_12Months!AH11</f>
        <v>0</v>
      </c>
      <c r="O18" s="94">
        <f t="shared" si="1"/>
        <v>28218.37</v>
      </c>
      <c r="Q18" s="96"/>
      <c r="R18" s="97"/>
    </row>
    <row r="19" spans="2:18" x14ac:dyDescent="0.25">
      <c r="B19" s="108" t="str">
        <f>CBurn_12Months!V12</f>
        <v>Travel &amp; Entertainment</v>
      </c>
      <c r="C19" s="108">
        <f>CBurn_12Months!W12</f>
        <v>397.26</v>
      </c>
      <c r="D19" s="108">
        <f>CBurn_12Months!X12</f>
        <v>135.06</v>
      </c>
      <c r="E19" s="108">
        <f>CBurn_12Months!Y12</f>
        <v>902.64</v>
      </c>
      <c r="F19" s="108">
        <f>CBurn_12Months!Z12</f>
        <v>0</v>
      </c>
      <c r="G19" s="108">
        <f>CBurn_12Months!AA12</f>
        <v>2378.75</v>
      </c>
      <c r="H19" s="108">
        <f>CBurn_12Months!AB12</f>
        <v>536.77</v>
      </c>
      <c r="I19" s="108">
        <f>CBurn_12Months!AC12</f>
        <v>1770.32</v>
      </c>
      <c r="J19" s="108">
        <f>CBurn_12Months!AD12</f>
        <v>4595.04</v>
      </c>
      <c r="K19" s="108">
        <f>CBurn_12Months!AE12</f>
        <v>840</v>
      </c>
      <c r="L19" s="108">
        <f>CBurn_12Months!AF12</f>
        <v>0</v>
      </c>
      <c r="M19" s="108">
        <f>CBurn_12Months!AG12</f>
        <v>0</v>
      </c>
      <c r="N19" s="108">
        <f>CBurn_12Months!AH12</f>
        <v>0</v>
      </c>
      <c r="O19" s="94">
        <f t="shared" si="1"/>
        <v>11555.84</v>
      </c>
      <c r="Q19" s="96"/>
      <c r="R19" s="97"/>
    </row>
    <row r="20" spans="2:18" x14ac:dyDescent="0.25">
      <c r="B20" s="108" t="str">
        <f>CBurn_12Months!V13</f>
        <v>Office Equipment</v>
      </c>
      <c r="C20" s="108">
        <f>CBurn_12Months!W13</f>
        <v>34.01</v>
      </c>
      <c r="D20" s="108">
        <f>CBurn_12Months!X13</f>
        <v>1.55</v>
      </c>
      <c r="E20" s="108">
        <f>CBurn_12Months!Y13</f>
        <v>71.7</v>
      </c>
      <c r="F20" s="108">
        <f>CBurn_12Months!Z13</f>
        <v>23.19</v>
      </c>
      <c r="G20" s="108">
        <f>CBurn_12Months!AA13</f>
        <v>269.95999999999998</v>
      </c>
      <c r="H20" s="108">
        <f>CBurn_12Months!AB13</f>
        <v>0</v>
      </c>
      <c r="I20" s="108">
        <f>CBurn_12Months!AC13</f>
        <v>0</v>
      </c>
      <c r="J20" s="108">
        <f>CBurn_12Months!AD13</f>
        <v>0</v>
      </c>
      <c r="K20" s="108">
        <f>CBurn_12Months!AE13</f>
        <v>0</v>
      </c>
      <c r="L20" s="108">
        <f>CBurn_12Months!AF13</f>
        <v>0</v>
      </c>
      <c r="M20" s="108">
        <f>CBurn_12Months!AG13</f>
        <v>0</v>
      </c>
      <c r="N20" s="108">
        <f>CBurn_12Months!AH13</f>
        <v>0</v>
      </c>
      <c r="O20" s="94">
        <f t="shared" si="1"/>
        <v>400.40999999999997</v>
      </c>
      <c r="Q20" s="96"/>
      <c r="R20" s="97"/>
    </row>
    <row r="21" spans="2:18" x14ac:dyDescent="0.25">
      <c r="B21" s="108" t="str">
        <f>CBurn_12Months!V14</f>
        <v>Auto Expenses</v>
      </c>
      <c r="C21" s="108">
        <f>CBurn_12Months!W14</f>
        <v>507.7</v>
      </c>
      <c r="D21" s="108">
        <f>CBurn_12Months!X14</f>
        <v>853.25</v>
      </c>
      <c r="E21" s="108">
        <f>CBurn_12Months!Y14</f>
        <v>1046.94</v>
      </c>
      <c r="F21" s="108">
        <f>CBurn_12Months!Z14</f>
        <v>504.12</v>
      </c>
      <c r="G21" s="108">
        <f>CBurn_12Months!AA14</f>
        <v>926.61</v>
      </c>
      <c r="H21" s="108">
        <f>CBurn_12Months!AB14</f>
        <v>1659.25</v>
      </c>
      <c r="I21" s="108">
        <f>CBurn_12Months!AC14</f>
        <v>965.23</v>
      </c>
      <c r="J21" s="108">
        <f>CBurn_12Months!AD14</f>
        <v>899.24</v>
      </c>
      <c r="K21" s="108">
        <f>CBurn_12Months!AE14</f>
        <v>826.56</v>
      </c>
      <c r="L21" s="108">
        <f>CBurn_12Months!AF14</f>
        <v>0</v>
      </c>
      <c r="M21" s="108">
        <f>CBurn_12Months!AG14</f>
        <v>0</v>
      </c>
      <c r="N21" s="108">
        <f>CBurn_12Months!AH14</f>
        <v>0</v>
      </c>
      <c r="O21" s="94">
        <f t="shared" si="1"/>
        <v>8188.9</v>
      </c>
      <c r="Q21" s="96"/>
      <c r="R21" s="97"/>
    </row>
    <row r="22" spans="2:18" x14ac:dyDescent="0.25">
      <c r="B22" s="108" t="str">
        <f>CBurn_12Months!V15</f>
        <v>Insurance</v>
      </c>
      <c r="C22" s="108">
        <f>CBurn_12Months!W15</f>
        <v>266.75</v>
      </c>
      <c r="D22" s="108">
        <f>CBurn_12Months!X15</f>
        <v>266.75</v>
      </c>
      <c r="E22" s="108">
        <f>CBurn_12Months!Y15</f>
        <v>266.75</v>
      </c>
      <c r="F22" s="108">
        <f>CBurn_12Months!Z15</f>
        <v>266.75</v>
      </c>
      <c r="G22" s="108">
        <f>CBurn_12Months!AA15</f>
        <v>266.75</v>
      </c>
      <c r="H22" s="108">
        <f>CBurn_12Months!AB15</f>
        <v>266.75</v>
      </c>
      <c r="I22" s="108">
        <f>CBurn_12Months!AC15</f>
        <v>268.57</v>
      </c>
      <c r="J22" s="108">
        <f>CBurn_12Months!AD15</f>
        <v>268.57</v>
      </c>
      <c r="K22" s="108">
        <f>CBurn_12Months!AE15</f>
        <v>268.57</v>
      </c>
      <c r="L22" s="108">
        <f>CBurn_12Months!AF15</f>
        <v>0</v>
      </c>
      <c r="M22" s="108">
        <f>CBurn_12Months!AG15</f>
        <v>0</v>
      </c>
      <c r="N22" s="108">
        <f>CBurn_12Months!AH15</f>
        <v>0</v>
      </c>
      <c r="O22" s="94">
        <f t="shared" si="1"/>
        <v>2406.21</v>
      </c>
      <c r="Q22" s="96"/>
      <c r="R22" s="97"/>
    </row>
    <row r="23" spans="2:18" x14ac:dyDescent="0.25">
      <c r="B23" s="108" t="str">
        <f>CBurn_12Months!V16</f>
        <v>Facility Fees</v>
      </c>
      <c r="C23" s="108">
        <f>CBurn_12Months!W16</f>
        <v>2717.62</v>
      </c>
      <c r="D23" s="108">
        <f>CBurn_12Months!X16</f>
        <v>2717.62</v>
      </c>
      <c r="E23" s="108">
        <f>CBurn_12Months!Y16</f>
        <v>2717.62</v>
      </c>
      <c r="F23" s="108">
        <f>CBurn_12Months!Z16</f>
        <v>2717.62</v>
      </c>
      <c r="G23" s="108">
        <f>CBurn_12Months!AA16</f>
        <v>2717.62</v>
      </c>
      <c r="H23" s="108">
        <f>CBurn_12Months!AB16</f>
        <v>2717.62</v>
      </c>
      <c r="I23" s="108">
        <f>CBurn_12Months!AC16</f>
        <v>2736.02</v>
      </c>
      <c r="J23" s="108">
        <f>CBurn_12Months!AD16</f>
        <v>2736.02</v>
      </c>
      <c r="K23" s="108">
        <f>CBurn_12Months!AE16</f>
        <v>2736.02</v>
      </c>
      <c r="L23" s="108">
        <f>CBurn_12Months!AF16</f>
        <v>0</v>
      </c>
      <c r="M23" s="108">
        <f>CBurn_12Months!AG16</f>
        <v>0</v>
      </c>
      <c r="N23" s="108">
        <f>CBurn_12Months!AH16</f>
        <v>0</v>
      </c>
      <c r="O23" s="94">
        <f t="shared" si="1"/>
        <v>24513.78</v>
      </c>
      <c r="Q23" s="96"/>
      <c r="R23" s="97"/>
    </row>
    <row r="24" spans="2:18" x14ac:dyDescent="0.25">
      <c r="B24" s="108" t="str">
        <f>CBurn_12Months!V17</f>
        <v>Other Expenses</v>
      </c>
      <c r="C24" s="108">
        <f>CBurn_12Months!W17</f>
        <v>559.41999999999996</v>
      </c>
      <c r="D24" s="108">
        <f>CBurn_12Months!X17</f>
        <v>1303.5</v>
      </c>
      <c r="E24" s="108">
        <f>CBurn_12Months!Y17</f>
        <v>456.18</v>
      </c>
      <c r="F24" s="108">
        <f>CBurn_12Months!Z17</f>
        <v>3670.99</v>
      </c>
      <c r="G24" s="108">
        <f>CBurn_12Months!AA17</f>
        <v>5805.59</v>
      </c>
      <c r="H24" s="108">
        <f>CBurn_12Months!AB17</f>
        <v>4170.46</v>
      </c>
      <c r="I24" s="108">
        <f>CBurn_12Months!AC17</f>
        <v>4342.1000000000004</v>
      </c>
      <c r="J24" s="108">
        <f>CBurn_12Months!AD17</f>
        <v>-3690.55</v>
      </c>
      <c r="K24" s="108">
        <f>CBurn_12Months!AE17</f>
        <v>1344.69</v>
      </c>
      <c r="L24" s="108">
        <f>CBurn_12Months!AF17</f>
        <v>0</v>
      </c>
      <c r="M24" s="108">
        <f>CBurn_12Months!AG17</f>
        <v>0</v>
      </c>
      <c r="N24" s="108">
        <f>CBurn_12Months!AH17</f>
        <v>0</v>
      </c>
      <c r="O24" s="94">
        <f t="shared" si="1"/>
        <v>17962.379999999997</v>
      </c>
      <c r="Q24" s="96"/>
      <c r="R24" s="97"/>
    </row>
    <row r="25" spans="2:18" x14ac:dyDescent="0.25"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100"/>
      <c r="Q25" s="96"/>
      <c r="R25" s="97"/>
    </row>
    <row r="26" spans="2:18" s="87" customFormat="1" x14ac:dyDescent="0.25">
      <c r="B26" s="101" t="str">
        <f>[2]Burn_MTD!T19</f>
        <v>TOTAL OPERATING EXPENSES</v>
      </c>
      <c r="C26" s="102">
        <f>SUM(C10:C25)</f>
        <v>87820.08</v>
      </c>
      <c r="D26" s="102">
        <f t="shared" ref="D26:O26" si="2">SUM(D10:D25)</f>
        <v>92684.739999999991</v>
      </c>
      <c r="E26" s="102">
        <f t="shared" si="2"/>
        <v>99172.819999999978</v>
      </c>
      <c r="F26" s="102">
        <f t="shared" si="2"/>
        <v>112646.36</v>
      </c>
      <c r="G26" s="102">
        <f t="shared" si="2"/>
        <v>120460.82</v>
      </c>
      <c r="H26" s="102">
        <f t="shared" si="2"/>
        <v>118008.65000000002</v>
      </c>
      <c r="I26" s="102">
        <f t="shared" si="2"/>
        <v>113690.38</v>
      </c>
      <c r="J26" s="102">
        <f t="shared" si="2"/>
        <v>112782.44000000002</v>
      </c>
      <c r="K26" s="102">
        <f t="shared" si="2"/>
        <v>129063.87</v>
      </c>
      <c r="L26" s="102">
        <f t="shared" si="2"/>
        <v>0</v>
      </c>
      <c r="M26" s="102">
        <f t="shared" si="2"/>
        <v>0</v>
      </c>
      <c r="N26" s="102">
        <f t="shared" si="2"/>
        <v>0</v>
      </c>
      <c r="O26" s="102">
        <f t="shared" si="2"/>
        <v>986330.16000000015</v>
      </c>
      <c r="Q26" s="103"/>
      <c r="R26" s="104"/>
    </row>
    <row r="27" spans="2:18" x14ac:dyDescent="0.25"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Q27" s="96"/>
      <c r="R27" s="97"/>
    </row>
    <row r="28" spans="2:18" x14ac:dyDescent="0.25"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Q28" s="96"/>
      <c r="R28" s="97"/>
    </row>
    <row r="29" spans="2:18" ht="20.100000000000001" customHeight="1" x14ac:dyDescent="0.25"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Q29" s="96"/>
      <c r="R29" s="97"/>
    </row>
    <row r="30" spans="2:18" x14ac:dyDescent="0.25"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Q30" s="96"/>
      <c r="R30" s="97"/>
    </row>
    <row r="31" spans="2:18" s="87" customFormat="1" x14ac:dyDescent="0.25">
      <c r="B31" s="101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Q31" s="96"/>
      <c r="R31" s="97"/>
    </row>
    <row r="32" spans="2:18" x14ac:dyDescent="0.25"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Q32" s="96"/>
      <c r="R32" s="97"/>
    </row>
    <row r="33" spans="1:18" x14ac:dyDescent="0.25"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Q33" s="96"/>
      <c r="R33" s="97"/>
    </row>
    <row r="34" spans="1:18" x14ac:dyDescent="0.25"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Q34" s="96"/>
      <c r="R34" s="97"/>
    </row>
    <row r="35" spans="1:18" x14ac:dyDescent="0.25"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Q35" s="96"/>
      <c r="R35" s="97"/>
    </row>
    <row r="36" spans="1:18" x14ac:dyDescent="0.25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Q36" s="96"/>
      <c r="R36" s="97"/>
    </row>
    <row r="37" spans="1:18" x14ac:dyDescent="0.25"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Q37" s="96"/>
      <c r="R37" s="97"/>
    </row>
    <row r="38" spans="1:18" x14ac:dyDescent="0.25"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Q38" s="96"/>
      <c r="R38" s="97"/>
    </row>
    <row r="39" spans="1:18" s="87" customFormat="1" x14ac:dyDescent="0.25">
      <c r="B39" s="101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Q39" s="103"/>
      <c r="R39" s="104"/>
    </row>
    <row r="40" spans="1:18" x14ac:dyDescent="0.25"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Q40" s="96"/>
      <c r="R40" s="97"/>
    </row>
    <row r="41" spans="1:18" x14ac:dyDescent="0.25">
      <c r="B41" s="101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Q41" s="96"/>
      <c r="R41" s="97"/>
    </row>
    <row r="42" spans="1:18" x14ac:dyDescent="0.25">
      <c r="B42" s="93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Q42" s="96"/>
      <c r="R42" s="97"/>
    </row>
    <row r="43" spans="1:18" x14ac:dyDescent="0.25"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Q43" s="96"/>
      <c r="R43" s="97"/>
    </row>
    <row r="44" spans="1:18" x14ac:dyDescent="0.25">
      <c r="B44" s="93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Q44" s="96"/>
      <c r="R44" s="97"/>
    </row>
    <row r="45" spans="1:18" x14ac:dyDescent="0.25">
      <c r="A45" s="106"/>
      <c r="B45" s="93"/>
      <c r="C45" s="107">
        <f>[2]BS_12Months!D11-C43</f>
        <v>0</v>
      </c>
      <c r="D45" s="107">
        <f>[2]BS_12Months!E11-D43</f>
        <v>0</v>
      </c>
      <c r="E45" s="107"/>
      <c r="F45" s="94"/>
      <c r="G45" s="94"/>
      <c r="H45" s="94"/>
      <c r="I45" s="94"/>
      <c r="J45" s="94"/>
      <c r="K45" s="94"/>
      <c r="L45" s="94"/>
      <c r="M45" s="94"/>
      <c r="N45" s="94"/>
      <c r="O45" s="94"/>
      <c r="Q45" s="96"/>
      <c r="R45" s="97"/>
    </row>
    <row r="46" spans="1:18" s="87" customFormat="1" x14ac:dyDescent="0.25">
      <c r="B46" s="101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Q46" s="96"/>
      <c r="R46" s="97"/>
    </row>
    <row r="47" spans="1:18" x14ac:dyDescent="0.25"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48" spans="1:18" x14ac:dyDescent="0.25"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</row>
    <row r="49" spans="3:15" x14ac:dyDescent="0.25"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</row>
    <row r="51" spans="3:15" x14ac:dyDescent="0.25">
      <c r="O51" s="94"/>
    </row>
    <row r="56" spans="3:15" ht="27.9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1:A1000"/>
  <sheetViews>
    <sheetView workbookViewId="0">
      <selection activeCell="A4" sqref="A4"/>
    </sheetView>
  </sheetViews>
  <sheetFormatPr defaultColWidth="12.5703125" defaultRowHeight="15" customHeight="1" x14ac:dyDescent="0.25"/>
  <cols>
    <col min="1" max="26" width="10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H1000"/>
  <sheetViews>
    <sheetView topLeftCell="O13" workbookViewId="0">
      <selection activeCell="A4" sqref="A4"/>
    </sheetView>
  </sheetViews>
  <sheetFormatPr defaultRowHeight="15" customHeight="1" x14ac:dyDescent="0.25"/>
  <cols>
    <col min="1" max="1" width="16.85546875" bestFit="1" customWidth="1"/>
    <col min="2" max="2" width="8" bestFit="1" customWidth="1"/>
    <col min="3" max="3" width="12.85546875" bestFit="1" customWidth="1"/>
    <col min="4" max="4" width="15.7109375" bestFit="1" customWidth="1"/>
    <col min="5" max="5" width="18.7109375" bestFit="1" customWidth="1"/>
    <col min="6" max="6" width="9.5703125" bestFit="1" customWidth="1"/>
    <col min="7" max="7" width="11.85546875" bestFit="1" customWidth="1"/>
    <col min="8" max="8" width="15.140625" bestFit="1" customWidth="1"/>
    <col min="9" max="9" width="14.5703125" bestFit="1" customWidth="1"/>
    <col min="10" max="10" width="18.42578125" bestFit="1" customWidth="1"/>
    <col min="11" max="11" width="19.7109375" bestFit="1" customWidth="1"/>
    <col min="12" max="12" width="17.85546875" bestFit="1" customWidth="1"/>
    <col min="13" max="13" width="18" bestFit="1" customWidth="1"/>
    <col min="14" max="14" width="17.85546875" bestFit="1" customWidth="1"/>
    <col min="15" max="15" width="16.5703125" bestFit="1" customWidth="1"/>
    <col min="16" max="16" width="17.5703125" bestFit="1" customWidth="1"/>
    <col min="17" max="17" width="18.42578125" bestFit="1" customWidth="1"/>
    <col min="18" max="18" width="10.42578125" bestFit="1" customWidth="1"/>
    <col min="19" max="19" width="36.5703125" bestFit="1" customWidth="1"/>
    <col min="20" max="20" width="14.28515625" customWidth="1"/>
    <col min="21" max="24" width="12.140625" bestFit="1" customWidth="1"/>
    <col min="25" max="25" width="4.42578125" bestFit="1" customWidth="1"/>
    <col min="26" max="34" width="4.5703125" bestFit="1" customWidth="1"/>
  </cols>
  <sheetData>
    <row r="1" spans="1:34" x14ac:dyDescent="0.25">
      <c r="A1" s="75" t="s">
        <v>164</v>
      </c>
      <c r="B1" s="75" t="s">
        <v>165</v>
      </c>
      <c r="C1" s="75" t="s">
        <v>166</v>
      </c>
      <c r="D1" s="75" t="s">
        <v>167</v>
      </c>
      <c r="E1" s="75" t="s">
        <v>168</v>
      </c>
      <c r="F1" s="75" t="s">
        <v>169</v>
      </c>
      <c r="G1" s="75" t="s">
        <v>170</v>
      </c>
      <c r="H1" s="75" t="s">
        <v>171</v>
      </c>
      <c r="I1" s="75" t="s">
        <v>172</v>
      </c>
      <c r="J1" s="75" t="s">
        <v>173</v>
      </c>
      <c r="K1" s="75" t="s">
        <v>174</v>
      </c>
      <c r="L1" s="75" t="s">
        <v>175</v>
      </c>
      <c r="M1" s="75" t="s">
        <v>176</v>
      </c>
      <c r="N1" s="75" t="s">
        <v>177</v>
      </c>
      <c r="O1" s="75" t="s">
        <v>178</v>
      </c>
      <c r="P1" s="75" t="s">
        <v>179</v>
      </c>
      <c r="Q1" s="75" t="s">
        <v>180</v>
      </c>
      <c r="R1" s="75" t="s">
        <v>181</v>
      </c>
      <c r="S1" s="75" t="s">
        <v>182</v>
      </c>
      <c r="T1" s="75" t="s">
        <v>183</v>
      </c>
      <c r="U1" s="75" t="s">
        <v>184</v>
      </c>
      <c r="V1" s="75" t="s">
        <v>185</v>
      </c>
      <c r="W1" s="75" t="s">
        <v>186</v>
      </c>
      <c r="X1" s="75" t="s">
        <v>123</v>
      </c>
      <c r="Y1" s="75" t="s">
        <v>187</v>
      </c>
      <c r="Z1" s="75" t="s">
        <v>188</v>
      </c>
      <c r="AA1" s="75" t="s">
        <v>189</v>
      </c>
      <c r="AB1" s="75" t="s">
        <v>190</v>
      </c>
      <c r="AC1" s="75" t="s">
        <v>191</v>
      </c>
      <c r="AD1" s="75" t="s">
        <v>192</v>
      </c>
      <c r="AE1" s="75" t="s">
        <v>193</v>
      </c>
      <c r="AF1" s="75" t="s">
        <v>194</v>
      </c>
      <c r="AG1" s="75" t="s">
        <v>195</v>
      </c>
      <c r="AH1" s="75" t="s">
        <v>196</v>
      </c>
    </row>
    <row r="2" spans="1:34" x14ac:dyDescent="0.25">
      <c r="A2" s="76" t="s">
        <v>286</v>
      </c>
      <c r="B2" s="76" t="s">
        <v>197</v>
      </c>
      <c r="C2" s="76" t="s">
        <v>198</v>
      </c>
      <c r="D2" s="76" t="s">
        <v>197</v>
      </c>
      <c r="E2" s="76" t="s">
        <v>199</v>
      </c>
      <c r="F2" s="76" t="s">
        <v>200</v>
      </c>
      <c r="G2" s="76" t="s">
        <v>284</v>
      </c>
      <c r="H2" s="77" t="b">
        <f>FALSE()</f>
        <v>0</v>
      </c>
      <c r="I2" s="76" t="s">
        <v>28</v>
      </c>
      <c r="J2" s="76" t="s">
        <v>28</v>
      </c>
      <c r="K2" s="76" t="s">
        <v>28</v>
      </c>
      <c r="L2" s="76" t="s">
        <v>28</v>
      </c>
      <c r="M2" s="76" t="s">
        <v>28</v>
      </c>
      <c r="N2" s="76" t="s">
        <v>28</v>
      </c>
      <c r="O2" s="76" t="s">
        <v>28</v>
      </c>
      <c r="P2" s="76" t="s">
        <v>28</v>
      </c>
      <c r="Q2" s="76" t="s">
        <v>28</v>
      </c>
      <c r="R2" s="76" t="s">
        <v>28</v>
      </c>
      <c r="S2" s="76" t="s">
        <v>201</v>
      </c>
      <c r="T2" s="85">
        <v>0</v>
      </c>
      <c r="U2" s="85">
        <v>0</v>
      </c>
      <c r="V2" s="78">
        <v>0</v>
      </c>
      <c r="W2" s="78">
        <v>0</v>
      </c>
      <c r="X2" s="85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</row>
    <row r="3" spans="1:34" x14ac:dyDescent="0.25">
      <c r="A3" s="76" t="s">
        <v>286</v>
      </c>
      <c r="B3" s="76" t="s">
        <v>197</v>
      </c>
      <c r="C3" s="76" t="s">
        <v>198</v>
      </c>
      <c r="D3" s="76" t="s">
        <v>197</v>
      </c>
      <c r="E3" s="76" t="s">
        <v>199</v>
      </c>
      <c r="F3" s="76" t="s">
        <v>200</v>
      </c>
      <c r="G3" s="76" t="s">
        <v>284</v>
      </c>
      <c r="H3" s="77" t="b">
        <f>FALSE()</f>
        <v>0</v>
      </c>
      <c r="I3" s="76" t="s">
        <v>28</v>
      </c>
      <c r="J3" s="76" t="s">
        <v>28</v>
      </c>
      <c r="K3" s="76" t="s">
        <v>28</v>
      </c>
      <c r="L3" s="76" t="s">
        <v>28</v>
      </c>
      <c r="M3" s="76" t="s">
        <v>28</v>
      </c>
      <c r="N3" s="76" t="s">
        <v>28</v>
      </c>
      <c r="O3" s="76" t="s">
        <v>28</v>
      </c>
      <c r="P3" s="76" t="s">
        <v>28</v>
      </c>
      <c r="Q3" s="76" t="s">
        <v>28</v>
      </c>
      <c r="R3" s="76" t="s">
        <v>29</v>
      </c>
      <c r="S3" s="76" t="s">
        <v>30</v>
      </c>
      <c r="T3" s="85">
        <v>0</v>
      </c>
      <c r="U3" s="85">
        <v>0</v>
      </c>
      <c r="V3" s="78">
        <v>0</v>
      </c>
      <c r="W3" s="78">
        <v>0</v>
      </c>
      <c r="X3" s="85">
        <v>0</v>
      </c>
      <c r="Y3" s="78">
        <v>0</v>
      </c>
      <c r="Z3" s="78">
        <v>0</v>
      </c>
      <c r="AA3" s="78">
        <v>0</v>
      </c>
      <c r="AB3" s="78">
        <v>0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</row>
    <row r="4" spans="1:34" x14ac:dyDescent="0.25">
      <c r="A4" s="76" t="s">
        <v>286</v>
      </c>
      <c r="B4" s="76" t="s">
        <v>197</v>
      </c>
      <c r="C4" s="76" t="s">
        <v>198</v>
      </c>
      <c r="D4" s="76" t="s">
        <v>197</v>
      </c>
      <c r="E4" s="76" t="s">
        <v>199</v>
      </c>
      <c r="F4" s="76" t="s">
        <v>200</v>
      </c>
      <c r="G4" s="76" t="s">
        <v>284</v>
      </c>
      <c r="H4" s="77" t="b">
        <f>FALSE()</f>
        <v>0</v>
      </c>
      <c r="I4" s="76" t="s">
        <v>28</v>
      </c>
      <c r="J4" s="76" t="s">
        <v>28</v>
      </c>
      <c r="K4" s="76" t="s">
        <v>28</v>
      </c>
      <c r="L4" s="76" t="s">
        <v>28</v>
      </c>
      <c r="M4" s="76" t="s">
        <v>28</v>
      </c>
      <c r="N4" s="76" t="s">
        <v>28</v>
      </c>
      <c r="O4" s="76" t="s">
        <v>28</v>
      </c>
      <c r="P4" s="76" t="s">
        <v>28</v>
      </c>
      <c r="Q4" s="76" t="s">
        <v>28</v>
      </c>
      <c r="R4" s="76" t="s">
        <v>31</v>
      </c>
      <c r="S4" s="76" t="s">
        <v>32</v>
      </c>
      <c r="T4" s="85">
        <v>689896</v>
      </c>
      <c r="U4" s="85">
        <v>653836</v>
      </c>
      <c r="V4" s="78">
        <v>537995.66</v>
      </c>
      <c r="W4" s="78">
        <v>0</v>
      </c>
      <c r="X4" s="85">
        <v>794225.58</v>
      </c>
      <c r="Y4" s="78">
        <v>0</v>
      </c>
      <c r="Z4" s="78">
        <v>0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</row>
    <row r="5" spans="1:34" x14ac:dyDescent="0.25">
      <c r="A5" s="76" t="s">
        <v>286</v>
      </c>
      <c r="B5" s="76" t="s">
        <v>197</v>
      </c>
      <c r="C5" s="76" t="s">
        <v>198</v>
      </c>
      <c r="D5" s="76" t="s">
        <v>197</v>
      </c>
      <c r="E5" s="76" t="s">
        <v>199</v>
      </c>
      <c r="F5" s="76" t="s">
        <v>200</v>
      </c>
      <c r="G5" s="76" t="s">
        <v>284</v>
      </c>
      <c r="H5" s="77" t="b">
        <f>FALSE()</f>
        <v>0</v>
      </c>
      <c r="I5" s="76" t="s">
        <v>28</v>
      </c>
      <c r="J5" s="76" t="s">
        <v>28</v>
      </c>
      <c r="K5" s="76" t="s">
        <v>28</v>
      </c>
      <c r="L5" s="76" t="s">
        <v>28</v>
      </c>
      <c r="M5" s="76" t="s">
        <v>28</v>
      </c>
      <c r="N5" s="76" t="s">
        <v>28</v>
      </c>
      <c r="O5" s="76" t="s">
        <v>28</v>
      </c>
      <c r="P5" s="76" t="s">
        <v>28</v>
      </c>
      <c r="Q5" s="76" t="s">
        <v>28</v>
      </c>
      <c r="R5" s="76" t="s">
        <v>33</v>
      </c>
      <c r="S5" s="76" t="s">
        <v>34</v>
      </c>
      <c r="T5" s="85">
        <v>1172340</v>
      </c>
      <c r="U5" s="85">
        <v>1368363</v>
      </c>
      <c r="V5" s="78">
        <v>1645999.08</v>
      </c>
      <c r="W5" s="78">
        <v>0</v>
      </c>
      <c r="X5" s="85">
        <v>1010459.04</v>
      </c>
      <c r="Y5" s="78">
        <v>0</v>
      </c>
      <c r="Z5" s="78">
        <v>0</v>
      </c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</row>
    <row r="6" spans="1:34" x14ac:dyDescent="0.25">
      <c r="A6" s="76" t="s">
        <v>286</v>
      </c>
      <c r="B6" s="76" t="s">
        <v>197</v>
      </c>
      <c r="C6" s="76" t="s">
        <v>198</v>
      </c>
      <c r="D6" s="76" t="s">
        <v>197</v>
      </c>
      <c r="E6" s="76" t="s">
        <v>199</v>
      </c>
      <c r="F6" s="76" t="s">
        <v>200</v>
      </c>
      <c r="G6" s="76" t="s">
        <v>284</v>
      </c>
      <c r="H6" s="77" t="b">
        <f>FALSE()</f>
        <v>0</v>
      </c>
      <c r="I6" s="76" t="s">
        <v>28</v>
      </c>
      <c r="J6" s="76" t="s">
        <v>28</v>
      </c>
      <c r="K6" s="76" t="s">
        <v>28</v>
      </c>
      <c r="L6" s="76" t="s">
        <v>28</v>
      </c>
      <c r="M6" s="76" t="s">
        <v>28</v>
      </c>
      <c r="N6" s="76" t="s">
        <v>28</v>
      </c>
      <c r="O6" s="76" t="s">
        <v>28</v>
      </c>
      <c r="P6" s="76" t="s">
        <v>28</v>
      </c>
      <c r="Q6" s="76" t="s">
        <v>28</v>
      </c>
      <c r="R6" s="76" t="s">
        <v>35</v>
      </c>
      <c r="S6" s="76" t="s">
        <v>36</v>
      </c>
      <c r="T6" s="85">
        <v>1146509</v>
      </c>
      <c r="U6" s="85">
        <v>1324774</v>
      </c>
      <c r="V6" s="78">
        <v>1623863.2</v>
      </c>
      <c r="W6" s="78">
        <v>0</v>
      </c>
      <c r="X6" s="85">
        <v>984666.07</v>
      </c>
      <c r="Y6" s="78">
        <v>0</v>
      </c>
      <c r="Z6" s="78">
        <v>0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</row>
    <row r="7" spans="1:34" x14ac:dyDescent="0.25">
      <c r="A7" s="76" t="s">
        <v>286</v>
      </c>
      <c r="B7" s="76" t="s">
        <v>197</v>
      </c>
      <c r="C7" s="76" t="s">
        <v>198</v>
      </c>
      <c r="D7" s="76" t="s">
        <v>197</v>
      </c>
      <c r="E7" s="76" t="s">
        <v>199</v>
      </c>
      <c r="F7" s="76" t="s">
        <v>200</v>
      </c>
      <c r="G7" s="76" t="s">
        <v>284</v>
      </c>
      <c r="H7" s="77" t="b">
        <f>FALSE()</f>
        <v>0</v>
      </c>
      <c r="I7" s="76" t="s">
        <v>28</v>
      </c>
      <c r="J7" s="76" t="s">
        <v>28</v>
      </c>
      <c r="K7" s="76" t="s">
        <v>28</v>
      </c>
      <c r="L7" s="76" t="s">
        <v>28</v>
      </c>
      <c r="M7" s="76" t="s">
        <v>28</v>
      </c>
      <c r="N7" s="76" t="s">
        <v>28</v>
      </c>
      <c r="O7" s="76" t="s">
        <v>28</v>
      </c>
      <c r="P7" s="76" t="s">
        <v>28</v>
      </c>
      <c r="Q7" s="76" t="s">
        <v>28</v>
      </c>
      <c r="R7" s="76" t="s">
        <v>37</v>
      </c>
      <c r="S7" s="76" t="s">
        <v>38</v>
      </c>
      <c r="T7" s="85">
        <v>218927</v>
      </c>
      <c r="U7" s="85">
        <v>176172</v>
      </c>
      <c r="V7" s="78">
        <v>181855.23</v>
      </c>
      <c r="W7" s="78">
        <v>0</v>
      </c>
      <c r="X7" s="85">
        <v>243756.25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</row>
    <row r="8" spans="1:34" x14ac:dyDescent="0.25">
      <c r="A8" s="76" t="s">
        <v>286</v>
      </c>
      <c r="B8" s="76" t="s">
        <v>197</v>
      </c>
      <c r="C8" s="76" t="s">
        <v>198</v>
      </c>
      <c r="D8" s="76" t="s">
        <v>197</v>
      </c>
      <c r="E8" s="76" t="s">
        <v>199</v>
      </c>
      <c r="F8" s="76" t="s">
        <v>200</v>
      </c>
      <c r="G8" s="76" t="s">
        <v>284</v>
      </c>
      <c r="H8" s="77" t="b">
        <f>FALSE()</f>
        <v>0</v>
      </c>
      <c r="I8" s="76" t="s">
        <v>28</v>
      </c>
      <c r="J8" s="76" t="s">
        <v>28</v>
      </c>
      <c r="K8" s="76" t="s">
        <v>28</v>
      </c>
      <c r="L8" s="76" t="s">
        <v>28</v>
      </c>
      <c r="M8" s="76" t="s">
        <v>28</v>
      </c>
      <c r="N8" s="76" t="s">
        <v>28</v>
      </c>
      <c r="O8" s="76" t="s">
        <v>28</v>
      </c>
      <c r="P8" s="76" t="s">
        <v>28</v>
      </c>
      <c r="Q8" s="76" t="s">
        <v>28</v>
      </c>
      <c r="R8" s="76" t="s">
        <v>39</v>
      </c>
      <c r="S8" s="76" t="s">
        <v>40</v>
      </c>
      <c r="T8" s="85">
        <v>3227672</v>
      </c>
      <c r="U8" s="85">
        <v>3523145</v>
      </c>
      <c r="V8" s="78">
        <v>3989713.17</v>
      </c>
      <c r="W8" s="78">
        <v>0</v>
      </c>
      <c r="X8" s="85">
        <v>3033106.94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</row>
    <row r="9" spans="1:34" x14ac:dyDescent="0.25">
      <c r="A9" s="76" t="s">
        <v>286</v>
      </c>
      <c r="B9" s="76" t="s">
        <v>197</v>
      </c>
      <c r="C9" s="76" t="s">
        <v>198</v>
      </c>
      <c r="D9" s="76" t="s">
        <v>197</v>
      </c>
      <c r="E9" s="76" t="s">
        <v>199</v>
      </c>
      <c r="F9" s="76" t="s">
        <v>200</v>
      </c>
      <c r="G9" s="76" t="s">
        <v>284</v>
      </c>
      <c r="H9" s="77" t="b">
        <f>FALSE()</f>
        <v>0</v>
      </c>
      <c r="I9" s="76" t="s">
        <v>28</v>
      </c>
      <c r="J9" s="76" t="s">
        <v>28</v>
      </c>
      <c r="K9" s="76" t="s">
        <v>28</v>
      </c>
      <c r="L9" s="76" t="s">
        <v>28</v>
      </c>
      <c r="M9" s="76" t="s">
        <v>28</v>
      </c>
      <c r="N9" s="76" t="s">
        <v>28</v>
      </c>
      <c r="O9" s="76" t="s">
        <v>28</v>
      </c>
      <c r="P9" s="76" t="s">
        <v>28</v>
      </c>
      <c r="Q9" s="76" t="s">
        <v>28</v>
      </c>
      <c r="R9" s="76" t="s">
        <v>28</v>
      </c>
      <c r="S9" s="76" t="s">
        <v>28</v>
      </c>
      <c r="T9" s="85">
        <v>0</v>
      </c>
      <c r="U9" s="85">
        <v>0</v>
      </c>
      <c r="V9" s="78">
        <v>0</v>
      </c>
      <c r="W9" s="78">
        <v>0</v>
      </c>
      <c r="X9" s="85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</row>
    <row r="10" spans="1:34" x14ac:dyDescent="0.25">
      <c r="A10" s="76" t="s">
        <v>286</v>
      </c>
      <c r="B10" s="76" t="s">
        <v>197</v>
      </c>
      <c r="C10" s="76" t="s">
        <v>198</v>
      </c>
      <c r="D10" s="76" t="s">
        <v>197</v>
      </c>
      <c r="E10" s="76" t="s">
        <v>199</v>
      </c>
      <c r="F10" s="76" t="s">
        <v>200</v>
      </c>
      <c r="G10" s="76" t="s">
        <v>284</v>
      </c>
      <c r="H10" s="77" t="b">
        <f>FALSE()</f>
        <v>0</v>
      </c>
      <c r="I10" s="76" t="s">
        <v>28</v>
      </c>
      <c r="J10" s="76" t="s">
        <v>28</v>
      </c>
      <c r="K10" s="76" t="s">
        <v>28</v>
      </c>
      <c r="L10" s="76" t="s">
        <v>28</v>
      </c>
      <c r="M10" s="76" t="s">
        <v>28</v>
      </c>
      <c r="N10" s="76" t="s">
        <v>28</v>
      </c>
      <c r="O10" s="76" t="s">
        <v>28</v>
      </c>
      <c r="P10" s="76" t="s">
        <v>28</v>
      </c>
      <c r="Q10" s="76" t="s">
        <v>28</v>
      </c>
      <c r="R10" s="76" t="s">
        <v>41</v>
      </c>
      <c r="S10" s="76" t="s">
        <v>42</v>
      </c>
      <c r="T10" s="85">
        <v>0</v>
      </c>
      <c r="U10" s="85">
        <v>0</v>
      </c>
      <c r="V10" s="78">
        <v>0</v>
      </c>
      <c r="W10" s="78">
        <v>0</v>
      </c>
      <c r="X10" s="85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</row>
    <row r="11" spans="1:34" x14ac:dyDescent="0.25">
      <c r="A11" s="76" t="s">
        <v>286</v>
      </c>
      <c r="B11" s="76" t="s">
        <v>197</v>
      </c>
      <c r="C11" s="76" t="s">
        <v>198</v>
      </c>
      <c r="D11" s="76" t="s">
        <v>197</v>
      </c>
      <c r="E11" s="76" t="s">
        <v>199</v>
      </c>
      <c r="F11" s="76" t="s">
        <v>200</v>
      </c>
      <c r="G11" s="76" t="s">
        <v>284</v>
      </c>
      <c r="H11" s="77" t="b">
        <f>FALSE()</f>
        <v>0</v>
      </c>
      <c r="I11" s="76" t="s">
        <v>28</v>
      </c>
      <c r="J11" s="76" t="s">
        <v>28</v>
      </c>
      <c r="K11" s="76" t="s">
        <v>28</v>
      </c>
      <c r="L11" s="76" t="s">
        <v>28</v>
      </c>
      <c r="M11" s="76" t="s">
        <v>28</v>
      </c>
      <c r="N11" s="76" t="s">
        <v>28</v>
      </c>
      <c r="O11" s="76" t="s">
        <v>28</v>
      </c>
      <c r="P11" s="76" t="s">
        <v>28</v>
      </c>
      <c r="Q11" s="76" t="s">
        <v>28</v>
      </c>
      <c r="R11" s="76" t="s">
        <v>43</v>
      </c>
      <c r="S11" s="76" t="s">
        <v>272</v>
      </c>
      <c r="T11" s="85">
        <v>45208</v>
      </c>
      <c r="U11" s="85">
        <v>46249</v>
      </c>
      <c r="V11" s="78">
        <v>50070.5</v>
      </c>
      <c r="W11" s="78">
        <v>0</v>
      </c>
      <c r="X11" s="85">
        <v>36174.870000000003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</row>
    <row r="12" spans="1:34" x14ac:dyDescent="0.25">
      <c r="A12" s="76" t="s">
        <v>286</v>
      </c>
      <c r="B12" s="76" t="s">
        <v>197</v>
      </c>
      <c r="C12" s="76" t="s">
        <v>198</v>
      </c>
      <c r="D12" s="76" t="s">
        <v>197</v>
      </c>
      <c r="E12" s="76" t="s">
        <v>199</v>
      </c>
      <c r="F12" s="76" t="s">
        <v>200</v>
      </c>
      <c r="G12" s="76" t="s">
        <v>284</v>
      </c>
      <c r="H12" s="77" t="b">
        <f>FALSE()</f>
        <v>0</v>
      </c>
      <c r="I12" s="76" t="s">
        <v>28</v>
      </c>
      <c r="J12" s="76" t="s">
        <v>28</v>
      </c>
      <c r="K12" s="76" t="s">
        <v>28</v>
      </c>
      <c r="L12" s="76" t="s">
        <v>28</v>
      </c>
      <c r="M12" s="76" t="s">
        <v>28</v>
      </c>
      <c r="N12" s="76" t="s">
        <v>28</v>
      </c>
      <c r="O12" s="76" t="s">
        <v>28</v>
      </c>
      <c r="P12" s="76" t="s">
        <v>28</v>
      </c>
      <c r="Q12" s="76" t="s">
        <v>28</v>
      </c>
      <c r="R12" s="76" t="s">
        <v>273</v>
      </c>
      <c r="S12" s="76" t="s">
        <v>274</v>
      </c>
      <c r="T12" s="85">
        <v>-22835</v>
      </c>
      <c r="U12" s="85">
        <v>-26189</v>
      </c>
      <c r="V12" s="78">
        <v>-29699.01</v>
      </c>
      <c r="W12" s="78">
        <v>0</v>
      </c>
      <c r="X12" s="85">
        <v>-20449.61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</row>
    <row r="13" spans="1:34" x14ac:dyDescent="0.25">
      <c r="A13" s="76" t="s">
        <v>286</v>
      </c>
      <c r="B13" s="76" t="s">
        <v>197</v>
      </c>
      <c r="C13" s="76" t="s">
        <v>198</v>
      </c>
      <c r="D13" s="76" t="s">
        <v>197</v>
      </c>
      <c r="E13" s="76" t="s">
        <v>199</v>
      </c>
      <c r="F13" s="76" t="s">
        <v>200</v>
      </c>
      <c r="G13" s="76" t="s">
        <v>284</v>
      </c>
      <c r="H13" s="77" t="b">
        <f>FALSE()</f>
        <v>0</v>
      </c>
      <c r="I13" s="76" t="s">
        <v>28</v>
      </c>
      <c r="J13" s="76" t="s">
        <v>28</v>
      </c>
      <c r="K13" s="76" t="s">
        <v>28</v>
      </c>
      <c r="L13" s="76" t="s">
        <v>28</v>
      </c>
      <c r="M13" s="76" t="s">
        <v>28</v>
      </c>
      <c r="N13" s="76" t="s">
        <v>28</v>
      </c>
      <c r="O13" s="76" t="s">
        <v>28</v>
      </c>
      <c r="P13" s="76" t="s">
        <v>28</v>
      </c>
      <c r="Q13" s="76" t="s">
        <v>28</v>
      </c>
      <c r="R13" s="76" t="s">
        <v>44</v>
      </c>
      <c r="S13" s="76" t="s">
        <v>275</v>
      </c>
      <c r="T13" s="85">
        <v>740386</v>
      </c>
      <c r="U13" s="85">
        <v>740386</v>
      </c>
      <c r="V13" s="78">
        <v>740386.28</v>
      </c>
      <c r="W13" s="78">
        <v>0</v>
      </c>
      <c r="X13" s="85">
        <v>740386.28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</row>
    <row r="14" spans="1:34" x14ac:dyDescent="0.25">
      <c r="A14" s="76" t="s">
        <v>286</v>
      </c>
      <c r="B14" s="76" t="s">
        <v>197</v>
      </c>
      <c r="C14" s="76" t="s">
        <v>198</v>
      </c>
      <c r="D14" s="76" t="s">
        <v>197</v>
      </c>
      <c r="E14" s="76" t="s">
        <v>199</v>
      </c>
      <c r="F14" s="76" t="s">
        <v>200</v>
      </c>
      <c r="G14" s="76" t="s">
        <v>284</v>
      </c>
      <c r="H14" s="77" t="b">
        <f>FALSE()</f>
        <v>0</v>
      </c>
      <c r="I14" s="76" t="s">
        <v>28</v>
      </c>
      <c r="J14" s="76" t="s">
        <v>28</v>
      </c>
      <c r="K14" s="76" t="s">
        <v>28</v>
      </c>
      <c r="L14" s="76" t="s">
        <v>28</v>
      </c>
      <c r="M14" s="76" t="s">
        <v>28</v>
      </c>
      <c r="N14" s="76" t="s">
        <v>28</v>
      </c>
      <c r="O14" s="76" t="s">
        <v>28</v>
      </c>
      <c r="P14" s="76" t="s">
        <v>28</v>
      </c>
      <c r="Q14" s="76" t="s">
        <v>28</v>
      </c>
      <c r="R14" s="76" t="s">
        <v>276</v>
      </c>
      <c r="S14" s="76" t="s">
        <v>277</v>
      </c>
      <c r="T14" s="85">
        <v>-646808</v>
      </c>
      <c r="U14" s="85">
        <v>-707313</v>
      </c>
      <c r="V14" s="78">
        <v>-735507.41</v>
      </c>
      <c r="W14" s="78">
        <v>0</v>
      </c>
      <c r="X14" s="85">
        <v>-586586.24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</row>
    <row r="15" spans="1:34" x14ac:dyDescent="0.25">
      <c r="A15" s="76" t="s">
        <v>286</v>
      </c>
      <c r="B15" s="76" t="s">
        <v>197</v>
      </c>
      <c r="C15" s="76" t="s">
        <v>198</v>
      </c>
      <c r="D15" s="76" t="s">
        <v>197</v>
      </c>
      <c r="E15" s="76" t="s">
        <v>199</v>
      </c>
      <c r="F15" s="76" t="s">
        <v>200</v>
      </c>
      <c r="G15" s="76" t="s">
        <v>284</v>
      </c>
      <c r="H15" s="77" t="b">
        <f>FALSE()</f>
        <v>0</v>
      </c>
      <c r="I15" s="76" t="s">
        <v>28</v>
      </c>
      <c r="J15" s="76" t="s">
        <v>28</v>
      </c>
      <c r="K15" s="76" t="s">
        <v>28</v>
      </c>
      <c r="L15" s="76" t="s">
        <v>28</v>
      </c>
      <c r="M15" s="76" t="s">
        <v>28</v>
      </c>
      <c r="N15" s="76" t="s">
        <v>28</v>
      </c>
      <c r="O15" s="76" t="s">
        <v>28</v>
      </c>
      <c r="P15" s="76" t="s">
        <v>28</v>
      </c>
      <c r="Q15" s="76" t="s">
        <v>28</v>
      </c>
      <c r="R15" s="76" t="s">
        <v>45</v>
      </c>
      <c r="S15" s="76" t="s">
        <v>46</v>
      </c>
      <c r="T15" s="85">
        <v>2127703</v>
      </c>
      <c r="U15" s="85">
        <v>2127703</v>
      </c>
      <c r="V15" s="78">
        <v>2127702.63</v>
      </c>
      <c r="W15" s="78">
        <v>0</v>
      </c>
      <c r="X15" s="85">
        <v>2127702.63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</row>
    <row r="16" spans="1:34" x14ac:dyDescent="0.25">
      <c r="A16" s="76" t="s">
        <v>286</v>
      </c>
      <c r="B16" s="76" t="s">
        <v>197</v>
      </c>
      <c r="C16" s="76" t="s">
        <v>198</v>
      </c>
      <c r="D16" s="76" t="s">
        <v>197</v>
      </c>
      <c r="E16" s="76" t="s">
        <v>199</v>
      </c>
      <c r="F16" s="76" t="s">
        <v>200</v>
      </c>
      <c r="G16" s="76" t="s">
        <v>284</v>
      </c>
      <c r="H16" s="77" t="b">
        <f>FALSE()</f>
        <v>0</v>
      </c>
      <c r="I16" s="76" t="s">
        <v>28</v>
      </c>
      <c r="J16" s="76" t="s">
        <v>28</v>
      </c>
      <c r="K16" s="76" t="s">
        <v>28</v>
      </c>
      <c r="L16" s="76" t="s">
        <v>28</v>
      </c>
      <c r="M16" s="76" t="s">
        <v>28</v>
      </c>
      <c r="N16" s="76" t="s">
        <v>28</v>
      </c>
      <c r="O16" s="76" t="s">
        <v>28</v>
      </c>
      <c r="P16" s="76" t="s">
        <v>28</v>
      </c>
      <c r="Q16" s="76" t="s">
        <v>28</v>
      </c>
      <c r="R16" s="76" t="s">
        <v>47</v>
      </c>
      <c r="S16" s="76" t="s">
        <v>48</v>
      </c>
      <c r="T16" s="85">
        <v>19380</v>
      </c>
      <c r="U16" s="85">
        <v>19380</v>
      </c>
      <c r="V16" s="78">
        <v>19380.330000000002</v>
      </c>
      <c r="W16" s="78">
        <v>0</v>
      </c>
      <c r="X16" s="85">
        <v>19380.330000000002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</row>
    <row r="17" spans="1:34" x14ac:dyDescent="0.25">
      <c r="A17" s="76" t="s">
        <v>286</v>
      </c>
      <c r="B17" s="76" t="s">
        <v>197</v>
      </c>
      <c r="C17" s="76" t="s">
        <v>198</v>
      </c>
      <c r="D17" s="76" t="s">
        <v>197</v>
      </c>
      <c r="E17" s="76" t="s">
        <v>199</v>
      </c>
      <c r="F17" s="76" t="s">
        <v>200</v>
      </c>
      <c r="G17" s="76" t="s">
        <v>284</v>
      </c>
      <c r="H17" s="77" t="b">
        <f>FALSE()</f>
        <v>0</v>
      </c>
      <c r="I17" s="76" t="s">
        <v>28</v>
      </c>
      <c r="J17" s="76" t="s">
        <v>28</v>
      </c>
      <c r="K17" s="76" t="s">
        <v>28</v>
      </c>
      <c r="L17" s="76" t="s">
        <v>28</v>
      </c>
      <c r="M17" s="76" t="s">
        <v>28</v>
      </c>
      <c r="N17" s="76" t="s">
        <v>28</v>
      </c>
      <c r="O17" s="76" t="s">
        <v>28</v>
      </c>
      <c r="P17" s="76" t="s">
        <v>28</v>
      </c>
      <c r="Q17" s="76" t="s">
        <v>28</v>
      </c>
      <c r="R17" s="76" t="s">
        <v>49</v>
      </c>
      <c r="S17" s="76" t="s">
        <v>50</v>
      </c>
      <c r="T17" s="85">
        <v>2263035</v>
      </c>
      <c r="U17" s="85">
        <v>2200217</v>
      </c>
      <c r="V17" s="78">
        <v>2172333.3199999998</v>
      </c>
      <c r="W17" s="78">
        <v>0</v>
      </c>
      <c r="X17" s="85">
        <v>2316608.2599999998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</row>
    <row r="18" spans="1:34" x14ac:dyDescent="0.25">
      <c r="A18" s="76" t="s">
        <v>286</v>
      </c>
      <c r="B18" s="76" t="s">
        <v>197</v>
      </c>
      <c r="C18" s="76" t="s">
        <v>198</v>
      </c>
      <c r="D18" s="76" t="s">
        <v>197</v>
      </c>
      <c r="E18" s="76" t="s">
        <v>199</v>
      </c>
      <c r="F18" s="76" t="s">
        <v>200</v>
      </c>
      <c r="G18" s="76" t="s">
        <v>284</v>
      </c>
      <c r="H18" s="77" t="b">
        <f>FALSE()</f>
        <v>0</v>
      </c>
      <c r="I18" s="76" t="s">
        <v>28</v>
      </c>
      <c r="J18" s="76" t="s">
        <v>28</v>
      </c>
      <c r="K18" s="76" t="s">
        <v>28</v>
      </c>
      <c r="L18" s="76" t="s">
        <v>28</v>
      </c>
      <c r="M18" s="76" t="s">
        <v>28</v>
      </c>
      <c r="N18" s="76" t="s">
        <v>28</v>
      </c>
      <c r="O18" s="76" t="s">
        <v>28</v>
      </c>
      <c r="P18" s="76" t="s">
        <v>28</v>
      </c>
      <c r="Q18" s="76" t="s">
        <v>28</v>
      </c>
      <c r="R18" s="76" t="s">
        <v>28</v>
      </c>
      <c r="S18" s="76" t="s">
        <v>28</v>
      </c>
      <c r="T18" s="85">
        <v>0</v>
      </c>
      <c r="U18" s="85">
        <v>0</v>
      </c>
      <c r="V18" s="78">
        <v>0</v>
      </c>
      <c r="W18" s="78">
        <v>0</v>
      </c>
      <c r="X18" s="85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</row>
    <row r="19" spans="1:34" x14ac:dyDescent="0.25">
      <c r="A19" s="76" t="s">
        <v>286</v>
      </c>
      <c r="B19" s="76" t="s">
        <v>197</v>
      </c>
      <c r="C19" s="76" t="s">
        <v>198</v>
      </c>
      <c r="D19" s="76" t="s">
        <v>197</v>
      </c>
      <c r="E19" s="76" t="s">
        <v>199</v>
      </c>
      <c r="F19" s="76" t="s">
        <v>200</v>
      </c>
      <c r="G19" s="76" t="s">
        <v>284</v>
      </c>
      <c r="H19" s="77" t="b">
        <f>FALSE()</f>
        <v>0</v>
      </c>
      <c r="I19" s="76" t="s">
        <v>28</v>
      </c>
      <c r="J19" s="76" t="s">
        <v>28</v>
      </c>
      <c r="K19" s="76" t="s">
        <v>28</v>
      </c>
      <c r="L19" s="76" t="s">
        <v>28</v>
      </c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76" t="s">
        <v>51</v>
      </c>
      <c r="S19" s="76" t="s">
        <v>202</v>
      </c>
      <c r="T19" s="85">
        <v>5490707</v>
      </c>
      <c r="U19" s="85">
        <v>5723362</v>
      </c>
      <c r="V19" s="78">
        <v>6162046.4900000002</v>
      </c>
      <c r="W19" s="78">
        <v>0</v>
      </c>
      <c r="X19" s="85">
        <v>5349715.2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</row>
    <row r="20" spans="1:34" x14ac:dyDescent="0.25">
      <c r="A20" s="76" t="s">
        <v>286</v>
      </c>
      <c r="B20" s="76" t="s">
        <v>197</v>
      </c>
      <c r="C20" s="76" t="s">
        <v>198</v>
      </c>
      <c r="D20" s="76" t="s">
        <v>197</v>
      </c>
      <c r="E20" s="76" t="s">
        <v>199</v>
      </c>
      <c r="F20" s="76" t="s">
        <v>200</v>
      </c>
      <c r="G20" s="76" t="s">
        <v>284</v>
      </c>
      <c r="H20" s="77" t="b">
        <f>FALSE()</f>
        <v>0</v>
      </c>
      <c r="I20" s="76" t="s">
        <v>28</v>
      </c>
      <c r="J20" s="76" t="s">
        <v>28</v>
      </c>
      <c r="K20" s="76" t="s">
        <v>28</v>
      </c>
      <c r="L20" s="76" t="s">
        <v>28</v>
      </c>
      <c r="M20" s="76" t="s">
        <v>28</v>
      </c>
      <c r="N20" s="76" t="s">
        <v>28</v>
      </c>
      <c r="O20" s="76" t="s">
        <v>28</v>
      </c>
      <c r="P20" s="76" t="s">
        <v>28</v>
      </c>
      <c r="Q20" s="76" t="s">
        <v>28</v>
      </c>
      <c r="R20" s="76" t="s">
        <v>28</v>
      </c>
      <c r="S20" s="76" t="s">
        <v>28</v>
      </c>
      <c r="T20" s="85">
        <v>0</v>
      </c>
      <c r="U20" s="85">
        <v>0</v>
      </c>
      <c r="V20" s="78">
        <v>0</v>
      </c>
      <c r="W20" s="78">
        <v>0</v>
      </c>
      <c r="X20" s="85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</row>
    <row r="21" spans="1:34" x14ac:dyDescent="0.25">
      <c r="A21" s="76" t="s">
        <v>286</v>
      </c>
      <c r="B21" s="76" t="s">
        <v>197</v>
      </c>
      <c r="C21" s="76" t="s">
        <v>198</v>
      </c>
      <c r="D21" s="76" t="s">
        <v>197</v>
      </c>
      <c r="E21" s="76" t="s">
        <v>199</v>
      </c>
      <c r="F21" s="76" t="s">
        <v>200</v>
      </c>
      <c r="G21" s="76" t="s">
        <v>284</v>
      </c>
      <c r="H21" s="77" t="b">
        <f>FALSE()</f>
        <v>0</v>
      </c>
      <c r="I21" s="76" t="s">
        <v>28</v>
      </c>
      <c r="J21" s="76" t="s">
        <v>28</v>
      </c>
      <c r="K21" s="76" t="s">
        <v>28</v>
      </c>
      <c r="L21" s="76" t="s">
        <v>28</v>
      </c>
      <c r="M21" s="76" t="s">
        <v>28</v>
      </c>
      <c r="N21" s="76" t="s">
        <v>28</v>
      </c>
      <c r="O21" s="76" t="s">
        <v>28</v>
      </c>
      <c r="P21" s="76" t="s">
        <v>28</v>
      </c>
      <c r="Q21" s="76" t="s">
        <v>28</v>
      </c>
      <c r="R21" s="76" t="s">
        <v>28</v>
      </c>
      <c r="S21" s="76" t="s">
        <v>203</v>
      </c>
      <c r="T21" s="85">
        <v>0</v>
      </c>
      <c r="U21" s="85">
        <v>0</v>
      </c>
      <c r="V21" s="78">
        <v>0</v>
      </c>
      <c r="W21" s="78">
        <v>0</v>
      </c>
      <c r="X21" s="85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</row>
    <row r="22" spans="1:34" x14ac:dyDescent="0.25">
      <c r="A22" s="76" t="s">
        <v>286</v>
      </c>
      <c r="B22" s="76" t="s">
        <v>197</v>
      </c>
      <c r="C22" s="76" t="s">
        <v>198</v>
      </c>
      <c r="D22" s="76" t="s">
        <v>197</v>
      </c>
      <c r="E22" s="76" t="s">
        <v>199</v>
      </c>
      <c r="F22" s="76" t="s">
        <v>200</v>
      </c>
      <c r="G22" s="76" t="s">
        <v>284</v>
      </c>
      <c r="H22" s="77" t="b">
        <f>FALSE()</f>
        <v>0</v>
      </c>
      <c r="I22" s="76" t="s">
        <v>28</v>
      </c>
      <c r="J22" s="76" t="s">
        <v>28</v>
      </c>
      <c r="K22" s="76" t="s">
        <v>28</v>
      </c>
      <c r="L22" s="76" t="s">
        <v>28</v>
      </c>
      <c r="M22" s="76" t="s">
        <v>28</v>
      </c>
      <c r="N22" s="76" t="s">
        <v>28</v>
      </c>
      <c r="O22" s="76" t="s">
        <v>28</v>
      </c>
      <c r="P22" s="76" t="s">
        <v>28</v>
      </c>
      <c r="Q22" s="76" t="s">
        <v>28</v>
      </c>
      <c r="R22" s="76" t="s">
        <v>54</v>
      </c>
      <c r="S22" s="76" t="s">
        <v>55</v>
      </c>
      <c r="T22" s="85">
        <v>0</v>
      </c>
      <c r="U22" s="85">
        <v>0</v>
      </c>
      <c r="V22" s="78">
        <v>0</v>
      </c>
      <c r="W22" s="78">
        <v>0</v>
      </c>
      <c r="X22" s="85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</row>
    <row r="23" spans="1:34" x14ac:dyDescent="0.25">
      <c r="A23" s="76" t="s">
        <v>286</v>
      </c>
      <c r="B23" s="76" t="s">
        <v>197</v>
      </c>
      <c r="C23" s="76" t="s">
        <v>198</v>
      </c>
      <c r="D23" s="76" t="s">
        <v>197</v>
      </c>
      <c r="E23" s="76" t="s">
        <v>199</v>
      </c>
      <c r="F23" s="76" t="s">
        <v>200</v>
      </c>
      <c r="G23" s="76" t="s">
        <v>284</v>
      </c>
      <c r="H23" s="77" t="b">
        <f>FALSE()</f>
        <v>0</v>
      </c>
      <c r="I23" s="76" t="s">
        <v>28</v>
      </c>
      <c r="J23" s="76" t="s">
        <v>28</v>
      </c>
      <c r="K23" s="76" t="s">
        <v>28</v>
      </c>
      <c r="L23" s="76" t="s">
        <v>28</v>
      </c>
      <c r="M23" s="76" t="s">
        <v>28</v>
      </c>
      <c r="N23" s="76" t="s">
        <v>28</v>
      </c>
      <c r="O23" s="76" t="s">
        <v>28</v>
      </c>
      <c r="P23" s="76" t="s">
        <v>28</v>
      </c>
      <c r="Q23" s="76" t="s">
        <v>28</v>
      </c>
      <c r="R23" s="76" t="s">
        <v>56</v>
      </c>
      <c r="S23" s="76" t="s">
        <v>57</v>
      </c>
      <c r="T23" s="85">
        <v>225656</v>
      </c>
      <c r="U23" s="85">
        <v>227115</v>
      </c>
      <c r="V23" s="78">
        <v>263042.26</v>
      </c>
      <c r="W23" s="78">
        <v>0</v>
      </c>
      <c r="X23" s="85">
        <v>203123.84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</row>
    <row r="24" spans="1:34" x14ac:dyDescent="0.25">
      <c r="A24" s="76" t="s">
        <v>286</v>
      </c>
      <c r="B24" s="76" t="s">
        <v>197</v>
      </c>
      <c r="C24" s="76" t="s">
        <v>198</v>
      </c>
      <c r="D24" s="76" t="s">
        <v>197</v>
      </c>
      <c r="E24" s="76" t="s">
        <v>199</v>
      </c>
      <c r="F24" s="76" t="s">
        <v>200</v>
      </c>
      <c r="G24" s="76" t="s">
        <v>284</v>
      </c>
      <c r="H24" s="77" t="b">
        <f>FALSE()</f>
        <v>0</v>
      </c>
      <c r="I24" s="76" t="s">
        <v>28</v>
      </c>
      <c r="J24" s="76" t="s">
        <v>28</v>
      </c>
      <c r="K24" s="76" t="s">
        <v>28</v>
      </c>
      <c r="L24" s="76" t="s">
        <v>28</v>
      </c>
      <c r="M24" s="76" t="s">
        <v>28</v>
      </c>
      <c r="N24" s="76" t="s">
        <v>28</v>
      </c>
      <c r="O24" s="76" t="s">
        <v>28</v>
      </c>
      <c r="P24" s="76" t="s">
        <v>28</v>
      </c>
      <c r="Q24" s="76" t="s">
        <v>28</v>
      </c>
      <c r="R24" s="76" t="s">
        <v>58</v>
      </c>
      <c r="S24" s="76" t="s">
        <v>59</v>
      </c>
      <c r="T24" s="85">
        <v>888576</v>
      </c>
      <c r="U24" s="85">
        <v>1046101</v>
      </c>
      <c r="V24" s="78">
        <v>1275262.3999999999</v>
      </c>
      <c r="W24" s="78">
        <v>0</v>
      </c>
      <c r="X24" s="85">
        <v>825563.32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</row>
    <row r="25" spans="1:34" x14ac:dyDescent="0.25">
      <c r="A25" s="76" t="s">
        <v>286</v>
      </c>
      <c r="B25" s="76" t="s">
        <v>197</v>
      </c>
      <c r="C25" s="76" t="s">
        <v>198</v>
      </c>
      <c r="D25" s="76" t="s">
        <v>197</v>
      </c>
      <c r="E25" s="76" t="s">
        <v>199</v>
      </c>
      <c r="F25" s="76" t="s">
        <v>200</v>
      </c>
      <c r="G25" s="76" t="s">
        <v>284</v>
      </c>
      <c r="H25" s="77" t="b">
        <f>FALSE()</f>
        <v>0</v>
      </c>
      <c r="I25" s="76" t="s">
        <v>28</v>
      </c>
      <c r="J25" s="76" t="s">
        <v>28</v>
      </c>
      <c r="K25" s="76" t="s">
        <v>28</v>
      </c>
      <c r="L25" s="76" t="s">
        <v>28</v>
      </c>
      <c r="M25" s="76" t="s">
        <v>28</v>
      </c>
      <c r="N25" s="76" t="s">
        <v>28</v>
      </c>
      <c r="O25" s="76" t="s">
        <v>28</v>
      </c>
      <c r="P25" s="76" t="s">
        <v>28</v>
      </c>
      <c r="Q25" s="76" t="s">
        <v>28</v>
      </c>
      <c r="R25" s="76" t="s">
        <v>60</v>
      </c>
      <c r="S25" s="76" t="s">
        <v>61</v>
      </c>
      <c r="T25" s="85">
        <v>39566</v>
      </c>
      <c r="U25" s="85">
        <v>53316</v>
      </c>
      <c r="V25" s="78">
        <v>41005.26</v>
      </c>
      <c r="W25" s="78">
        <v>0</v>
      </c>
      <c r="X25" s="85">
        <v>38451.08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F25" s="78">
        <v>0</v>
      </c>
      <c r="AG25" s="78">
        <v>0</v>
      </c>
      <c r="AH25" s="78">
        <v>0</v>
      </c>
    </row>
    <row r="26" spans="1:34" x14ac:dyDescent="0.25">
      <c r="A26" s="76" t="s">
        <v>286</v>
      </c>
      <c r="B26" s="76" t="s">
        <v>197</v>
      </c>
      <c r="C26" s="76" t="s">
        <v>198</v>
      </c>
      <c r="D26" s="76" t="s">
        <v>197</v>
      </c>
      <c r="E26" s="76" t="s">
        <v>199</v>
      </c>
      <c r="F26" s="76" t="s">
        <v>200</v>
      </c>
      <c r="G26" s="76" t="s">
        <v>284</v>
      </c>
      <c r="H26" s="77" t="b">
        <f>FALSE()</f>
        <v>0</v>
      </c>
      <c r="I26" s="76" t="s">
        <v>28</v>
      </c>
      <c r="J26" s="76" t="s">
        <v>28</v>
      </c>
      <c r="K26" s="76" t="s">
        <v>28</v>
      </c>
      <c r="L26" s="76" t="s">
        <v>28</v>
      </c>
      <c r="M26" s="76" t="s">
        <v>28</v>
      </c>
      <c r="N26" s="76" t="s">
        <v>28</v>
      </c>
      <c r="O26" s="76" t="s">
        <v>28</v>
      </c>
      <c r="P26" s="76" t="s">
        <v>28</v>
      </c>
      <c r="Q26" s="76" t="s">
        <v>28</v>
      </c>
      <c r="R26" s="76" t="s">
        <v>62</v>
      </c>
      <c r="S26" s="76" t="s">
        <v>63</v>
      </c>
      <c r="T26" s="85">
        <v>41667</v>
      </c>
      <c r="U26" s="85">
        <v>28365</v>
      </c>
      <c r="V26" s="78">
        <v>24579.65</v>
      </c>
      <c r="W26" s="78">
        <v>0</v>
      </c>
      <c r="X26" s="85">
        <v>53625.32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</row>
    <row r="27" spans="1:34" x14ac:dyDescent="0.25">
      <c r="A27" s="76" t="s">
        <v>286</v>
      </c>
      <c r="B27" s="76" t="s">
        <v>197</v>
      </c>
      <c r="C27" s="76" t="s">
        <v>198</v>
      </c>
      <c r="D27" s="76" t="s">
        <v>197</v>
      </c>
      <c r="E27" s="76" t="s">
        <v>199</v>
      </c>
      <c r="F27" s="76" t="s">
        <v>200</v>
      </c>
      <c r="G27" s="76" t="s">
        <v>284</v>
      </c>
      <c r="H27" s="77" t="b">
        <f>FALSE()</f>
        <v>0</v>
      </c>
      <c r="I27" s="76" t="s">
        <v>28</v>
      </c>
      <c r="J27" s="76" t="s">
        <v>28</v>
      </c>
      <c r="K27" s="76" t="s">
        <v>28</v>
      </c>
      <c r="L27" s="76" t="s">
        <v>28</v>
      </c>
      <c r="M27" s="76" t="s">
        <v>28</v>
      </c>
      <c r="N27" s="76" t="s">
        <v>28</v>
      </c>
      <c r="O27" s="76" t="s">
        <v>28</v>
      </c>
      <c r="P27" s="76" t="s">
        <v>28</v>
      </c>
      <c r="Q27" s="76" t="s">
        <v>28</v>
      </c>
      <c r="R27" s="76" t="s">
        <v>64</v>
      </c>
      <c r="S27" s="76" t="s">
        <v>65</v>
      </c>
      <c r="T27" s="85">
        <v>163075</v>
      </c>
      <c r="U27" s="85">
        <v>116305</v>
      </c>
      <c r="V27" s="78">
        <v>119738.96</v>
      </c>
      <c r="W27" s="78">
        <v>0</v>
      </c>
      <c r="X27" s="85">
        <v>158726.10999999999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F27" s="78">
        <v>0</v>
      </c>
      <c r="AG27" s="78">
        <v>0</v>
      </c>
      <c r="AH27" s="78">
        <v>0</v>
      </c>
    </row>
    <row r="28" spans="1:34" x14ac:dyDescent="0.25">
      <c r="A28" s="76" t="s">
        <v>286</v>
      </c>
      <c r="B28" s="76" t="s">
        <v>197</v>
      </c>
      <c r="C28" s="76" t="s">
        <v>198</v>
      </c>
      <c r="D28" s="76" t="s">
        <v>197</v>
      </c>
      <c r="E28" s="76" t="s">
        <v>199</v>
      </c>
      <c r="F28" s="76" t="s">
        <v>200</v>
      </c>
      <c r="G28" s="76" t="s">
        <v>284</v>
      </c>
      <c r="H28" s="77" t="b">
        <f>FALSE()</f>
        <v>0</v>
      </c>
      <c r="I28" s="76" t="s">
        <v>28</v>
      </c>
      <c r="J28" s="76" t="s">
        <v>28</v>
      </c>
      <c r="K28" s="76" t="s">
        <v>28</v>
      </c>
      <c r="L28" s="76" t="s">
        <v>28</v>
      </c>
      <c r="M28" s="76" t="s">
        <v>28</v>
      </c>
      <c r="N28" s="76" t="s">
        <v>28</v>
      </c>
      <c r="O28" s="76" t="s">
        <v>28</v>
      </c>
      <c r="P28" s="76" t="s">
        <v>28</v>
      </c>
      <c r="Q28" s="76" t="s">
        <v>28</v>
      </c>
      <c r="R28" s="76" t="s">
        <v>66</v>
      </c>
      <c r="S28" s="76" t="s">
        <v>67</v>
      </c>
      <c r="T28" s="85">
        <v>1358540</v>
      </c>
      <c r="U28" s="85">
        <v>1471203</v>
      </c>
      <c r="V28" s="78">
        <v>1723628.53</v>
      </c>
      <c r="W28" s="78">
        <v>0</v>
      </c>
      <c r="X28" s="85">
        <v>1279489.67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</row>
    <row r="29" spans="1:34" x14ac:dyDescent="0.25">
      <c r="A29" s="76" t="s">
        <v>286</v>
      </c>
      <c r="B29" s="76" t="s">
        <v>197</v>
      </c>
      <c r="C29" s="76" t="s">
        <v>198</v>
      </c>
      <c r="D29" s="76" t="s">
        <v>197</v>
      </c>
      <c r="E29" s="76" t="s">
        <v>199</v>
      </c>
      <c r="F29" s="76" t="s">
        <v>200</v>
      </c>
      <c r="G29" s="76" t="s">
        <v>284</v>
      </c>
      <c r="H29" s="77" t="b">
        <f>FALSE()</f>
        <v>0</v>
      </c>
      <c r="I29" s="76" t="s">
        <v>28</v>
      </c>
      <c r="J29" s="76" t="s">
        <v>28</v>
      </c>
      <c r="K29" s="76" t="s">
        <v>28</v>
      </c>
      <c r="L29" s="76" t="s">
        <v>28</v>
      </c>
      <c r="M29" s="76" t="s">
        <v>28</v>
      </c>
      <c r="N29" s="76" t="s">
        <v>28</v>
      </c>
      <c r="O29" s="76" t="s">
        <v>28</v>
      </c>
      <c r="P29" s="76" t="s">
        <v>28</v>
      </c>
      <c r="Q29" s="76" t="s">
        <v>28</v>
      </c>
      <c r="R29" s="76" t="s">
        <v>28</v>
      </c>
      <c r="S29" s="76" t="s">
        <v>28</v>
      </c>
      <c r="T29" s="85">
        <v>0</v>
      </c>
      <c r="U29" s="85">
        <v>0</v>
      </c>
      <c r="V29" s="78">
        <v>0</v>
      </c>
      <c r="W29" s="78">
        <v>0</v>
      </c>
      <c r="X29" s="85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</row>
    <row r="30" spans="1:34" x14ac:dyDescent="0.25">
      <c r="A30" s="76" t="s">
        <v>286</v>
      </c>
      <c r="B30" s="76" t="s">
        <v>197</v>
      </c>
      <c r="C30" s="76" t="s">
        <v>198</v>
      </c>
      <c r="D30" s="76" t="s">
        <v>197</v>
      </c>
      <c r="E30" s="76" t="s">
        <v>199</v>
      </c>
      <c r="F30" s="76" t="s">
        <v>200</v>
      </c>
      <c r="G30" s="76" t="s">
        <v>284</v>
      </c>
      <c r="H30" s="77" t="b">
        <f>FALSE()</f>
        <v>0</v>
      </c>
      <c r="I30" s="76" t="s">
        <v>28</v>
      </c>
      <c r="J30" s="76" t="s">
        <v>28</v>
      </c>
      <c r="K30" s="76" t="s">
        <v>28</v>
      </c>
      <c r="L30" s="76" t="s">
        <v>28</v>
      </c>
      <c r="M30" s="76" t="s">
        <v>28</v>
      </c>
      <c r="N30" s="76" t="s">
        <v>28</v>
      </c>
      <c r="O30" s="76" t="s">
        <v>28</v>
      </c>
      <c r="P30" s="76" t="s">
        <v>28</v>
      </c>
      <c r="Q30" s="76" t="s">
        <v>28</v>
      </c>
      <c r="R30" s="76" t="s">
        <v>68</v>
      </c>
      <c r="S30" s="76" t="s">
        <v>69</v>
      </c>
      <c r="T30" s="85">
        <v>0</v>
      </c>
      <c r="U30" s="85">
        <v>0</v>
      </c>
      <c r="V30" s="78">
        <v>0</v>
      </c>
      <c r="W30" s="78">
        <v>0</v>
      </c>
      <c r="X30" s="85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  <c r="AF30" s="78">
        <v>0</v>
      </c>
      <c r="AG30" s="78">
        <v>0</v>
      </c>
      <c r="AH30" s="78">
        <v>0</v>
      </c>
    </row>
    <row r="31" spans="1:34" x14ac:dyDescent="0.25">
      <c r="A31" s="76" t="s">
        <v>286</v>
      </c>
      <c r="B31" s="76" t="s">
        <v>197</v>
      </c>
      <c r="C31" s="76" t="s">
        <v>198</v>
      </c>
      <c r="D31" s="76" t="s">
        <v>197</v>
      </c>
      <c r="E31" s="76" t="s">
        <v>199</v>
      </c>
      <c r="F31" s="76" t="s">
        <v>200</v>
      </c>
      <c r="G31" s="76" t="s">
        <v>284</v>
      </c>
      <c r="H31" s="77" t="b">
        <f>FALSE()</f>
        <v>0</v>
      </c>
      <c r="I31" s="76" t="s">
        <v>28</v>
      </c>
      <c r="J31" s="76" t="s">
        <v>28</v>
      </c>
      <c r="K31" s="76" t="s">
        <v>28</v>
      </c>
      <c r="L31" s="76" t="s">
        <v>28</v>
      </c>
      <c r="M31" s="76" t="s">
        <v>28</v>
      </c>
      <c r="N31" s="76" t="s">
        <v>28</v>
      </c>
      <c r="O31" s="76" t="s">
        <v>28</v>
      </c>
      <c r="P31" s="76" t="s">
        <v>28</v>
      </c>
      <c r="Q31" s="76" t="s">
        <v>28</v>
      </c>
      <c r="R31" s="76" t="s">
        <v>70</v>
      </c>
      <c r="S31" s="76" t="s">
        <v>71</v>
      </c>
      <c r="T31" s="85">
        <v>2362682</v>
      </c>
      <c r="U31" s="85">
        <v>2362681</v>
      </c>
      <c r="V31" s="78">
        <v>2475151.4</v>
      </c>
      <c r="W31" s="78">
        <v>0</v>
      </c>
      <c r="X31" s="85">
        <v>2317595.0499999998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  <c r="AF31" s="78">
        <v>0</v>
      </c>
      <c r="AG31" s="78">
        <v>0</v>
      </c>
      <c r="AH31" s="78">
        <v>0</v>
      </c>
    </row>
    <row r="32" spans="1:34" x14ac:dyDescent="0.25">
      <c r="A32" s="76" t="s">
        <v>286</v>
      </c>
      <c r="B32" s="76" t="s">
        <v>197</v>
      </c>
      <c r="C32" s="76" t="s">
        <v>198</v>
      </c>
      <c r="D32" s="76" t="s">
        <v>197</v>
      </c>
      <c r="E32" s="76" t="s">
        <v>199</v>
      </c>
      <c r="F32" s="76" t="s">
        <v>200</v>
      </c>
      <c r="G32" s="76" t="s">
        <v>284</v>
      </c>
      <c r="H32" s="77" t="b">
        <f>FALSE()</f>
        <v>0</v>
      </c>
      <c r="I32" s="76" t="s">
        <v>28</v>
      </c>
      <c r="J32" s="76" t="s">
        <v>28</v>
      </c>
      <c r="K32" s="76" t="s">
        <v>28</v>
      </c>
      <c r="L32" s="76" t="s">
        <v>28</v>
      </c>
      <c r="M32" s="76" t="s">
        <v>28</v>
      </c>
      <c r="N32" s="76" t="s">
        <v>28</v>
      </c>
      <c r="O32" s="76" t="s">
        <v>28</v>
      </c>
      <c r="P32" s="76" t="s">
        <v>28</v>
      </c>
      <c r="Q32" s="76" t="s">
        <v>28</v>
      </c>
      <c r="R32" s="76" t="s">
        <v>72</v>
      </c>
      <c r="S32" s="76" t="s">
        <v>73</v>
      </c>
      <c r="T32" s="110">
        <v>1901589</v>
      </c>
      <c r="U32" s="85">
        <v>2151589</v>
      </c>
      <c r="V32" s="78">
        <v>2652200.41</v>
      </c>
      <c r="W32" s="78">
        <v>0</v>
      </c>
      <c r="X32" s="85">
        <v>921108.45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  <c r="AF32" s="78">
        <v>0</v>
      </c>
      <c r="AG32" s="78">
        <v>0</v>
      </c>
      <c r="AH32" s="78">
        <v>0</v>
      </c>
    </row>
    <row r="33" spans="1:34" x14ac:dyDescent="0.25">
      <c r="A33" s="76" t="s">
        <v>286</v>
      </c>
      <c r="B33" s="76" t="s">
        <v>197</v>
      </c>
      <c r="C33" s="76" t="s">
        <v>198</v>
      </c>
      <c r="D33" s="76" t="s">
        <v>197</v>
      </c>
      <c r="E33" s="76" t="s">
        <v>199</v>
      </c>
      <c r="F33" s="76" t="s">
        <v>200</v>
      </c>
      <c r="G33" s="76" t="s">
        <v>284</v>
      </c>
      <c r="H33" s="77" t="b">
        <f>FALSE()</f>
        <v>0</v>
      </c>
      <c r="I33" s="76" t="s">
        <v>28</v>
      </c>
      <c r="J33" s="76" t="s">
        <v>28</v>
      </c>
      <c r="K33" s="76" t="s">
        <v>28</v>
      </c>
      <c r="L33" s="76" t="s">
        <v>28</v>
      </c>
      <c r="M33" s="76" t="s">
        <v>28</v>
      </c>
      <c r="N33" s="76" t="s">
        <v>28</v>
      </c>
      <c r="O33" s="76" t="s">
        <v>28</v>
      </c>
      <c r="P33" s="76" t="s">
        <v>28</v>
      </c>
      <c r="Q33" s="76" t="s">
        <v>28</v>
      </c>
      <c r="R33" s="76" t="s">
        <v>74</v>
      </c>
      <c r="S33" s="76" t="s">
        <v>75</v>
      </c>
      <c r="T33" s="85">
        <v>3484271</v>
      </c>
      <c r="U33" s="85">
        <v>3634348</v>
      </c>
      <c r="V33" s="78">
        <v>5127351.8099999996</v>
      </c>
      <c r="W33" s="78">
        <v>0</v>
      </c>
      <c r="X33" s="85">
        <v>3238703.5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</row>
    <row r="34" spans="1:34" x14ac:dyDescent="0.25">
      <c r="A34" s="76" t="s">
        <v>286</v>
      </c>
      <c r="B34" s="76" t="s">
        <v>197</v>
      </c>
      <c r="C34" s="76" t="s">
        <v>198</v>
      </c>
      <c r="D34" s="76" t="s">
        <v>197</v>
      </c>
      <c r="E34" s="76" t="s">
        <v>199</v>
      </c>
      <c r="F34" s="76" t="s">
        <v>200</v>
      </c>
      <c r="G34" s="76" t="s">
        <v>284</v>
      </c>
      <c r="H34" s="77" t="b">
        <f>FALSE()</f>
        <v>0</v>
      </c>
      <c r="I34" s="76" t="s">
        <v>28</v>
      </c>
      <c r="J34" s="76" t="s">
        <v>28</v>
      </c>
      <c r="K34" s="76" t="s">
        <v>28</v>
      </c>
      <c r="L34" s="76" t="s">
        <v>28</v>
      </c>
      <c r="M34" s="76" t="s">
        <v>28</v>
      </c>
      <c r="N34" s="76" t="s">
        <v>28</v>
      </c>
      <c r="O34" s="76" t="s">
        <v>28</v>
      </c>
      <c r="P34" s="76" t="s">
        <v>28</v>
      </c>
      <c r="Q34" s="76" t="s">
        <v>28</v>
      </c>
      <c r="R34" s="76" t="s">
        <v>28</v>
      </c>
      <c r="S34" s="76" t="s">
        <v>28</v>
      </c>
      <c r="T34" s="85">
        <v>0</v>
      </c>
      <c r="U34" s="85">
        <v>0</v>
      </c>
      <c r="V34" s="78">
        <v>0</v>
      </c>
      <c r="W34" s="78">
        <v>0</v>
      </c>
      <c r="X34" s="85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</row>
    <row r="35" spans="1:34" x14ac:dyDescent="0.25">
      <c r="A35" s="76" t="s">
        <v>286</v>
      </c>
      <c r="B35" s="76" t="s">
        <v>197</v>
      </c>
      <c r="C35" s="76" t="s">
        <v>198</v>
      </c>
      <c r="D35" s="76" t="s">
        <v>197</v>
      </c>
      <c r="E35" s="76" t="s">
        <v>199</v>
      </c>
      <c r="F35" s="76" t="s">
        <v>200</v>
      </c>
      <c r="G35" s="76" t="s">
        <v>284</v>
      </c>
      <c r="H35" s="77" t="b">
        <f>FALSE()</f>
        <v>0</v>
      </c>
      <c r="I35" s="76" t="s">
        <v>28</v>
      </c>
      <c r="J35" s="76" t="s">
        <v>28</v>
      </c>
      <c r="K35" s="76" t="s">
        <v>28</v>
      </c>
      <c r="L35" s="76" t="s">
        <v>28</v>
      </c>
      <c r="M35" s="76" t="s">
        <v>28</v>
      </c>
      <c r="N35" s="76" t="s">
        <v>28</v>
      </c>
      <c r="O35" s="76" t="s">
        <v>28</v>
      </c>
      <c r="P35" s="76" t="s">
        <v>28</v>
      </c>
      <c r="Q35" s="76" t="s">
        <v>28</v>
      </c>
      <c r="R35" s="76" t="s">
        <v>76</v>
      </c>
      <c r="S35" s="76" t="s">
        <v>204</v>
      </c>
      <c r="T35" s="85">
        <v>0</v>
      </c>
      <c r="U35" s="85">
        <v>0</v>
      </c>
      <c r="V35" s="78">
        <v>0</v>
      </c>
      <c r="W35" s="78">
        <v>0</v>
      </c>
      <c r="X35" s="85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  <c r="AF35" s="78">
        <v>0</v>
      </c>
      <c r="AG35" s="78">
        <v>0</v>
      </c>
      <c r="AH35" s="78">
        <v>0</v>
      </c>
    </row>
    <row r="36" spans="1:34" x14ac:dyDescent="0.25">
      <c r="A36" s="76" t="s">
        <v>286</v>
      </c>
      <c r="B36" s="76" t="s">
        <v>197</v>
      </c>
      <c r="C36" s="76" t="s">
        <v>198</v>
      </c>
      <c r="D36" s="76" t="s">
        <v>197</v>
      </c>
      <c r="E36" s="76" t="s">
        <v>199</v>
      </c>
      <c r="F36" s="76" t="s">
        <v>200</v>
      </c>
      <c r="G36" s="76" t="s">
        <v>284</v>
      </c>
      <c r="H36" s="77" t="b">
        <f>FALSE()</f>
        <v>0</v>
      </c>
      <c r="I36" s="76" t="s">
        <v>28</v>
      </c>
      <c r="J36" s="76" t="s">
        <v>28</v>
      </c>
      <c r="K36" s="76" t="s">
        <v>28</v>
      </c>
      <c r="L36" s="76" t="s">
        <v>28</v>
      </c>
      <c r="M36" s="76" t="s">
        <v>28</v>
      </c>
      <c r="N36" s="76" t="s">
        <v>28</v>
      </c>
      <c r="O36" s="76" t="s">
        <v>28</v>
      </c>
      <c r="P36" s="76" t="s">
        <v>28</v>
      </c>
      <c r="Q36" s="76" t="s">
        <v>28</v>
      </c>
      <c r="R36" s="76" t="s">
        <v>78</v>
      </c>
      <c r="S36" s="76" t="s">
        <v>79</v>
      </c>
      <c r="T36" s="85">
        <v>3984300</v>
      </c>
      <c r="U36" s="85">
        <v>3984335</v>
      </c>
      <c r="V36" s="78">
        <v>3984334.94</v>
      </c>
      <c r="W36" s="78">
        <v>0</v>
      </c>
      <c r="X36" s="85">
        <v>3984299.9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  <c r="AF36" s="78">
        <v>0</v>
      </c>
      <c r="AG36" s="78">
        <v>0</v>
      </c>
      <c r="AH36" s="78">
        <v>0</v>
      </c>
    </row>
    <row r="37" spans="1:34" x14ac:dyDescent="0.25">
      <c r="A37" s="76" t="s">
        <v>286</v>
      </c>
      <c r="B37" s="76" t="s">
        <v>197</v>
      </c>
      <c r="C37" s="76" t="s">
        <v>198</v>
      </c>
      <c r="D37" s="76" t="s">
        <v>197</v>
      </c>
      <c r="E37" s="76" t="s">
        <v>199</v>
      </c>
      <c r="F37" s="76" t="s">
        <v>200</v>
      </c>
      <c r="G37" s="76" t="s">
        <v>284</v>
      </c>
      <c r="H37" s="77" t="b">
        <f>FALSE()</f>
        <v>0</v>
      </c>
      <c r="I37" s="76" t="s">
        <v>28</v>
      </c>
      <c r="J37" s="76" t="s">
        <v>28</v>
      </c>
      <c r="K37" s="76" t="s">
        <v>28</v>
      </c>
      <c r="L37" s="76" t="s">
        <v>28</v>
      </c>
      <c r="M37" s="76" t="s">
        <v>28</v>
      </c>
      <c r="N37" s="76" t="s">
        <v>28</v>
      </c>
      <c r="O37" s="76" t="s">
        <v>28</v>
      </c>
      <c r="P37" s="76" t="s">
        <v>28</v>
      </c>
      <c r="Q37" s="76" t="s">
        <v>28</v>
      </c>
      <c r="R37" s="76" t="s">
        <v>80</v>
      </c>
      <c r="S37" s="76" t="s">
        <v>81</v>
      </c>
      <c r="T37" s="85">
        <v>-8519</v>
      </c>
      <c r="U37" s="85">
        <v>-8519</v>
      </c>
      <c r="V37" s="78">
        <v>-8519.07</v>
      </c>
      <c r="W37" s="78">
        <v>0</v>
      </c>
      <c r="X37" s="85">
        <v>-8519.07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F37" s="78">
        <v>0</v>
      </c>
      <c r="AG37" s="78">
        <v>0</v>
      </c>
      <c r="AH37" s="78">
        <v>0</v>
      </c>
    </row>
    <row r="38" spans="1:34" x14ac:dyDescent="0.25">
      <c r="A38" s="76" t="s">
        <v>286</v>
      </c>
      <c r="B38" s="76" t="s">
        <v>197</v>
      </c>
      <c r="C38" s="76" t="s">
        <v>198</v>
      </c>
      <c r="D38" s="76" t="s">
        <v>197</v>
      </c>
      <c r="E38" s="76" t="s">
        <v>199</v>
      </c>
      <c r="F38" s="76" t="s">
        <v>200</v>
      </c>
      <c r="G38" s="76" t="s">
        <v>284</v>
      </c>
      <c r="H38" s="77" t="b">
        <f>FALSE()</f>
        <v>0</v>
      </c>
      <c r="I38" s="76" t="s">
        <v>28</v>
      </c>
      <c r="J38" s="76" t="s">
        <v>28</v>
      </c>
      <c r="K38" s="76" t="s">
        <v>28</v>
      </c>
      <c r="L38" s="76" t="s">
        <v>28</v>
      </c>
      <c r="M38" s="76" t="s">
        <v>28</v>
      </c>
      <c r="N38" s="76" t="s">
        <v>28</v>
      </c>
      <c r="O38" s="76" t="s">
        <v>28</v>
      </c>
      <c r="P38" s="76" t="s">
        <v>28</v>
      </c>
      <c r="Q38" s="76" t="s">
        <v>28</v>
      </c>
      <c r="R38" s="76" t="s">
        <v>82</v>
      </c>
      <c r="S38" s="76" t="s">
        <v>83</v>
      </c>
      <c r="T38" s="85">
        <v>-3740271.0600000005</v>
      </c>
      <c r="U38" s="85">
        <v>-3576720.9299999997</v>
      </c>
      <c r="V38" s="78">
        <v>-891053.5</v>
      </c>
      <c r="W38" s="78">
        <v>0</v>
      </c>
      <c r="X38" s="85">
        <v>-891053.5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  <c r="AF38" s="78">
        <v>0</v>
      </c>
      <c r="AG38" s="78">
        <v>0</v>
      </c>
      <c r="AH38" s="78">
        <v>0</v>
      </c>
    </row>
    <row r="39" spans="1:34" x14ac:dyDescent="0.25">
      <c r="A39" s="76" t="s">
        <v>286</v>
      </c>
      <c r="B39" s="76" t="s">
        <v>197</v>
      </c>
      <c r="C39" s="76" t="s">
        <v>198</v>
      </c>
      <c r="D39" s="76" t="s">
        <v>197</v>
      </c>
      <c r="E39" s="76" t="s">
        <v>199</v>
      </c>
      <c r="F39" s="76" t="s">
        <v>200</v>
      </c>
      <c r="G39" s="76" t="s">
        <v>284</v>
      </c>
      <c r="H39" s="77" t="b">
        <f>FALSE()</f>
        <v>0</v>
      </c>
      <c r="I39" s="76" t="s">
        <v>28</v>
      </c>
      <c r="J39" s="76" t="s">
        <v>28</v>
      </c>
      <c r="K39" s="76" t="s">
        <v>28</v>
      </c>
      <c r="L39" s="76" t="s">
        <v>28</v>
      </c>
      <c r="M39" s="76" t="s">
        <v>28</v>
      </c>
      <c r="N39" s="76" t="s">
        <v>28</v>
      </c>
      <c r="O39" s="76" t="s">
        <v>28</v>
      </c>
      <c r="P39" s="76" t="s">
        <v>28</v>
      </c>
      <c r="Q39" s="76" t="s">
        <v>28</v>
      </c>
      <c r="R39" s="76" t="s">
        <v>84</v>
      </c>
      <c r="S39" s="76" t="s">
        <v>85</v>
      </c>
      <c r="T39" s="85">
        <v>-265161.94</v>
      </c>
      <c r="U39" s="85">
        <v>-558683.07000000007</v>
      </c>
      <c r="V39" s="78">
        <v>-3671175.64</v>
      </c>
      <c r="W39" s="78">
        <v>0</v>
      </c>
      <c r="X39" s="85">
        <v>-2921248.85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  <c r="AF39" s="78">
        <v>0</v>
      </c>
      <c r="AG39" s="78">
        <v>0</v>
      </c>
      <c r="AH39" s="78">
        <v>0</v>
      </c>
    </row>
    <row r="40" spans="1:34" x14ac:dyDescent="0.25">
      <c r="A40" s="76" t="s">
        <v>286</v>
      </c>
      <c r="B40" s="76" t="s">
        <v>197</v>
      </c>
      <c r="C40" s="76" t="s">
        <v>198</v>
      </c>
      <c r="D40" s="76" t="s">
        <v>197</v>
      </c>
      <c r="E40" s="76" t="s">
        <v>199</v>
      </c>
      <c r="F40" s="76" t="s">
        <v>200</v>
      </c>
      <c r="G40" s="76" t="s">
        <v>284</v>
      </c>
      <c r="H40" s="77" t="b">
        <f>FALSE()</f>
        <v>0</v>
      </c>
      <c r="I40" s="76" t="s">
        <v>28</v>
      </c>
      <c r="J40" s="76" t="s">
        <v>28</v>
      </c>
      <c r="K40" s="76" t="s">
        <v>28</v>
      </c>
      <c r="L40" s="76" t="s">
        <v>28</v>
      </c>
      <c r="M40" s="76" t="s">
        <v>28</v>
      </c>
      <c r="N40" s="76" t="s">
        <v>28</v>
      </c>
      <c r="O40" s="76" t="s">
        <v>28</v>
      </c>
      <c r="P40" s="76" t="s">
        <v>28</v>
      </c>
      <c r="Q40" s="76" t="s">
        <v>28</v>
      </c>
      <c r="R40" s="76" t="s">
        <v>267</v>
      </c>
      <c r="S40" s="76" t="s">
        <v>268</v>
      </c>
      <c r="T40" s="85">
        <v>-102453</v>
      </c>
      <c r="U40" s="85">
        <v>-102523</v>
      </c>
      <c r="V40" s="78">
        <v>-102520.58</v>
      </c>
      <c r="W40" s="78">
        <v>0</v>
      </c>
      <c r="X40" s="85">
        <v>-102377.51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  <c r="AF40" s="78">
        <v>0</v>
      </c>
      <c r="AG40" s="78">
        <v>0</v>
      </c>
      <c r="AH40" s="78">
        <v>0</v>
      </c>
    </row>
    <row r="41" spans="1:34" x14ac:dyDescent="0.25">
      <c r="A41" s="76" t="s">
        <v>286</v>
      </c>
      <c r="B41" s="76" t="s">
        <v>197</v>
      </c>
      <c r="C41" s="76" t="s">
        <v>198</v>
      </c>
      <c r="D41" s="76" t="s">
        <v>197</v>
      </c>
      <c r="E41" s="76" t="s">
        <v>199</v>
      </c>
      <c r="F41" s="76" t="s">
        <v>200</v>
      </c>
      <c r="G41" s="76" t="s">
        <v>284</v>
      </c>
      <c r="H41" s="77" t="b">
        <f>FALSE()</f>
        <v>0</v>
      </c>
      <c r="I41" s="76" t="s">
        <v>28</v>
      </c>
      <c r="J41" s="76" t="s">
        <v>28</v>
      </c>
      <c r="K41" s="76" t="s">
        <v>28</v>
      </c>
      <c r="L41" s="76" t="s">
        <v>28</v>
      </c>
      <c r="M41" s="76" t="s">
        <v>28</v>
      </c>
      <c r="N41" s="76" t="s">
        <v>28</v>
      </c>
      <c r="O41" s="76" t="s">
        <v>28</v>
      </c>
      <c r="P41" s="76" t="s">
        <v>28</v>
      </c>
      <c r="Q41" s="76" t="s">
        <v>28</v>
      </c>
      <c r="R41" s="76" t="s">
        <v>86</v>
      </c>
      <c r="S41" s="76" t="s">
        <v>87</v>
      </c>
      <c r="T41" s="85">
        <v>-145174</v>
      </c>
      <c r="U41" s="85">
        <v>-440561</v>
      </c>
      <c r="V41" s="78">
        <v>-688933.85</v>
      </c>
      <c r="W41" s="78">
        <v>0</v>
      </c>
      <c r="X41" s="85">
        <v>61100.97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  <c r="AF41" s="78">
        <v>0</v>
      </c>
      <c r="AG41" s="78">
        <v>0</v>
      </c>
      <c r="AH41" s="78">
        <v>0</v>
      </c>
    </row>
    <row r="42" spans="1:34" x14ac:dyDescent="0.25">
      <c r="A42" s="76" t="s">
        <v>286</v>
      </c>
      <c r="B42" s="76" t="s">
        <v>197</v>
      </c>
      <c r="C42" s="76" t="s">
        <v>198</v>
      </c>
      <c r="D42" s="76" t="s">
        <v>197</v>
      </c>
      <c r="E42" s="76" t="s">
        <v>199</v>
      </c>
      <c r="F42" s="76" t="s">
        <v>200</v>
      </c>
      <c r="G42" s="76" t="s">
        <v>284</v>
      </c>
      <c r="H42" s="77" t="b">
        <f>FALSE()</f>
        <v>0</v>
      </c>
      <c r="I42" s="76" t="s">
        <v>28</v>
      </c>
      <c r="J42" s="76" t="s">
        <v>28</v>
      </c>
      <c r="K42" s="76" t="s">
        <v>28</v>
      </c>
      <c r="L42" s="76" t="s">
        <v>28</v>
      </c>
      <c r="M42" s="76" t="s">
        <v>28</v>
      </c>
      <c r="N42" s="76" t="s">
        <v>28</v>
      </c>
      <c r="O42" s="76" t="s">
        <v>28</v>
      </c>
      <c r="P42" s="76" t="s">
        <v>28</v>
      </c>
      <c r="Q42" s="76" t="s">
        <v>28</v>
      </c>
      <c r="R42" s="76" t="s">
        <v>28</v>
      </c>
      <c r="S42" s="76" t="s">
        <v>28</v>
      </c>
      <c r="T42" s="85">
        <v>0</v>
      </c>
      <c r="U42" s="85">
        <v>0</v>
      </c>
      <c r="V42" s="78">
        <v>0</v>
      </c>
      <c r="W42" s="78">
        <v>0</v>
      </c>
      <c r="X42" s="85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  <c r="AF42" s="78">
        <v>0</v>
      </c>
      <c r="AG42" s="78">
        <v>0</v>
      </c>
      <c r="AH42" s="78">
        <v>0</v>
      </c>
    </row>
    <row r="43" spans="1:34" x14ac:dyDescent="0.25">
      <c r="A43" s="76" t="s">
        <v>286</v>
      </c>
      <c r="B43" s="76" t="s">
        <v>197</v>
      </c>
      <c r="C43" s="76" t="s">
        <v>198</v>
      </c>
      <c r="D43" s="76" t="s">
        <v>197</v>
      </c>
      <c r="E43" s="76" t="s">
        <v>199</v>
      </c>
      <c r="F43" s="76" t="s">
        <v>200</v>
      </c>
      <c r="G43" s="76" t="s">
        <v>284</v>
      </c>
      <c r="H43" s="77" t="b">
        <f>FALSE()</f>
        <v>0</v>
      </c>
      <c r="I43" s="76" t="s">
        <v>28</v>
      </c>
      <c r="J43" s="76" t="s">
        <v>28</v>
      </c>
      <c r="K43" s="76" t="s">
        <v>28</v>
      </c>
      <c r="L43" s="76" t="s">
        <v>28</v>
      </c>
      <c r="M43" s="76" t="s">
        <v>28</v>
      </c>
      <c r="N43" s="76" t="s">
        <v>28</v>
      </c>
      <c r="O43" s="76" t="s">
        <v>28</v>
      </c>
      <c r="P43" s="76" t="s">
        <v>28</v>
      </c>
      <c r="Q43" s="76" t="s">
        <v>28</v>
      </c>
      <c r="R43" s="76" t="s">
        <v>88</v>
      </c>
      <c r="S43" s="76" t="s">
        <v>205</v>
      </c>
      <c r="T43" s="85">
        <v>4697637</v>
      </c>
      <c r="U43" s="85">
        <v>4664990</v>
      </c>
      <c r="V43" s="78">
        <v>6162046.4900000002</v>
      </c>
      <c r="W43" s="78">
        <v>0</v>
      </c>
      <c r="X43" s="85">
        <v>4579294.1399999997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  <c r="AF43" s="78">
        <v>0</v>
      </c>
      <c r="AG43" s="78">
        <v>0</v>
      </c>
      <c r="AH43" s="78">
        <v>0</v>
      </c>
    </row>
    <row r="44" spans="1:34" x14ac:dyDescent="0.25">
      <c r="A44" s="76" t="s">
        <v>286</v>
      </c>
      <c r="B44" s="76" t="s">
        <v>197</v>
      </c>
      <c r="C44" s="76" t="s">
        <v>198</v>
      </c>
      <c r="D44" s="76" t="s">
        <v>197</v>
      </c>
      <c r="E44" s="76" t="s">
        <v>199</v>
      </c>
      <c r="F44" s="76" t="s">
        <v>200</v>
      </c>
      <c r="G44" s="76" t="s">
        <v>284</v>
      </c>
      <c r="H44" s="77" t="b">
        <f>FALSE()</f>
        <v>0</v>
      </c>
      <c r="I44" s="76" t="s">
        <v>28</v>
      </c>
      <c r="J44" s="76" t="s">
        <v>28</v>
      </c>
      <c r="K44" s="76" t="s">
        <v>28</v>
      </c>
      <c r="L44" s="76" t="s">
        <v>28</v>
      </c>
      <c r="M44" s="76" t="s">
        <v>28</v>
      </c>
      <c r="N44" s="76" t="s">
        <v>28</v>
      </c>
      <c r="O44" s="76" t="s">
        <v>28</v>
      </c>
      <c r="P44" s="76" t="s">
        <v>28</v>
      </c>
      <c r="Q44" s="76" t="s">
        <v>28</v>
      </c>
      <c r="R44" s="76" t="s">
        <v>28</v>
      </c>
      <c r="S44" s="76" t="s">
        <v>28</v>
      </c>
      <c r="T44" s="85">
        <v>0</v>
      </c>
      <c r="U44" s="85">
        <v>0</v>
      </c>
      <c r="V44" s="78">
        <v>0</v>
      </c>
      <c r="W44" s="78">
        <v>0</v>
      </c>
      <c r="X44" s="85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  <c r="AF44" s="78">
        <v>0</v>
      </c>
      <c r="AG44" s="78">
        <v>0</v>
      </c>
      <c r="AH44" s="78">
        <v>0</v>
      </c>
    </row>
    <row r="45" spans="1:34" x14ac:dyDescent="0.25">
      <c r="A45" s="76" t="s">
        <v>286</v>
      </c>
      <c r="B45" s="76" t="s">
        <v>197</v>
      </c>
      <c r="C45" s="76" t="s">
        <v>198</v>
      </c>
      <c r="D45" s="76" t="s">
        <v>197</v>
      </c>
      <c r="E45" s="76" t="s">
        <v>199</v>
      </c>
      <c r="F45" s="76" t="s">
        <v>200</v>
      </c>
      <c r="G45" s="76" t="s">
        <v>284</v>
      </c>
      <c r="H45" s="77" t="b">
        <f>FALSE()</f>
        <v>0</v>
      </c>
      <c r="I45" s="76" t="s">
        <v>28</v>
      </c>
      <c r="J45" s="76" t="s">
        <v>28</v>
      </c>
      <c r="K45" s="76" t="s">
        <v>28</v>
      </c>
      <c r="L45" s="76" t="s">
        <v>28</v>
      </c>
      <c r="M45" s="76" t="s">
        <v>28</v>
      </c>
      <c r="N45" s="76" t="s">
        <v>28</v>
      </c>
      <c r="O45" s="76" t="s">
        <v>28</v>
      </c>
      <c r="P45" s="76" t="s">
        <v>28</v>
      </c>
      <c r="Q45" s="76" t="s">
        <v>28</v>
      </c>
      <c r="R45" s="76" t="s">
        <v>90</v>
      </c>
      <c r="S45" s="76" t="s">
        <v>91</v>
      </c>
      <c r="T45" s="78">
        <v>0</v>
      </c>
      <c r="U45" s="85">
        <v>0</v>
      </c>
      <c r="V45" s="78">
        <v>0</v>
      </c>
      <c r="W45" s="78">
        <v>0</v>
      </c>
      <c r="X45" s="85">
        <v>770421.06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  <c r="AF45" s="78">
        <v>0</v>
      </c>
      <c r="AG45" s="78">
        <v>0</v>
      </c>
      <c r="AH45" s="78">
        <v>0</v>
      </c>
    </row>
    <row r="46" spans="1:34" x14ac:dyDescent="0.25"/>
    <row r="47" spans="1:34" x14ac:dyDescent="0.25"/>
    <row r="48" spans="1:34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AK1000"/>
  <sheetViews>
    <sheetView topLeftCell="P1" workbookViewId="0">
      <selection activeCell="A4" sqref="A4"/>
    </sheetView>
  </sheetViews>
  <sheetFormatPr defaultRowHeight="15" customHeight="1" x14ac:dyDescent="0.25"/>
  <cols>
    <col min="1" max="1" width="16.85546875" bestFit="1" customWidth="1"/>
    <col min="2" max="2" width="8" bestFit="1" customWidth="1"/>
    <col min="3" max="3" width="12.85546875" bestFit="1" customWidth="1"/>
    <col min="4" max="4" width="15.7109375" bestFit="1" customWidth="1"/>
    <col min="5" max="5" width="18.7109375" bestFit="1" customWidth="1"/>
    <col min="6" max="6" width="9.5703125" bestFit="1" customWidth="1"/>
    <col min="7" max="7" width="11.85546875" bestFit="1" customWidth="1"/>
    <col min="8" max="8" width="15.140625" bestFit="1" customWidth="1"/>
    <col min="9" max="9" width="14.5703125" bestFit="1" customWidth="1"/>
    <col min="10" max="10" width="18.42578125" bestFit="1" customWidth="1"/>
    <col min="11" max="11" width="19.7109375" bestFit="1" customWidth="1"/>
    <col min="12" max="12" width="17.85546875" bestFit="1" customWidth="1"/>
    <col min="13" max="13" width="18" bestFit="1" customWidth="1"/>
    <col min="14" max="14" width="17.85546875" bestFit="1" customWidth="1"/>
    <col min="15" max="15" width="16.5703125" bestFit="1" customWidth="1"/>
    <col min="16" max="16" width="17.5703125" bestFit="1" customWidth="1"/>
    <col min="17" max="17" width="18.42578125" bestFit="1" customWidth="1"/>
    <col min="18" max="18" width="10.140625" bestFit="1" customWidth="1"/>
    <col min="19" max="19" width="13.85546875" bestFit="1" customWidth="1"/>
    <col min="20" max="23" width="11.28515625" bestFit="1" customWidth="1"/>
    <col min="24" max="24" width="11.7109375" customWidth="1"/>
    <col min="25" max="34" width="4.42578125" bestFit="1" customWidth="1"/>
    <col min="37" max="37" width="8.85546875" bestFit="1" customWidth="1"/>
  </cols>
  <sheetData>
    <row r="1" spans="1:37" x14ac:dyDescent="0.25">
      <c r="A1" s="75" t="s">
        <v>164</v>
      </c>
      <c r="B1" s="75" t="s">
        <v>165</v>
      </c>
      <c r="C1" s="75" t="s">
        <v>166</v>
      </c>
      <c r="D1" s="75" t="s">
        <v>167</v>
      </c>
      <c r="E1" s="75" t="s">
        <v>168</v>
      </c>
      <c r="F1" s="75" t="s">
        <v>169</v>
      </c>
      <c r="G1" s="75" t="s">
        <v>170</v>
      </c>
      <c r="H1" s="75" t="s">
        <v>171</v>
      </c>
      <c r="I1" s="75" t="s">
        <v>172</v>
      </c>
      <c r="J1" s="75" t="s">
        <v>173</v>
      </c>
      <c r="K1" s="75" t="s">
        <v>174</v>
      </c>
      <c r="L1" s="75" t="s">
        <v>175</v>
      </c>
      <c r="M1" s="75" t="s">
        <v>176</v>
      </c>
      <c r="N1" s="75" t="s">
        <v>177</v>
      </c>
      <c r="O1" s="75" t="s">
        <v>178</v>
      </c>
      <c r="P1" s="75" t="s">
        <v>179</v>
      </c>
      <c r="Q1" s="75" t="s">
        <v>180</v>
      </c>
      <c r="R1" s="75" t="s">
        <v>181</v>
      </c>
      <c r="S1" s="75" t="s">
        <v>182</v>
      </c>
      <c r="T1" s="75" t="s">
        <v>183</v>
      </c>
      <c r="U1" s="75" t="s">
        <v>184</v>
      </c>
      <c r="V1" s="75" t="s">
        <v>185</v>
      </c>
      <c r="W1" s="75" t="s">
        <v>186</v>
      </c>
      <c r="X1" s="75" t="s">
        <v>123</v>
      </c>
      <c r="Y1" s="75" t="s">
        <v>187</v>
      </c>
      <c r="Z1" s="75" t="s">
        <v>188</v>
      </c>
      <c r="AA1" s="75" t="s">
        <v>189</v>
      </c>
      <c r="AB1" s="75" t="s">
        <v>190</v>
      </c>
      <c r="AC1" s="75" t="s">
        <v>191</v>
      </c>
      <c r="AD1" s="75" t="s">
        <v>192</v>
      </c>
      <c r="AE1" s="75" t="s">
        <v>193</v>
      </c>
      <c r="AF1" s="75" t="s">
        <v>194</v>
      </c>
      <c r="AG1" s="75" t="s">
        <v>195</v>
      </c>
      <c r="AH1" s="75" t="s">
        <v>196</v>
      </c>
    </row>
    <row r="2" spans="1:37" x14ac:dyDescent="0.25">
      <c r="A2" s="76" t="s">
        <v>285</v>
      </c>
      <c r="B2" s="76" t="s">
        <v>224</v>
      </c>
      <c r="C2" s="76" t="s">
        <v>225</v>
      </c>
      <c r="D2" s="76" t="s">
        <v>224</v>
      </c>
      <c r="E2" s="76" t="s">
        <v>226</v>
      </c>
      <c r="F2" s="76" t="s">
        <v>200</v>
      </c>
      <c r="G2" s="76" t="s">
        <v>284</v>
      </c>
      <c r="H2" s="77" t="b">
        <f>TRUE()</f>
        <v>1</v>
      </c>
      <c r="I2" s="76" t="s">
        <v>28</v>
      </c>
      <c r="J2" s="76" t="s">
        <v>28</v>
      </c>
      <c r="K2" s="76" t="s">
        <v>28</v>
      </c>
      <c r="L2" s="76" t="s">
        <v>28</v>
      </c>
      <c r="M2" s="76" t="s">
        <v>28</v>
      </c>
      <c r="N2" s="76" t="s">
        <v>28</v>
      </c>
      <c r="O2" s="76" t="s">
        <v>28</v>
      </c>
      <c r="P2" s="76" t="s">
        <v>28</v>
      </c>
      <c r="Q2" s="76" t="s">
        <v>28</v>
      </c>
      <c r="R2" s="76" t="s">
        <v>28</v>
      </c>
      <c r="S2" s="76" t="s">
        <v>28</v>
      </c>
      <c r="T2" s="78">
        <v>0</v>
      </c>
      <c r="U2" s="85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</row>
    <row r="3" spans="1:37" x14ac:dyDescent="0.25">
      <c r="A3" s="76" t="s">
        <v>285</v>
      </c>
      <c r="B3" s="76" t="s">
        <v>224</v>
      </c>
      <c r="C3" s="76" t="s">
        <v>225</v>
      </c>
      <c r="D3" s="76" t="s">
        <v>224</v>
      </c>
      <c r="E3" s="76" t="s">
        <v>226</v>
      </c>
      <c r="F3" s="76" t="s">
        <v>200</v>
      </c>
      <c r="G3" s="76" t="s">
        <v>284</v>
      </c>
      <c r="H3" s="77" t="b">
        <f>TRUE()</f>
        <v>1</v>
      </c>
      <c r="I3" s="76" t="s">
        <v>28</v>
      </c>
      <c r="J3" s="76" t="s">
        <v>28</v>
      </c>
      <c r="K3" s="76" t="s">
        <v>28</v>
      </c>
      <c r="L3" s="76" t="s">
        <v>28</v>
      </c>
      <c r="M3" s="76" t="s">
        <v>28</v>
      </c>
      <c r="N3" s="76" t="s">
        <v>28</v>
      </c>
      <c r="O3" s="76" t="s">
        <v>28</v>
      </c>
      <c r="P3" s="76" t="s">
        <v>28</v>
      </c>
      <c r="Q3" s="76" t="s">
        <v>28</v>
      </c>
      <c r="R3" s="76" t="s">
        <v>122</v>
      </c>
      <c r="S3" s="76" t="s">
        <v>92</v>
      </c>
      <c r="T3" s="78">
        <v>0</v>
      </c>
      <c r="U3" s="85">
        <v>0</v>
      </c>
      <c r="V3" s="78">
        <v>0</v>
      </c>
      <c r="W3" s="78">
        <v>0</v>
      </c>
      <c r="X3" s="78">
        <v>0</v>
      </c>
      <c r="Y3" s="78">
        <v>0</v>
      </c>
      <c r="Z3" s="78">
        <v>0</v>
      </c>
      <c r="AA3" s="78">
        <v>0</v>
      </c>
      <c r="AB3" s="78">
        <v>0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</row>
    <row r="4" spans="1:37" x14ac:dyDescent="0.25">
      <c r="A4" s="76" t="s">
        <v>285</v>
      </c>
      <c r="B4" s="76" t="s">
        <v>224</v>
      </c>
      <c r="C4" s="76" t="s">
        <v>225</v>
      </c>
      <c r="D4" s="76" t="s">
        <v>224</v>
      </c>
      <c r="E4" s="76" t="s">
        <v>226</v>
      </c>
      <c r="F4" s="76" t="s">
        <v>200</v>
      </c>
      <c r="G4" s="76" t="s">
        <v>284</v>
      </c>
      <c r="H4" s="77" t="b">
        <f>TRUE()</f>
        <v>1</v>
      </c>
      <c r="I4" s="76" t="s">
        <v>28</v>
      </c>
      <c r="J4" s="76" t="s">
        <v>28</v>
      </c>
      <c r="K4" s="76" t="s">
        <v>28</v>
      </c>
      <c r="L4" s="76" t="s">
        <v>28</v>
      </c>
      <c r="M4" s="76" t="s">
        <v>28</v>
      </c>
      <c r="N4" s="76" t="s">
        <v>28</v>
      </c>
      <c r="O4" s="76" t="s">
        <v>28</v>
      </c>
      <c r="P4" s="76" t="s">
        <v>28</v>
      </c>
      <c r="Q4" s="76" t="s">
        <v>28</v>
      </c>
      <c r="R4" s="76" t="s">
        <v>124</v>
      </c>
      <c r="S4" s="76" t="s">
        <v>93</v>
      </c>
      <c r="T4" s="78">
        <v>93617.54</v>
      </c>
      <c r="U4" s="85">
        <v>123446</v>
      </c>
      <c r="V4" s="78">
        <v>155737.85999999999</v>
      </c>
      <c r="W4" s="78">
        <v>0</v>
      </c>
      <c r="X4" s="78">
        <v>93698.93</v>
      </c>
      <c r="Y4" s="78">
        <v>0</v>
      </c>
      <c r="Z4" s="78">
        <v>0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</row>
    <row r="5" spans="1:37" x14ac:dyDescent="0.25">
      <c r="A5" s="76" t="s">
        <v>285</v>
      </c>
      <c r="B5" s="76" t="s">
        <v>224</v>
      </c>
      <c r="C5" s="76" t="s">
        <v>225</v>
      </c>
      <c r="D5" s="76" t="s">
        <v>224</v>
      </c>
      <c r="E5" s="76" t="s">
        <v>226</v>
      </c>
      <c r="F5" s="76" t="s">
        <v>200</v>
      </c>
      <c r="G5" s="76" t="s">
        <v>284</v>
      </c>
      <c r="H5" s="77" t="b">
        <f>TRUE()</f>
        <v>1</v>
      </c>
      <c r="I5" s="76" t="s">
        <v>28</v>
      </c>
      <c r="J5" s="76" t="s">
        <v>28</v>
      </c>
      <c r="K5" s="76" t="s">
        <v>28</v>
      </c>
      <c r="L5" s="76" t="s">
        <v>28</v>
      </c>
      <c r="M5" s="76" t="s">
        <v>28</v>
      </c>
      <c r="N5" s="76" t="s">
        <v>28</v>
      </c>
      <c r="O5" s="76" t="s">
        <v>28</v>
      </c>
      <c r="P5" s="76" t="s">
        <v>28</v>
      </c>
      <c r="Q5" s="76" t="s">
        <v>28</v>
      </c>
      <c r="R5" s="76" t="s">
        <v>125</v>
      </c>
      <c r="S5" s="76" t="s">
        <v>94</v>
      </c>
      <c r="T5" s="78">
        <v>15946.26</v>
      </c>
      <c r="U5" s="85">
        <v>18143.099999999999</v>
      </c>
      <c r="V5" s="78">
        <v>19358</v>
      </c>
      <c r="W5" s="78">
        <v>0</v>
      </c>
      <c r="X5" s="78">
        <v>15946.26</v>
      </c>
      <c r="Y5" s="78">
        <v>0</v>
      </c>
      <c r="Z5" s="78">
        <v>0</v>
      </c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</row>
    <row r="6" spans="1:37" x14ac:dyDescent="0.25">
      <c r="A6" s="76" t="s">
        <v>285</v>
      </c>
      <c r="B6" s="76" t="s">
        <v>224</v>
      </c>
      <c r="C6" s="76" t="s">
        <v>225</v>
      </c>
      <c r="D6" s="76" t="s">
        <v>224</v>
      </c>
      <c r="E6" s="76" t="s">
        <v>226</v>
      </c>
      <c r="F6" s="76" t="s">
        <v>200</v>
      </c>
      <c r="G6" s="76" t="s">
        <v>284</v>
      </c>
      <c r="H6" s="77" t="b">
        <f>TRUE()</f>
        <v>1</v>
      </c>
      <c r="I6" s="76" t="s">
        <v>28</v>
      </c>
      <c r="J6" s="76" t="s">
        <v>28</v>
      </c>
      <c r="K6" s="76" t="s">
        <v>28</v>
      </c>
      <c r="L6" s="76" t="s">
        <v>28</v>
      </c>
      <c r="M6" s="76" t="s">
        <v>28</v>
      </c>
      <c r="N6" s="76" t="s">
        <v>28</v>
      </c>
      <c r="O6" s="76" t="s">
        <v>28</v>
      </c>
      <c r="P6" s="76" t="s">
        <v>28</v>
      </c>
      <c r="Q6" s="76" t="s">
        <v>28</v>
      </c>
      <c r="R6" s="76" t="s">
        <v>126</v>
      </c>
      <c r="S6" s="76" t="s">
        <v>95</v>
      </c>
      <c r="T6" s="78">
        <v>-72218.649999999994</v>
      </c>
      <c r="U6" s="85">
        <v>-84365.81</v>
      </c>
      <c r="V6" s="78">
        <v>-101120.98</v>
      </c>
      <c r="W6" s="78">
        <v>0</v>
      </c>
      <c r="X6" s="78">
        <v>-72218.649999999994</v>
      </c>
      <c r="Y6" s="78">
        <v>0</v>
      </c>
      <c r="Z6" s="78">
        <v>0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</row>
    <row r="7" spans="1:37" x14ac:dyDescent="0.25">
      <c r="A7" s="76" t="s">
        <v>285</v>
      </c>
      <c r="B7" s="76" t="s">
        <v>224</v>
      </c>
      <c r="C7" s="76" t="s">
        <v>225</v>
      </c>
      <c r="D7" s="76" t="s">
        <v>224</v>
      </c>
      <c r="E7" s="76" t="s">
        <v>226</v>
      </c>
      <c r="F7" s="76" t="s">
        <v>200</v>
      </c>
      <c r="G7" s="76" t="s">
        <v>284</v>
      </c>
      <c r="H7" s="77" t="b">
        <f>TRUE()</f>
        <v>1</v>
      </c>
      <c r="I7" s="76" t="s">
        <v>28</v>
      </c>
      <c r="J7" s="76" t="s">
        <v>28</v>
      </c>
      <c r="K7" s="76" t="s">
        <v>28</v>
      </c>
      <c r="L7" s="76" t="s">
        <v>28</v>
      </c>
      <c r="M7" s="76" t="s">
        <v>28</v>
      </c>
      <c r="N7" s="76" t="s">
        <v>28</v>
      </c>
      <c r="O7" s="76" t="s">
        <v>28</v>
      </c>
      <c r="P7" s="76" t="s">
        <v>28</v>
      </c>
      <c r="Q7" s="76" t="s">
        <v>28</v>
      </c>
      <c r="R7" s="76" t="s">
        <v>51</v>
      </c>
      <c r="S7" s="76" t="s">
        <v>96</v>
      </c>
      <c r="T7" s="78">
        <v>37345.15</v>
      </c>
      <c r="U7" s="85">
        <v>57223.29</v>
      </c>
      <c r="V7" s="78">
        <v>73974.880000000005</v>
      </c>
      <c r="W7" s="78">
        <v>0</v>
      </c>
      <c r="X7" s="78">
        <v>37426.54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</row>
    <row r="8" spans="1:37" x14ac:dyDescent="0.25">
      <c r="A8" s="76" t="s">
        <v>285</v>
      </c>
      <c r="B8" s="76" t="s">
        <v>224</v>
      </c>
      <c r="C8" s="76" t="s">
        <v>225</v>
      </c>
      <c r="D8" s="76" t="s">
        <v>224</v>
      </c>
      <c r="E8" s="76" t="s">
        <v>226</v>
      </c>
      <c r="F8" s="76" t="s">
        <v>200</v>
      </c>
      <c r="G8" s="76" t="s">
        <v>284</v>
      </c>
      <c r="H8" s="77" t="b">
        <f>TRUE()</f>
        <v>1</v>
      </c>
      <c r="I8" s="76" t="s">
        <v>28</v>
      </c>
      <c r="J8" s="76" t="s">
        <v>28</v>
      </c>
      <c r="K8" s="76" t="s">
        <v>28</v>
      </c>
      <c r="L8" s="76" t="s">
        <v>28</v>
      </c>
      <c r="M8" s="76" t="s">
        <v>28</v>
      </c>
      <c r="N8" s="76" t="s">
        <v>28</v>
      </c>
      <c r="O8" s="76" t="s">
        <v>28</v>
      </c>
      <c r="P8" s="76" t="s">
        <v>28</v>
      </c>
      <c r="Q8" s="76" t="s">
        <v>28</v>
      </c>
      <c r="R8" s="76" t="s">
        <v>255</v>
      </c>
      <c r="S8" s="76" t="s">
        <v>28</v>
      </c>
      <c r="T8" s="78">
        <v>0</v>
      </c>
      <c r="U8" s="85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</row>
    <row r="9" spans="1:37" x14ac:dyDescent="0.25">
      <c r="A9" s="76" t="s">
        <v>285</v>
      </c>
      <c r="B9" s="76" t="s">
        <v>224</v>
      </c>
      <c r="C9" s="76" t="s">
        <v>225</v>
      </c>
      <c r="D9" s="76" t="s">
        <v>224</v>
      </c>
      <c r="E9" s="76" t="s">
        <v>226</v>
      </c>
      <c r="F9" s="76" t="s">
        <v>200</v>
      </c>
      <c r="G9" s="76" t="s">
        <v>284</v>
      </c>
      <c r="H9" s="77" t="b">
        <f>TRUE()</f>
        <v>1</v>
      </c>
      <c r="I9" s="76" t="s">
        <v>28</v>
      </c>
      <c r="J9" s="76" t="s">
        <v>28</v>
      </c>
      <c r="K9" s="76" t="s">
        <v>28</v>
      </c>
      <c r="L9" s="76" t="s">
        <v>28</v>
      </c>
      <c r="M9" s="76" t="s">
        <v>28</v>
      </c>
      <c r="N9" s="76" t="s">
        <v>28</v>
      </c>
      <c r="O9" s="76" t="s">
        <v>28</v>
      </c>
      <c r="P9" s="76" t="s">
        <v>28</v>
      </c>
      <c r="Q9" s="76" t="s">
        <v>28</v>
      </c>
      <c r="R9" s="76" t="s">
        <v>127</v>
      </c>
      <c r="S9" s="76" t="s">
        <v>97</v>
      </c>
      <c r="T9" s="78">
        <f>92025.11-(6500*3)</f>
        <v>72525.11</v>
      </c>
      <c r="U9" s="85">
        <f>101093.76-19500</f>
        <v>81593.759999999995</v>
      </c>
      <c r="V9" s="78">
        <v>125169.60000000001</v>
      </c>
      <c r="W9" s="78">
        <v>0</v>
      </c>
      <c r="X9" s="78">
        <v>92053.8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</row>
    <row r="10" spans="1:37" x14ac:dyDescent="0.25">
      <c r="A10" s="76" t="s">
        <v>285</v>
      </c>
      <c r="B10" s="76" t="s">
        <v>224</v>
      </c>
      <c r="C10" s="76" t="s">
        <v>225</v>
      </c>
      <c r="D10" s="76" t="s">
        <v>224</v>
      </c>
      <c r="E10" s="76" t="s">
        <v>226</v>
      </c>
      <c r="F10" s="76" t="s">
        <v>200</v>
      </c>
      <c r="G10" s="76" t="s">
        <v>284</v>
      </c>
      <c r="H10" s="77" t="b">
        <f>TRUE()</f>
        <v>1</v>
      </c>
      <c r="I10" s="76" t="s">
        <v>28</v>
      </c>
      <c r="J10" s="76" t="s">
        <v>28</v>
      </c>
      <c r="K10" s="76" t="s">
        <v>28</v>
      </c>
      <c r="L10" s="76" t="s">
        <v>28</v>
      </c>
      <c r="M10" s="76" t="s">
        <v>28</v>
      </c>
      <c r="N10" s="76" t="s">
        <v>28</v>
      </c>
      <c r="O10" s="76" t="s">
        <v>28</v>
      </c>
      <c r="P10" s="76" t="s">
        <v>28</v>
      </c>
      <c r="Q10" s="76" t="s">
        <v>28</v>
      </c>
      <c r="R10" s="76" t="s">
        <v>128</v>
      </c>
      <c r="S10" s="76" t="s">
        <v>98</v>
      </c>
      <c r="T10" s="78">
        <v>1797.73</v>
      </c>
      <c r="U10" s="85">
        <v>2250.06</v>
      </c>
      <c r="V10" s="78">
        <v>2696.97</v>
      </c>
      <c r="W10" s="78">
        <v>0</v>
      </c>
      <c r="X10" s="78">
        <v>1801.93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</row>
    <row r="11" spans="1:37" x14ac:dyDescent="0.25">
      <c r="A11" s="76" t="s">
        <v>285</v>
      </c>
      <c r="B11" s="76" t="s">
        <v>224</v>
      </c>
      <c r="C11" s="76" t="s">
        <v>225</v>
      </c>
      <c r="D11" s="76" t="s">
        <v>224</v>
      </c>
      <c r="E11" s="76" t="s">
        <v>226</v>
      </c>
      <c r="F11" s="76" t="s">
        <v>200</v>
      </c>
      <c r="G11" s="76" t="s">
        <v>284</v>
      </c>
      <c r="H11" s="77" t="b">
        <f>TRUE()</f>
        <v>1</v>
      </c>
      <c r="I11" s="76" t="s">
        <v>28</v>
      </c>
      <c r="J11" s="76" t="s">
        <v>28</v>
      </c>
      <c r="K11" s="76" t="s">
        <v>28</v>
      </c>
      <c r="L11" s="76" t="s">
        <v>28</v>
      </c>
      <c r="M11" s="76" t="s">
        <v>28</v>
      </c>
      <c r="N11" s="76" t="s">
        <v>28</v>
      </c>
      <c r="O11" s="76" t="s">
        <v>28</v>
      </c>
      <c r="P11" s="76" t="s">
        <v>28</v>
      </c>
      <c r="Q11" s="76" t="s">
        <v>28</v>
      </c>
      <c r="R11" s="76" t="s">
        <v>129</v>
      </c>
      <c r="S11" s="76" t="s">
        <v>256</v>
      </c>
      <c r="T11" s="78">
        <f>18000+(6500*3)</f>
        <v>37500</v>
      </c>
      <c r="U11" s="85">
        <v>37500</v>
      </c>
      <c r="V11" s="78">
        <v>9027.74</v>
      </c>
      <c r="W11" s="78">
        <v>0</v>
      </c>
      <c r="X11" s="78">
        <v>18000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K11" s="78">
        <f>Table12[[#This Row],[Quarter 1]]-Table12[[#This Row],[Quarter 2]]</f>
        <v>0</v>
      </c>
    </row>
    <row r="12" spans="1:37" x14ac:dyDescent="0.25">
      <c r="A12" s="76" t="s">
        <v>285</v>
      </c>
      <c r="B12" s="76" t="s">
        <v>224</v>
      </c>
      <c r="C12" s="76" t="s">
        <v>225</v>
      </c>
      <c r="D12" s="76" t="s">
        <v>224</v>
      </c>
      <c r="E12" s="76" t="s">
        <v>226</v>
      </c>
      <c r="F12" s="76" t="s">
        <v>200</v>
      </c>
      <c r="G12" s="76" t="s">
        <v>284</v>
      </c>
      <c r="H12" s="77" t="b">
        <f>TRUE()</f>
        <v>1</v>
      </c>
      <c r="I12" s="76" t="s">
        <v>28</v>
      </c>
      <c r="J12" s="76" t="s">
        <v>28</v>
      </c>
      <c r="K12" s="76" t="s">
        <v>28</v>
      </c>
      <c r="L12" s="76" t="s">
        <v>28</v>
      </c>
      <c r="M12" s="76" t="s">
        <v>28</v>
      </c>
      <c r="N12" s="76" t="s">
        <v>28</v>
      </c>
      <c r="O12" s="76" t="s">
        <v>28</v>
      </c>
      <c r="P12" s="76" t="s">
        <v>28</v>
      </c>
      <c r="Q12" s="76" t="s">
        <v>28</v>
      </c>
      <c r="R12" s="76" t="s">
        <v>88</v>
      </c>
      <c r="S12" s="76" t="s">
        <v>100</v>
      </c>
      <c r="T12" s="78">
        <v>111822.84</v>
      </c>
      <c r="U12" s="85">
        <v>121343.82</v>
      </c>
      <c r="V12" s="78">
        <v>136894.31</v>
      </c>
      <c r="W12" s="78">
        <v>0</v>
      </c>
      <c r="X12" s="78">
        <v>111855.73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</row>
    <row r="13" spans="1:37" x14ac:dyDescent="0.25">
      <c r="A13" s="76" t="s">
        <v>285</v>
      </c>
      <c r="B13" s="76" t="s">
        <v>224</v>
      </c>
      <c r="C13" s="76" t="s">
        <v>225</v>
      </c>
      <c r="D13" s="76" t="s">
        <v>224</v>
      </c>
      <c r="E13" s="76" t="s">
        <v>226</v>
      </c>
      <c r="F13" s="76" t="s">
        <v>200</v>
      </c>
      <c r="G13" s="76" t="s">
        <v>284</v>
      </c>
      <c r="H13" s="77" t="b">
        <f>TRUE()</f>
        <v>1</v>
      </c>
      <c r="I13" s="76" t="s">
        <v>28</v>
      </c>
      <c r="J13" s="76" t="s">
        <v>28</v>
      </c>
      <c r="K13" s="76" t="s">
        <v>28</v>
      </c>
      <c r="L13" s="76" t="s">
        <v>28</v>
      </c>
      <c r="M13" s="76" t="s">
        <v>28</v>
      </c>
      <c r="N13" s="76" t="s">
        <v>28</v>
      </c>
      <c r="O13" s="76" t="s">
        <v>28</v>
      </c>
      <c r="P13" s="76" t="s">
        <v>28</v>
      </c>
      <c r="Q13" s="76" t="s">
        <v>28</v>
      </c>
      <c r="R13" s="76" t="s">
        <v>257</v>
      </c>
      <c r="S13" s="76" t="s">
        <v>28</v>
      </c>
      <c r="T13" s="78">
        <v>0</v>
      </c>
      <c r="U13" s="85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</row>
    <row r="14" spans="1:37" x14ac:dyDescent="0.25">
      <c r="A14" s="76" t="s">
        <v>285</v>
      </c>
      <c r="B14" s="76" t="s">
        <v>224</v>
      </c>
      <c r="C14" s="76" t="s">
        <v>225</v>
      </c>
      <c r="D14" s="76" t="s">
        <v>224</v>
      </c>
      <c r="E14" s="76" t="s">
        <v>226</v>
      </c>
      <c r="F14" s="76" t="s">
        <v>200</v>
      </c>
      <c r="G14" s="76" t="s">
        <v>284</v>
      </c>
      <c r="H14" s="77" t="b">
        <f>TRUE()</f>
        <v>1</v>
      </c>
      <c r="I14" s="76" t="s">
        <v>28</v>
      </c>
      <c r="J14" s="76" t="s">
        <v>28</v>
      </c>
      <c r="K14" s="76" t="s">
        <v>28</v>
      </c>
      <c r="L14" s="76" t="s">
        <v>28</v>
      </c>
      <c r="M14" s="76" t="s">
        <v>28</v>
      </c>
      <c r="N14" s="76" t="s">
        <v>28</v>
      </c>
      <c r="O14" s="76" t="s">
        <v>28</v>
      </c>
      <c r="P14" s="76" t="s">
        <v>28</v>
      </c>
      <c r="Q14" s="76" t="s">
        <v>28</v>
      </c>
      <c r="R14" s="76" t="s">
        <v>130</v>
      </c>
      <c r="S14" s="76" t="s">
        <v>101</v>
      </c>
      <c r="T14" s="78">
        <v>149167.99</v>
      </c>
      <c r="U14" s="85">
        <v>178567.11</v>
      </c>
      <c r="V14" s="78">
        <v>210869.19</v>
      </c>
      <c r="W14" s="78">
        <v>0</v>
      </c>
      <c r="X14" s="78">
        <v>149282.26999999999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</row>
    <row r="15" spans="1:37" x14ac:dyDescent="0.25">
      <c r="A15" s="76" t="s">
        <v>285</v>
      </c>
      <c r="B15" s="76" t="s">
        <v>224</v>
      </c>
      <c r="C15" s="76" t="s">
        <v>225</v>
      </c>
      <c r="D15" s="76" t="s">
        <v>224</v>
      </c>
      <c r="E15" s="76" t="s">
        <v>226</v>
      </c>
      <c r="F15" s="76" t="s">
        <v>200</v>
      </c>
      <c r="G15" s="76" t="s">
        <v>284</v>
      </c>
      <c r="H15" s="77" t="b">
        <f>TRUE()</f>
        <v>1</v>
      </c>
      <c r="I15" s="76" t="s">
        <v>28</v>
      </c>
      <c r="J15" s="76" t="s">
        <v>28</v>
      </c>
      <c r="K15" s="76" t="s">
        <v>28</v>
      </c>
      <c r="L15" s="76" t="s">
        <v>28</v>
      </c>
      <c r="M15" s="76" t="s">
        <v>28</v>
      </c>
      <c r="N15" s="76" t="s">
        <v>28</v>
      </c>
      <c r="O15" s="76" t="s">
        <v>28</v>
      </c>
      <c r="P15" s="76" t="s">
        <v>28</v>
      </c>
      <c r="Q15" s="76" t="s">
        <v>28</v>
      </c>
      <c r="R15" s="76" t="s">
        <v>258</v>
      </c>
      <c r="S15" s="76" t="s">
        <v>28</v>
      </c>
      <c r="T15" s="78">
        <v>0</v>
      </c>
      <c r="U15" s="85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</row>
    <row r="16" spans="1:37" x14ac:dyDescent="0.25">
      <c r="A16" s="76" t="s">
        <v>285</v>
      </c>
      <c r="B16" s="76" t="s">
        <v>224</v>
      </c>
      <c r="C16" s="76" t="s">
        <v>225</v>
      </c>
      <c r="D16" s="76" t="s">
        <v>224</v>
      </c>
      <c r="E16" s="76" t="s">
        <v>226</v>
      </c>
      <c r="F16" s="76" t="s">
        <v>200</v>
      </c>
      <c r="G16" s="76" t="s">
        <v>284</v>
      </c>
      <c r="H16" s="77" t="b">
        <f>TRUE()</f>
        <v>1</v>
      </c>
      <c r="I16" s="76" t="s">
        <v>28</v>
      </c>
      <c r="J16" s="76" t="s">
        <v>28</v>
      </c>
      <c r="K16" s="76" t="s">
        <v>28</v>
      </c>
      <c r="L16" s="76" t="s">
        <v>28</v>
      </c>
      <c r="M16" s="76" t="s">
        <v>28</v>
      </c>
      <c r="N16" s="76" t="s">
        <v>28</v>
      </c>
      <c r="O16" s="76" t="s">
        <v>28</v>
      </c>
      <c r="P16" s="76" t="s">
        <v>28</v>
      </c>
      <c r="Q16" s="76" t="s">
        <v>28</v>
      </c>
      <c r="R16" s="76" t="s">
        <v>131</v>
      </c>
      <c r="S16" s="76" t="s">
        <v>102</v>
      </c>
      <c r="T16" s="78">
        <v>17627.689999999999</v>
      </c>
      <c r="U16" s="85">
        <v>19020.88</v>
      </c>
      <c r="V16" s="78">
        <v>32551.74</v>
      </c>
      <c r="W16" s="78">
        <v>0</v>
      </c>
      <c r="X16" s="78">
        <v>17627.689999999999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</row>
    <row r="17" spans="1:34" x14ac:dyDescent="0.25">
      <c r="A17" s="76" t="s">
        <v>285</v>
      </c>
      <c r="B17" s="76" t="s">
        <v>224</v>
      </c>
      <c r="C17" s="76" t="s">
        <v>225</v>
      </c>
      <c r="D17" s="76" t="s">
        <v>224</v>
      </c>
      <c r="E17" s="76" t="s">
        <v>226</v>
      </c>
      <c r="F17" s="76" t="s">
        <v>200</v>
      </c>
      <c r="G17" s="76" t="s">
        <v>284</v>
      </c>
      <c r="H17" s="77" t="b">
        <f>TRUE()</f>
        <v>1</v>
      </c>
      <c r="I17" s="76" t="s">
        <v>28</v>
      </c>
      <c r="J17" s="76" t="s">
        <v>28</v>
      </c>
      <c r="K17" s="76" t="s">
        <v>28</v>
      </c>
      <c r="L17" s="76" t="s">
        <v>28</v>
      </c>
      <c r="M17" s="76" t="s">
        <v>28</v>
      </c>
      <c r="N17" s="76" t="s">
        <v>28</v>
      </c>
      <c r="O17" s="76" t="s">
        <v>28</v>
      </c>
      <c r="P17" s="76" t="s">
        <v>28</v>
      </c>
      <c r="Q17" s="76" t="s">
        <v>28</v>
      </c>
      <c r="R17" s="76" t="s">
        <v>132</v>
      </c>
      <c r="S17" s="76" t="s">
        <v>103</v>
      </c>
      <c r="T17" s="78">
        <v>3187.61</v>
      </c>
      <c r="U17" s="85">
        <v>3178.77</v>
      </c>
      <c r="V17" s="78">
        <v>3999.74</v>
      </c>
      <c r="W17" s="78">
        <v>0</v>
      </c>
      <c r="X17" s="78">
        <v>3175.3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</row>
    <row r="18" spans="1:34" x14ac:dyDescent="0.25">
      <c r="A18" s="76" t="s">
        <v>285</v>
      </c>
      <c r="B18" s="76" t="s">
        <v>224</v>
      </c>
      <c r="C18" s="76" t="s">
        <v>225</v>
      </c>
      <c r="D18" s="76" t="s">
        <v>224</v>
      </c>
      <c r="E18" s="76" t="s">
        <v>226</v>
      </c>
      <c r="F18" s="76" t="s">
        <v>200</v>
      </c>
      <c r="G18" s="76" t="s">
        <v>284</v>
      </c>
      <c r="H18" s="77" t="b">
        <f>TRUE()</f>
        <v>1</v>
      </c>
      <c r="I18" s="76" t="s">
        <v>28</v>
      </c>
      <c r="J18" s="76" t="s">
        <v>28</v>
      </c>
      <c r="K18" s="76" t="s">
        <v>28</v>
      </c>
      <c r="L18" s="76" t="s">
        <v>28</v>
      </c>
      <c r="M18" s="76" t="s">
        <v>28</v>
      </c>
      <c r="N18" s="76" t="s">
        <v>28</v>
      </c>
      <c r="O18" s="76" t="s">
        <v>28</v>
      </c>
      <c r="P18" s="76" t="s">
        <v>28</v>
      </c>
      <c r="Q18" s="76" t="s">
        <v>28</v>
      </c>
      <c r="R18" s="76" t="s">
        <v>133</v>
      </c>
      <c r="S18" s="76" t="s">
        <v>104</v>
      </c>
      <c r="T18" s="78">
        <v>20815.3</v>
      </c>
      <c r="U18" s="85">
        <v>22199.65</v>
      </c>
      <c r="V18" s="78">
        <v>36551.480000000003</v>
      </c>
      <c r="W18" s="78">
        <v>0</v>
      </c>
      <c r="X18" s="78">
        <v>20802.990000000002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</row>
    <row r="19" spans="1:34" x14ac:dyDescent="0.25">
      <c r="A19" s="76" t="s">
        <v>285</v>
      </c>
      <c r="B19" s="76" t="s">
        <v>224</v>
      </c>
      <c r="C19" s="76" t="s">
        <v>225</v>
      </c>
      <c r="D19" s="76" t="s">
        <v>224</v>
      </c>
      <c r="E19" s="76" t="s">
        <v>226</v>
      </c>
      <c r="F19" s="76" t="s">
        <v>200</v>
      </c>
      <c r="G19" s="76" t="s">
        <v>284</v>
      </c>
      <c r="H19" s="77" t="b">
        <f>TRUE()</f>
        <v>1</v>
      </c>
      <c r="I19" s="76" t="s">
        <v>28</v>
      </c>
      <c r="J19" s="76" t="s">
        <v>28</v>
      </c>
      <c r="K19" s="76" t="s">
        <v>28</v>
      </c>
      <c r="L19" s="76" t="s">
        <v>28</v>
      </c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76" t="s">
        <v>259</v>
      </c>
      <c r="S19" s="76" t="s">
        <v>28</v>
      </c>
      <c r="T19" s="78">
        <v>0</v>
      </c>
      <c r="U19" s="85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</row>
    <row r="20" spans="1:34" x14ac:dyDescent="0.25">
      <c r="A20" s="76" t="s">
        <v>285</v>
      </c>
      <c r="B20" s="76" t="s">
        <v>224</v>
      </c>
      <c r="C20" s="76" t="s">
        <v>225</v>
      </c>
      <c r="D20" s="76" t="s">
        <v>224</v>
      </c>
      <c r="E20" s="76" t="s">
        <v>226</v>
      </c>
      <c r="F20" s="76" t="s">
        <v>200</v>
      </c>
      <c r="G20" s="76" t="s">
        <v>284</v>
      </c>
      <c r="H20" s="77" t="b">
        <f>TRUE()</f>
        <v>1</v>
      </c>
      <c r="I20" s="76" t="s">
        <v>28</v>
      </c>
      <c r="J20" s="76" t="s">
        <v>28</v>
      </c>
      <c r="K20" s="76" t="s">
        <v>28</v>
      </c>
      <c r="L20" s="76" t="s">
        <v>28</v>
      </c>
      <c r="M20" s="76" t="s">
        <v>28</v>
      </c>
      <c r="N20" s="76" t="s">
        <v>28</v>
      </c>
      <c r="O20" s="76" t="s">
        <v>28</v>
      </c>
      <c r="P20" s="76" t="s">
        <v>28</v>
      </c>
      <c r="Q20" s="76" t="s">
        <v>28</v>
      </c>
      <c r="R20" s="76" t="s">
        <v>134</v>
      </c>
      <c r="S20" s="76" t="s">
        <v>105</v>
      </c>
      <c r="T20" s="78">
        <v>128352.69</v>
      </c>
      <c r="U20" s="85">
        <v>156367.46</v>
      </c>
      <c r="V20" s="78">
        <v>174317.71</v>
      </c>
      <c r="W20" s="78">
        <v>0</v>
      </c>
      <c r="X20" s="78">
        <v>128479.28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</row>
    <row r="21" spans="1:34" x14ac:dyDescent="0.25">
      <c r="A21" s="76" t="s">
        <v>285</v>
      </c>
      <c r="B21" s="76" t="s">
        <v>224</v>
      </c>
      <c r="C21" s="76" t="s">
        <v>225</v>
      </c>
      <c r="D21" s="76" t="s">
        <v>224</v>
      </c>
      <c r="E21" s="76" t="s">
        <v>226</v>
      </c>
      <c r="F21" s="76" t="s">
        <v>200</v>
      </c>
      <c r="G21" s="76" t="s">
        <v>284</v>
      </c>
      <c r="H21" s="77" t="b">
        <f>TRUE()</f>
        <v>1</v>
      </c>
      <c r="I21" s="76" t="s">
        <v>28</v>
      </c>
      <c r="J21" s="76" t="s">
        <v>28</v>
      </c>
      <c r="K21" s="76" t="s">
        <v>28</v>
      </c>
      <c r="L21" s="76" t="s">
        <v>28</v>
      </c>
      <c r="M21" s="76" t="s">
        <v>28</v>
      </c>
      <c r="N21" s="76" t="s">
        <v>28</v>
      </c>
      <c r="O21" s="76" t="s">
        <v>28</v>
      </c>
      <c r="P21" s="76" t="s">
        <v>28</v>
      </c>
      <c r="Q21" s="76" t="s">
        <v>28</v>
      </c>
      <c r="R21" s="76" t="s">
        <v>260</v>
      </c>
      <c r="S21" s="76" t="s">
        <v>28</v>
      </c>
      <c r="T21" s="78">
        <v>0</v>
      </c>
      <c r="U21" s="85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</row>
    <row r="22" spans="1:34" x14ac:dyDescent="0.25">
      <c r="A22" s="76" t="s">
        <v>285</v>
      </c>
      <c r="B22" s="76" t="s">
        <v>224</v>
      </c>
      <c r="C22" s="76" t="s">
        <v>225</v>
      </c>
      <c r="D22" s="76" t="s">
        <v>224</v>
      </c>
      <c r="E22" s="76" t="s">
        <v>226</v>
      </c>
      <c r="F22" s="76" t="s">
        <v>200</v>
      </c>
      <c r="G22" s="76" t="s">
        <v>284</v>
      </c>
      <c r="H22" s="77" t="b">
        <f>TRUE()</f>
        <v>1</v>
      </c>
      <c r="I22" s="76" t="s">
        <v>28</v>
      </c>
      <c r="J22" s="76" t="s">
        <v>28</v>
      </c>
      <c r="K22" s="76" t="s">
        <v>28</v>
      </c>
      <c r="L22" s="76" t="s">
        <v>28</v>
      </c>
      <c r="M22" s="76" t="s">
        <v>28</v>
      </c>
      <c r="N22" s="76" t="s">
        <v>28</v>
      </c>
      <c r="O22" s="76" t="s">
        <v>28</v>
      </c>
      <c r="P22" s="76" t="s">
        <v>28</v>
      </c>
      <c r="Q22" s="76" t="s">
        <v>28</v>
      </c>
      <c r="R22" s="76" t="s">
        <v>135</v>
      </c>
      <c r="S22" s="76" t="s">
        <v>106</v>
      </c>
      <c r="T22" s="78">
        <v>47535.44</v>
      </c>
      <c r="U22" s="85">
        <v>65341.06</v>
      </c>
      <c r="V22" s="78">
        <v>51643.32</v>
      </c>
      <c r="W22" s="78">
        <v>0</v>
      </c>
      <c r="X22" s="78">
        <v>46181.18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</row>
    <row r="23" spans="1:34" x14ac:dyDescent="0.25">
      <c r="A23" s="76" t="s">
        <v>285</v>
      </c>
      <c r="B23" s="76" t="s">
        <v>224</v>
      </c>
      <c r="C23" s="76" t="s">
        <v>225</v>
      </c>
      <c r="D23" s="76" t="s">
        <v>224</v>
      </c>
      <c r="E23" s="76" t="s">
        <v>226</v>
      </c>
      <c r="F23" s="76" t="s">
        <v>200</v>
      </c>
      <c r="G23" s="76" t="s">
        <v>284</v>
      </c>
      <c r="H23" s="77" t="b">
        <f>TRUE()</f>
        <v>1</v>
      </c>
      <c r="I23" s="76" t="s">
        <v>28</v>
      </c>
      <c r="J23" s="76" t="s">
        <v>28</v>
      </c>
      <c r="K23" s="76" t="s">
        <v>28</v>
      </c>
      <c r="L23" s="76" t="s">
        <v>28</v>
      </c>
      <c r="M23" s="76" t="s">
        <v>28</v>
      </c>
      <c r="N23" s="76" t="s">
        <v>28</v>
      </c>
      <c r="O23" s="76" t="s">
        <v>28</v>
      </c>
      <c r="P23" s="76" t="s">
        <v>28</v>
      </c>
      <c r="Q23" s="76" t="s">
        <v>28</v>
      </c>
      <c r="R23" s="76" t="s">
        <v>136</v>
      </c>
      <c r="S23" s="76" t="s">
        <v>107</v>
      </c>
      <c r="T23" s="78">
        <v>275097.34000000003</v>
      </c>
      <c r="U23" s="85">
        <v>320734.51</v>
      </c>
      <c r="V23" s="78">
        <v>313842.15999999997</v>
      </c>
      <c r="W23" s="78">
        <v>0</v>
      </c>
      <c r="X23" s="78">
        <v>277398.09999999998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</row>
    <row r="24" spans="1:34" x14ac:dyDescent="0.25">
      <c r="A24" s="76" t="s">
        <v>285</v>
      </c>
      <c r="B24" s="76" t="s">
        <v>224</v>
      </c>
      <c r="C24" s="76" t="s">
        <v>225</v>
      </c>
      <c r="D24" s="76" t="s">
        <v>224</v>
      </c>
      <c r="E24" s="76" t="s">
        <v>226</v>
      </c>
      <c r="F24" s="76" t="s">
        <v>200</v>
      </c>
      <c r="G24" s="76" t="s">
        <v>284</v>
      </c>
      <c r="H24" s="77" t="b">
        <f>TRUE()</f>
        <v>1</v>
      </c>
      <c r="I24" s="76" t="s">
        <v>28</v>
      </c>
      <c r="J24" s="76" t="s">
        <v>28</v>
      </c>
      <c r="K24" s="76" t="s">
        <v>28</v>
      </c>
      <c r="L24" s="76" t="s">
        <v>28</v>
      </c>
      <c r="M24" s="76" t="s">
        <v>28</v>
      </c>
      <c r="N24" s="76" t="s">
        <v>28</v>
      </c>
      <c r="O24" s="76" t="s">
        <v>28</v>
      </c>
      <c r="P24" s="76" t="s">
        <v>28</v>
      </c>
      <c r="Q24" s="76" t="s">
        <v>28</v>
      </c>
      <c r="R24" s="76" t="s">
        <v>261</v>
      </c>
      <c r="S24" s="76" t="s">
        <v>293</v>
      </c>
      <c r="T24" s="78">
        <v>26141.1</v>
      </c>
      <c r="U24" s="85">
        <v>33892.15</v>
      </c>
      <c r="V24" s="78">
        <v>43.82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</row>
    <row r="25" spans="1:34" x14ac:dyDescent="0.25">
      <c r="A25" s="76" t="s">
        <v>285</v>
      </c>
      <c r="B25" s="76" t="s">
        <v>224</v>
      </c>
      <c r="C25" s="76" t="s">
        <v>225</v>
      </c>
      <c r="D25" s="76" t="s">
        <v>224</v>
      </c>
      <c r="E25" s="76" t="s">
        <v>226</v>
      </c>
      <c r="F25" s="76" t="s">
        <v>200</v>
      </c>
      <c r="G25" s="76" t="s">
        <v>284</v>
      </c>
      <c r="H25" s="77" t="b">
        <f>TRUE()</f>
        <v>1</v>
      </c>
      <c r="I25" s="76" t="s">
        <v>28</v>
      </c>
      <c r="J25" s="76" t="s">
        <v>28</v>
      </c>
      <c r="K25" s="76" t="s">
        <v>28</v>
      </c>
      <c r="L25" s="76" t="s">
        <v>28</v>
      </c>
      <c r="M25" s="76" t="s">
        <v>28</v>
      </c>
      <c r="N25" s="76" t="s">
        <v>28</v>
      </c>
      <c r="O25" s="76" t="s">
        <v>28</v>
      </c>
      <c r="P25" s="76" t="s">
        <v>28</v>
      </c>
      <c r="Q25" s="76" t="s">
        <v>28</v>
      </c>
      <c r="R25" s="76" t="s">
        <v>137</v>
      </c>
      <c r="S25" s="76" t="s">
        <v>262</v>
      </c>
      <c r="T25" s="78">
        <v>-168138.99</v>
      </c>
      <c r="U25" s="85">
        <v>-195815.96</v>
      </c>
      <c r="V25" s="78">
        <v>-191211.59</v>
      </c>
      <c r="W25" s="78">
        <v>0</v>
      </c>
      <c r="X25" s="78">
        <v>-195100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F25" s="78">
        <v>0</v>
      </c>
      <c r="AG25" s="78">
        <v>0</v>
      </c>
      <c r="AH25" s="78">
        <v>0</v>
      </c>
    </row>
    <row r="26" spans="1:34" x14ac:dyDescent="0.25">
      <c r="A26" s="76" t="s">
        <v>285</v>
      </c>
      <c r="B26" s="76" t="s">
        <v>224</v>
      </c>
      <c r="C26" s="76" t="s">
        <v>225</v>
      </c>
      <c r="D26" s="76" t="s">
        <v>224</v>
      </c>
      <c r="E26" s="76" t="s">
        <v>226</v>
      </c>
      <c r="F26" s="76" t="s">
        <v>200</v>
      </c>
      <c r="G26" s="76" t="s">
        <v>284</v>
      </c>
      <c r="H26" s="77" t="b">
        <f>TRUE()</f>
        <v>1</v>
      </c>
      <c r="I26" s="76" t="s">
        <v>28</v>
      </c>
      <c r="J26" s="76" t="s">
        <v>28</v>
      </c>
      <c r="K26" s="76" t="s">
        <v>28</v>
      </c>
      <c r="L26" s="76" t="s">
        <v>28</v>
      </c>
      <c r="M26" s="76" t="s">
        <v>28</v>
      </c>
      <c r="N26" s="76" t="s">
        <v>28</v>
      </c>
      <c r="O26" s="76" t="s">
        <v>28</v>
      </c>
      <c r="P26" s="76" t="s">
        <v>28</v>
      </c>
      <c r="Q26" s="76" t="s">
        <v>28</v>
      </c>
      <c r="R26" s="76" t="s">
        <v>261</v>
      </c>
      <c r="S26" s="76" t="s">
        <v>28</v>
      </c>
      <c r="T26" s="78">
        <v>0</v>
      </c>
      <c r="U26" s="85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</row>
    <row r="27" spans="1:34" x14ac:dyDescent="0.25">
      <c r="A27" s="76" t="s">
        <v>285</v>
      </c>
      <c r="B27" s="76" t="s">
        <v>224</v>
      </c>
      <c r="C27" s="76" t="s">
        <v>225</v>
      </c>
      <c r="D27" s="76" t="s">
        <v>224</v>
      </c>
      <c r="E27" s="76" t="s">
        <v>226</v>
      </c>
      <c r="F27" s="76" t="s">
        <v>200</v>
      </c>
      <c r="G27" s="76" t="s">
        <v>284</v>
      </c>
      <c r="H27" s="77" t="b">
        <f>TRUE()</f>
        <v>1</v>
      </c>
      <c r="I27" s="76" t="s">
        <v>28</v>
      </c>
      <c r="J27" s="76" t="s">
        <v>28</v>
      </c>
      <c r="K27" s="76" t="s">
        <v>28</v>
      </c>
      <c r="L27" s="76" t="s">
        <v>28</v>
      </c>
      <c r="M27" s="76" t="s">
        <v>28</v>
      </c>
      <c r="N27" s="76" t="s">
        <v>28</v>
      </c>
      <c r="O27" s="76" t="s">
        <v>28</v>
      </c>
      <c r="P27" s="76" t="s">
        <v>28</v>
      </c>
      <c r="Q27" s="76" t="s">
        <v>28</v>
      </c>
      <c r="R27" s="76" t="s">
        <v>263</v>
      </c>
      <c r="S27" s="76" t="s">
        <v>229</v>
      </c>
      <c r="T27" s="78">
        <v>0</v>
      </c>
      <c r="U27" s="85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F27" s="78">
        <v>0</v>
      </c>
      <c r="AG27" s="78">
        <v>0</v>
      </c>
      <c r="AH27" s="78">
        <v>0</v>
      </c>
    </row>
    <row r="28" spans="1:34" x14ac:dyDescent="0.25">
      <c r="A28" s="76" t="s">
        <v>285</v>
      </c>
      <c r="B28" s="76" t="s">
        <v>224</v>
      </c>
      <c r="C28" s="76" t="s">
        <v>225</v>
      </c>
      <c r="D28" s="76" t="s">
        <v>224</v>
      </c>
      <c r="E28" s="76" t="s">
        <v>226</v>
      </c>
      <c r="F28" s="76" t="s">
        <v>200</v>
      </c>
      <c r="G28" s="76" t="s">
        <v>284</v>
      </c>
      <c r="H28" s="77" t="b">
        <f>TRUE()</f>
        <v>1</v>
      </c>
      <c r="I28" s="76" t="s">
        <v>28</v>
      </c>
      <c r="J28" s="76" t="s">
        <v>28</v>
      </c>
      <c r="K28" s="76" t="s">
        <v>28</v>
      </c>
      <c r="L28" s="76" t="s">
        <v>28</v>
      </c>
      <c r="M28" s="76" t="s">
        <v>28</v>
      </c>
      <c r="N28" s="76" t="s">
        <v>28</v>
      </c>
      <c r="O28" s="76" t="s">
        <v>28</v>
      </c>
      <c r="P28" s="76" t="s">
        <v>28</v>
      </c>
      <c r="Q28" s="76" t="s">
        <v>28</v>
      </c>
      <c r="R28" s="76" t="s">
        <v>264</v>
      </c>
      <c r="S28" s="76" t="s">
        <v>108</v>
      </c>
      <c r="T28" s="78">
        <v>-168138.99</v>
      </c>
      <c r="U28" s="85">
        <v>-195815.96</v>
      </c>
      <c r="V28" s="78">
        <v>-191211.59</v>
      </c>
      <c r="W28" s="78">
        <v>0</v>
      </c>
      <c r="X28" s="78">
        <v>-195100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</row>
    <row r="29" spans="1:34" x14ac:dyDescent="0.25">
      <c r="A29" s="76" t="s">
        <v>285</v>
      </c>
      <c r="B29" s="76" t="s">
        <v>224</v>
      </c>
      <c r="C29" s="76" t="s">
        <v>225</v>
      </c>
      <c r="D29" s="76" t="s">
        <v>224</v>
      </c>
      <c r="E29" s="76" t="s">
        <v>226</v>
      </c>
      <c r="F29" s="76" t="s">
        <v>200</v>
      </c>
      <c r="G29" s="76" t="s">
        <v>284</v>
      </c>
      <c r="H29" s="77" t="b">
        <f>TRUE()</f>
        <v>1</v>
      </c>
      <c r="I29" s="76" t="s">
        <v>28</v>
      </c>
      <c r="J29" s="76" t="s">
        <v>28</v>
      </c>
      <c r="K29" s="76" t="s">
        <v>28</v>
      </c>
      <c r="L29" s="76" t="s">
        <v>28</v>
      </c>
      <c r="M29" s="76" t="s">
        <v>28</v>
      </c>
      <c r="N29" s="76" t="s">
        <v>28</v>
      </c>
      <c r="O29" s="76" t="s">
        <v>28</v>
      </c>
      <c r="P29" s="76" t="s">
        <v>28</v>
      </c>
      <c r="Q29" s="76" t="s">
        <v>28</v>
      </c>
      <c r="R29" s="76" t="s">
        <v>265</v>
      </c>
      <c r="S29" s="76" t="s">
        <v>28</v>
      </c>
      <c r="T29" s="78">
        <v>0</v>
      </c>
      <c r="U29" s="85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</row>
    <row r="30" spans="1:34" x14ac:dyDescent="0.25">
      <c r="A30" s="76" t="s">
        <v>285</v>
      </c>
      <c r="B30" s="76" t="s">
        <v>224</v>
      </c>
      <c r="C30" s="76" t="s">
        <v>225</v>
      </c>
      <c r="D30" s="76" t="s">
        <v>224</v>
      </c>
      <c r="E30" s="76" t="s">
        <v>226</v>
      </c>
      <c r="F30" s="76" t="s">
        <v>200</v>
      </c>
      <c r="G30" s="76" t="s">
        <v>284</v>
      </c>
      <c r="H30" s="77" t="b">
        <f>TRUE()</f>
        <v>1</v>
      </c>
      <c r="I30" s="76" t="s">
        <v>28</v>
      </c>
      <c r="J30" s="76" t="s">
        <v>28</v>
      </c>
      <c r="K30" s="76" t="s">
        <v>28</v>
      </c>
      <c r="L30" s="76" t="s">
        <v>28</v>
      </c>
      <c r="M30" s="76" t="s">
        <v>28</v>
      </c>
      <c r="N30" s="76" t="s">
        <v>28</v>
      </c>
      <c r="O30" s="76" t="s">
        <v>28</v>
      </c>
      <c r="P30" s="76" t="s">
        <v>28</v>
      </c>
      <c r="Q30" s="76" t="s">
        <v>28</v>
      </c>
      <c r="R30" s="76" t="s">
        <v>138</v>
      </c>
      <c r="S30" s="76" t="s">
        <v>266</v>
      </c>
      <c r="T30" s="78">
        <v>3175.8</v>
      </c>
      <c r="U30" s="85">
        <v>3349.59</v>
      </c>
      <c r="V30" s="78">
        <v>3509.08</v>
      </c>
      <c r="W30" s="78">
        <v>0</v>
      </c>
      <c r="X30" s="78">
        <v>3172.4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  <c r="AF30" s="78">
        <v>0</v>
      </c>
      <c r="AG30" s="78">
        <v>0</v>
      </c>
      <c r="AH30" s="78">
        <v>0</v>
      </c>
    </row>
    <row r="31" spans="1:34" x14ac:dyDescent="0.25">
      <c r="A31" s="76" t="s">
        <v>285</v>
      </c>
      <c r="B31" s="76" t="s">
        <v>224</v>
      </c>
      <c r="C31" s="76" t="s">
        <v>225</v>
      </c>
      <c r="D31" s="76" t="s">
        <v>224</v>
      </c>
      <c r="E31" s="76" t="s">
        <v>226</v>
      </c>
      <c r="F31" s="76" t="s">
        <v>200</v>
      </c>
      <c r="G31" s="76" t="s">
        <v>284</v>
      </c>
      <c r="H31" s="77" t="b">
        <f>TRUE()</f>
        <v>1</v>
      </c>
      <c r="I31" s="76" t="s">
        <v>28</v>
      </c>
      <c r="J31" s="76" t="s">
        <v>28</v>
      </c>
      <c r="K31" s="76" t="s">
        <v>28</v>
      </c>
      <c r="L31" s="76" t="s">
        <v>28</v>
      </c>
      <c r="M31" s="76" t="s">
        <v>28</v>
      </c>
      <c r="N31" s="76" t="s">
        <v>28</v>
      </c>
      <c r="O31" s="76" t="s">
        <v>28</v>
      </c>
      <c r="P31" s="76" t="s">
        <v>28</v>
      </c>
      <c r="Q31" s="76" t="s">
        <v>28</v>
      </c>
      <c r="R31" s="76" t="s">
        <v>139</v>
      </c>
      <c r="S31" s="76" t="s">
        <v>110</v>
      </c>
      <c r="T31" s="78">
        <v>60503.02</v>
      </c>
      <c r="U31" s="85">
        <v>60503.01</v>
      </c>
      <c r="V31" s="78">
        <v>28194.69</v>
      </c>
      <c r="W31" s="78">
        <v>0</v>
      </c>
      <c r="X31" s="78">
        <v>60503.02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  <c r="AF31" s="78">
        <v>0</v>
      </c>
      <c r="AG31" s="78">
        <v>0</v>
      </c>
      <c r="AH31" s="78">
        <v>0</v>
      </c>
    </row>
    <row r="32" spans="1:34" x14ac:dyDescent="0.25">
      <c r="A32" s="76" t="s">
        <v>285</v>
      </c>
      <c r="B32" s="76" t="s">
        <v>224</v>
      </c>
      <c r="C32" s="76" t="s">
        <v>225</v>
      </c>
      <c r="D32" s="76" t="s">
        <v>224</v>
      </c>
      <c r="E32" s="76" t="s">
        <v>226</v>
      </c>
      <c r="F32" s="76" t="s">
        <v>200</v>
      </c>
      <c r="G32" s="76" t="s">
        <v>284</v>
      </c>
      <c r="H32" s="77" t="b">
        <f>TRUE()</f>
        <v>1</v>
      </c>
      <c r="I32" s="76" t="s">
        <v>28</v>
      </c>
      <c r="J32" s="76" t="s">
        <v>28</v>
      </c>
      <c r="K32" s="76" t="s">
        <v>28</v>
      </c>
      <c r="L32" s="76" t="s">
        <v>28</v>
      </c>
      <c r="M32" s="76" t="s">
        <v>28</v>
      </c>
      <c r="N32" s="76" t="s">
        <v>28</v>
      </c>
      <c r="O32" s="76" t="s">
        <v>28</v>
      </c>
      <c r="P32" s="76" t="s">
        <v>28</v>
      </c>
      <c r="Q32" s="76" t="s">
        <v>28</v>
      </c>
      <c r="R32" s="76" t="s">
        <v>140</v>
      </c>
      <c r="S32" s="76" t="s">
        <v>111</v>
      </c>
      <c r="T32" s="78">
        <v>27960.13</v>
      </c>
      <c r="U32" s="85">
        <v>22176.97</v>
      </c>
      <c r="V32" s="78">
        <v>16806.580000000002</v>
      </c>
      <c r="W32" s="78">
        <v>0</v>
      </c>
      <c r="X32" s="78">
        <v>27960.13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  <c r="AF32" s="78">
        <v>0</v>
      </c>
      <c r="AG32" s="78">
        <v>0</v>
      </c>
      <c r="AH32" s="78">
        <v>0</v>
      </c>
    </row>
    <row r="33" spans="1:34" x14ac:dyDescent="0.25">
      <c r="A33" s="76" t="s">
        <v>285</v>
      </c>
      <c r="B33" s="76" t="s">
        <v>224</v>
      </c>
      <c r="C33" s="76" t="s">
        <v>225</v>
      </c>
      <c r="D33" s="76" t="s">
        <v>224</v>
      </c>
      <c r="E33" s="76" t="s">
        <v>226</v>
      </c>
      <c r="F33" s="76" t="s">
        <v>200</v>
      </c>
      <c r="G33" s="76" t="s">
        <v>284</v>
      </c>
      <c r="H33" s="77" t="b">
        <f>TRUE()</f>
        <v>1</v>
      </c>
      <c r="I33" s="76" t="s">
        <v>28</v>
      </c>
      <c r="J33" s="76" t="s">
        <v>28</v>
      </c>
      <c r="K33" s="76" t="s">
        <v>28</v>
      </c>
      <c r="L33" s="76" t="s">
        <v>28</v>
      </c>
      <c r="M33" s="76" t="s">
        <v>28</v>
      </c>
      <c r="N33" s="76" t="s">
        <v>28</v>
      </c>
      <c r="O33" s="76" t="s">
        <v>28</v>
      </c>
      <c r="P33" s="76" t="s">
        <v>28</v>
      </c>
      <c r="Q33" s="76" t="s">
        <v>28</v>
      </c>
      <c r="R33" s="76" t="s">
        <v>141</v>
      </c>
      <c r="S33" s="76" t="s">
        <v>143</v>
      </c>
      <c r="T33" s="78">
        <v>5384</v>
      </c>
      <c r="U33" s="85">
        <v>11675.6</v>
      </c>
      <c r="V33" s="78">
        <v>8716.94</v>
      </c>
      <c r="W33" s="78">
        <v>0</v>
      </c>
      <c r="X33" s="78">
        <v>4684.17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</row>
    <row r="34" spans="1:34" x14ac:dyDescent="0.25">
      <c r="A34" s="76" t="s">
        <v>285</v>
      </c>
      <c r="B34" s="76" t="s">
        <v>224</v>
      </c>
      <c r="C34" s="76" t="s">
        <v>225</v>
      </c>
      <c r="D34" s="76" t="s">
        <v>224</v>
      </c>
      <c r="E34" s="76" t="s">
        <v>226</v>
      </c>
      <c r="F34" s="76" t="s">
        <v>200</v>
      </c>
      <c r="G34" s="76" t="s">
        <v>284</v>
      </c>
      <c r="H34" s="77" t="b">
        <f>TRUE()</f>
        <v>1</v>
      </c>
      <c r="I34" s="76" t="s">
        <v>28</v>
      </c>
      <c r="J34" s="76" t="s">
        <v>28</v>
      </c>
      <c r="K34" s="76" t="s">
        <v>28</v>
      </c>
      <c r="L34" s="76" t="s">
        <v>28</v>
      </c>
      <c r="M34" s="76" t="s">
        <v>28</v>
      </c>
      <c r="N34" s="76" t="s">
        <v>28</v>
      </c>
      <c r="O34" s="76" t="s">
        <v>28</v>
      </c>
      <c r="P34" s="76" t="s">
        <v>28</v>
      </c>
      <c r="Q34" s="76" t="s">
        <v>28</v>
      </c>
      <c r="R34" s="76" t="s">
        <v>28</v>
      </c>
      <c r="S34" s="76" t="s">
        <v>227</v>
      </c>
      <c r="T34" s="78">
        <v>-265161.94</v>
      </c>
      <c r="U34" s="85">
        <v>-293521.13</v>
      </c>
      <c r="V34" s="78">
        <v>-248438.88</v>
      </c>
      <c r="W34" s="78">
        <v>0</v>
      </c>
      <c r="X34" s="78">
        <v>-291419.71999999997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</row>
    <row r="35" spans="1:34" x14ac:dyDescent="0.25"/>
    <row r="36" spans="1:34" x14ac:dyDescent="0.25"/>
    <row r="37" spans="1:34" x14ac:dyDescent="0.25"/>
    <row r="38" spans="1:34" x14ac:dyDescent="0.25"/>
    <row r="39" spans="1:34" x14ac:dyDescent="0.25"/>
    <row r="40" spans="1:34" x14ac:dyDescent="0.25"/>
    <row r="41" spans="1:34" x14ac:dyDescent="0.25"/>
    <row r="42" spans="1:34" x14ac:dyDescent="0.25"/>
    <row r="43" spans="1:34" x14ac:dyDescent="0.25"/>
    <row r="44" spans="1:34" x14ac:dyDescent="0.25"/>
    <row r="45" spans="1:34" x14ac:dyDescent="0.25"/>
    <row r="46" spans="1:34" x14ac:dyDescent="0.25"/>
    <row r="47" spans="1:34" x14ac:dyDescent="0.25"/>
    <row r="48" spans="1:34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B21D-0F77-4936-AE26-092A58B53811}">
  <sheetPr>
    <tabColor rgb="FF92D050"/>
  </sheetPr>
  <dimension ref="A1:AH1000"/>
  <sheetViews>
    <sheetView topLeftCell="N1" zoomScaleNormal="100" workbookViewId="0">
      <selection activeCell="A4" sqref="A4"/>
    </sheetView>
  </sheetViews>
  <sheetFormatPr defaultRowHeight="15" customHeight="1" x14ac:dyDescent="0.25"/>
  <cols>
    <col min="1" max="1" width="16.85546875" style="115" bestFit="1" customWidth="1"/>
    <col min="2" max="2" width="8" style="115" bestFit="1" customWidth="1"/>
    <col min="3" max="3" width="12.85546875" style="115" bestFit="1" customWidth="1"/>
    <col min="4" max="4" width="15.7109375" style="115" bestFit="1" customWidth="1"/>
    <col min="5" max="5" width="18.7109375" style="115" bestFit="1" customWidth="1"/>
    <col min="6" max="6" width="9.5703125" style="115" bestFit="1" customWidth="1"/>
    <col min="7" max="7" width="11.85546875" style="115" bestFit="1" customWidth="1"/>
    <col min="8" max="8" width="15.140625" style="115" bestFit="1" customWidth="1"/>
    <col min="9" max="9" width="14.5703125" style="115" bestFit="1" customWidth="1"/>
    <col min="10" max="10" width="18.42578125" style="115" bestFit="1" customWidth="1"/>
    <col min="11" max="11" width="19.7109375" style="115" bestFit="1" customWidth="1"/>
    <col min="12" max="12" width="17.85546875" style="115" bestFit="1" customWidth="1"/>
    <col min="13" max="13" width="18" style="115" bestFit="1" customWidth="1"/>
    <col min="14" max="14" width="17.85546875" style="115" bestFit="1" customWidth="1"/>
    <col min="15" max="15" width="16.5703125" style="115" bestFit="1" customWidth="1"/>
    <col min="16" max="16" width="17.5703125" style="115" bestFit="1" customWidth="1"/>
    <col min="17" max="17" width="18.42578125" style="115" bestFit="1" customWidth="1"/>
    <col min="18" max="18" width="10.140625" style="115" bestFit="1" customWidth="1"/>
    <col min="19" max="19" width="13.85546875" style="115" bestFit="1" customWidth="1"/>
    <col min="20" max="20" width="13.28515625" style="115" bestFit="1" customWidth="1"/>
    <col min="21" max="21" width="12.42578125" style="115" bestFit="1" customWidth="1"/>
    <col min="22" max="27" width="12.140625" style="115" bestFit="1" customWidth="1"/>
    <col min="28" max="28" width="12.85546875" style="115" bestFit="1" customWidth="1"/>
    <col min="29" max="29" width="12.140625" style="115" bestFit="1" customWidth="1"/>
    <col min="30" max="31" width="12.28515625" style="115" bestFit="1" customWidth="1"/>
    <col min="32" max="32" width="12.140625" style="115" bestFit="1" customWidth="1"/>
    <col min="33" max="33" width="4.42578125" style="115" bestFit="1" customWidth="1"/>
    <col min="34" max="34" width="4.5703125" style="115" bestFit="1" customWidth="1"/>
    <col min="35" max="16384" width="9.140625" style="115"/>
  </cols>
  <sheetData>
    <row r="1" spans="1:34" x14ac:dyDescent="0.25">
      <c r="A1" s="121" t="s">
        <v>164</v>
      </c>
      <c r="B1" s="121" t="s">
        <v>165</v>
      </c>
      <c r="C1" s="121" t="s">
        <v>166</v>
      </c>
      <c r="D1" s="121" t="s">
        <v>167</v>
      </c>
      <c r="E1" s="121" t="s">
        <v>168</v>
      </c>
      <c r="F1" s="121" t="s">
        <v>169</v>
      </c>
      <c r="G1" s="121" t="s">
        <v>170</v>
      </c>
      <c r="H1" s="121" t="s">
        <v>171</v>
      </c>
      <c r="I1" s="121" t="s">
        <v>172</v>
      </c>
      <c r="J1" s="121" t="s">
        <v>173</v>
      </c>
      <c r="K1" s="121" t="s">
        <v>174</v>
      </c>
      <c r="L1" s="121" t="s">
        <v>175</v>
      </c>
      <c r="M1" s="121" t="s">
        <v>176</v>
      </c>
      <c r="N1" s="121" t="s">
        <v>177</v>
      </c>
      <c r="O1" s="121" t="s">
        <v>178</v>
      </c>
      <c r="P1" s="121" t="s">
        <v>179</v>
      </c>
      <c r="Q1" s="121" t="s">
        <v>180</v>
      </c>
      <c r="R1" s="121" t="s">
        <v>181</v>
      </c>
      <c r="S1" s="121" t="s">
        <v>182</v>
      </c>
      <c r="T1" s="121" t="s">
        <v>212</v>
      </c>
      <c r="U1" s="121" t="s">
        <v>213</v>
      </c>
      <c r="V1" s="121" t="s">
        <v>214</v>
      </c>
      <c r="W1" s="121" t="s">
        <v>215</v>
      </c>
      <c r="X1" s="121" t="s">
        <v>24</v>
      </c>
      <c r="Y1" s="121" t="s">
        <v>216</v>
      </c>
      <c r="Z1" s="121" t="s">
        <v>217</v>
      </c>
      <c r="AA1" s="121" t="s">
        <v>218</v>
      </c>
      <c r="AB1" s="121" t="s">
        <v>219</v>
      </c>
      <c r="AC1" s="121" t="s">
        <v>220</v>
      </c>
      <c r="AD1" s="121" t="s">
        <v>221</v>
      </c>
      <c r="AE1" s="121" t="s">
        <v>222</v>
      </c>
      <c r="AF1" s="121" t="s">
        <v>123</v>
      </c>
      <c r="AG1" s="121" t="s">
        <v>187</v>
      </c>
      <c r="AH1" s="121" t="s">
        <v>188</v>
      </c>
    </row>
    <row r="2" spans="1:34" x14ac:dyDescent="0.25">
      <c r="A2" s="118" t="s">
        <v>286</v>
      </c>
      <c r="B2" s="118" t="s">
        <v>197</v>
      </c>
      <c r="C2" s="118" t="s">
        <v>198</v>
      </c>
      <c r="D2" s="118" t="s">
        <v>197</v>
      </c>
      <c r="E2" s="118" t="s">
        <v>223</v>
      </c>
      <c r="F2" s="118" t="s">
        <v>200</v>
      </c>
      <c r="G2" s="118" t="s">
        <v>284</v>
      </c>
      <c r="H2" s="119" t="b">
        <f>FALSE()</f>
        <v>0</v>
      </c>
      <c r="I2" s="118" t="s">
        <v>28</v>
      </c>
      <c r="J2" s="118" t="s">
        <v>28</v>
      </c>
      <c r="K2" s="118" t="s">
        <v>28</v>
      </c>
      <c r="L2" s="118" t="s">
        <v>28</v>
      </c>
      <c r="M2" s="118" t="s">
        <v>28</v>
      </c>
      <c r="N2" s="118" t="s">
        <v>28</v>
      </c>
      <c r="O2" s="118" t="s">
        <v>28</v>
      </c>
      <c r="P2" s="118" t="s">
        <v>28</v>
      </c>
      <c r="Q2" s="118" t="s">
        <v>28</v>
      </c>
      <c r="R2" s="118" t="s">
        <v>28</v>
      </c>
      <c r="S2" s="118" t="s">
        <v>201</v>
      </c>
      <c r="T2" s="85">
        <v>0</v>
      </c>
      <c r="U2" s="85">
        <v>0</v>
      </c>
      <c r="V2" s="85">
        <v>0</v>
      </c>
      <c r="W2" s="85">
        <v>0</v>
      </c>
      <c r="X2" s="85">
        <v>0</v>
      </c>
      <c r="Y2" s="85">
        <v>0</v>
      </c>
      <c r="Z2" s="78">
        <v>0</v>
      </c>
      <c r="AA2" s="78">
        <v>0</v>
      </c>
      <c r="AB2" s="78">
        <v>0</v>
      </c>
      <c r="AC2" s="116">
        <v>0</v>
      </c>
      <c r="AD2" s="116">
        <v>0</v>
      </c>
      <c r="AE2" s="116">
        <v>0</v>
      </c>
      <c r="AF2" s="85">
        <v>0</v>
      </c>
      <c r="AG2" s="116">
        <v>0</v>
      </c>
      <c r="AH2" s="116">
        <v>0</v>
      </c>
    </row>
    <row r="3" spans="1:34" x14ac:dyDescent="0.25">
      <c r="A3" s="118" t="s">
        <v>286</v>
      </c>
      <c r="B3" s="118" t="s">
        <v>197</v>
      </c>
      <c r="C3" s="118" t="s">
        <v>198</v>
      </c>
      <c r="D3" s="118" t="s">
        <v>197</v>
      </c>
      <c r="E3" s="118" t="s">
        <v>223</v>
      </c>
      <c r="F3" s="118" t="s">
        <v>200</v>
      </c>
      <c r="G3" s="118" t="s">
        <v>284</v>
      </c>
      <c r="H3" s="119" t="b">
        <f>FALSE()</f>
        <v>0</v>
      </c>
      <c r="I3" s="118" t="s">
        <v>28</v>
      </c>
      <c r="J3" s="118" t="s">
        <v>28</v>
      </c>
      <c r="K3" s="118" t="s">
        <v>28</v>
      </c>
      <c r="L3" s="118" t="s">
        <v>28</v>
      </c>
      <c r="M3" s="118" t="s">
        <v>28</v>
      </c>
      <c r="N3" s="118" t="s">
        <v>28</v>
      </c>
      <c r="O3" s="118" t="s">
        <v>28</v>
      </c>
      <c r="P3" s="118" t="s">
        <v>28</v>
      </c>
      <c r="Q3" s="118" t="s">
        <v>28</v>
      </c>
      <c r="R3" s="118" t="s">
        <v>29</v>
      </c>
      <c r="S3" s="118" t="s">
        <v>30</v>
      </c>
      <c r="T3" s="85">
        <v>0</v>
      </c>
      <c r="U3" s="85">
        <v>0</v>
      </c>
      <c r="V3" s="85">
        <v>0</v>
      </c>
      <c r="W3" s="85">
        <v>0</v>
      </c>
      <c r="X3" s="85">
        <v>0</v>
      </c>
      <c r="Y3" s="85">
        <v>0</v>
      </c>
      <c r="Z3" s="78">
        <v>0</v>
      </c>
      <c r="AA3" s="78">
        <v>0</v>
      </c>
      <c r="AB3" s="78">
        <v>0</v>
      </c>
      <c r="AC3" s="116">
        <v>0</v>
      </c>
      <c r="AD3" s="116">
        <v>0</v>
      </c>
      <c r="AE3" s="116">
        <v>0</v>
      </c>
      <c r="AF3" s="85">
        <v>0</v>
      </c>
      <c r="AG3" s="116">
        <v>0</v>
      </c>
      <c r="AH3" s="116">
        <v>0</v>
      </c>
    </row>
    <row r="4" spans="1:34" x14ac:dyDescent="0.25">
      <c r="A4" s="118" t="s">
        <v>286</v>
      </c>
      <c r="B4" s="118" t="s">
        <v>197</v>
      </c>
      <c r="C4" s="118" t="s">
        <v>198</v>
      </c>
      <c r="D4" s="118" t="s">
        <v>197</v>
      </c>
      <c r="E4" s="118" t="s">
        <v>223</v>
      </c>
      <c r="F4" s="118" t="s">
        <v>200</v>
      </c>
      <c r="G4" s="118" t="s">
        <v>284</v>
      </c>
      <c r="H4" s="119" t="b">
        <f>FALSE()</f>
        <v>0</v>
      </c>
      <c r="I4" s="118" t="s">
        <v>28</v>
      </c>
      <c r="J4" s="118" t="s">
        <v>28</v>
      </c>
      <c r="K4" s="118" t="s">
        <v>28</v>
      </c>
      <c r="L4" s="118" t="s">
        <v>28</v>
      </c>
      <c r="M4" s="118" t="s">
        <v>28</v>
      </c>
      <c r="N4" s="118" t="s">
        <v>28</v>
      </c>
      <c r="O4" s="118" t="s">
        <v>28</v>
      </c>
      <c r="P4" s="118" t="s">
        <v>28</v>
      </c>
      <c r="Q4" s="118" t="s">
        <v>28</v>
      </c>
      <c r="R4" s="118" t="s">
        <v>31</v>
      </c>
      <c r="S4" s="118" t="s">
        <v>32</v>
      </c>
      <c r="T4" s="85">
        <v>794294.22</v>
      </c>
      <c r="U4" s="85">
        <v>760065.78</v>
      </c>
      <c r="V4" s="85">
        <v>689215.17</v>
      </c>
      <c r="W4" s="85">
        <v>828564.78</v>
      </c>
      <c r="X4" s="85">
        <v>888683.76</v>
      </c>
      <c r="Y4" s="85">
        <v>653154.78</v>
      </c>
      <c r="Z4" s="78">
        <v>511499.83</v>
      </c>
      <c r="AA4" s="78">
        <v>445399.48</v>
      </c>
      <c r="AB4" s="78">
        <v>537995.66</v>
      </c>
      <c r="AC4" s="116">
        <v>0</v>
      </c>
      <c r="AD4" s="116">
        <v>0</v>
      </c>
      <c r="AE4" s="116">
        <v>0</v>
      </c>
      <c r="AF4" s="85">
        <v>794226</v>
      </c>
      <c r="AG4" s="116">
        <v>0</v>
      </c>
      <c r="AH4" s="116">
        <v>0</v>
      </c>
    </row>
    <row r="5" spans="1:34" x14ac:dyDescent="0.25">
      <c r="A5" s="118" t="s">
        <v>286</v>
      </c>
      <c r="B5" s="118" t="s">
        <v>197</v>
      </c>
      <c r="C5" s="118" t="s">
        <v>198</v>
      </c>
      <c r="D5" s="118" t="s">
        <v>197</v>
      </c>
      <c r="E5" s="118" t="s">
        <v>223</v>
      </c>
      <c r="F5" s="118" t="s">
        <v>200</v>
      </c>
      <c r="G5" s="118" t="s">
        <v>284</v>
      </c>
      <c r="H5" s="119" t="b">
        <f>FALSE()</f>
        <v>0</v>
      </c>
      <c r="I5" s="118" t="s">
        <v>28</v>
      </c>
      <c r="J5" s="118" t="s">
        <v>28</v>
      </c>
      <c r="K5" s="118" t="s">
        <v>28</v>
      </c>
      <c r="L5" s="118" t="s">
        <v>28</v>
      </c>
      <c r="M5" s="118" t="s">
        <v>28</v>
      </c>
      <c r="N5" s="118" t="s">
        <v>28</v>
      </c>
      <c r="O5" s="118" t="s">
        <v>28</v>
      </c>
      <c r="P5" s="118" t="s">
        <v>28</v>
      </c>
      <c r="Q5" s="118" t="s">
        <v>28</v>
      </c>
      <c r="R5" s="118" t="s">
        <v>33</v>
      </c>
      <c r="S5" s="118" t="s">
        <v>34</v>
      </c>
      <c r="T5" s="85">
        <v>1012498.89</v>
      </c>
      <c r="U5" s="85">
        <v>1178406.3700000001</v>
      </c>
      <c r="V5" s="85">
        <v>1172488.3400000001</v>
      </c>
      <c r="W5" s="85">
        <v>1229612.8</v>
      </c>
      <c r="X5" s="85">
        <v>1285940.69</v>
      </c>
      <c r="Y5" s="85">
        <v>1368511.55</v>
      </c>
      <c r="Z5" s="78">
        <v>1435517.75</v>
      </c>
      <c r="AA5" s="78">
        <v>1548630.62</v>
      </c>
      <c r="AB5" s="78">
        <v>1645999.08</v>
      </c>
      <c r="AC5" s="116">
        <v>0</v>
      </c>
      <c r="AD5" s="116">
        <v>0</v>
      </c>
      <c r="AE5" s="116">
        <v>0</v>
      </c>
      <c r="AF5" s="85">
        <v>1010459</v>
      </c>
      <c r="AG5" s="116">
        <v>0</v>
      </c>
      <c r="AH5" s="116">
        <v>0</v>
      </c>
    </row>
    <row r="6" spans="1:34" x14ac:dyDescent="0.25">
      <c r="A6" s="118" t="s">
        <v>286</v>
      </c>
      <c r="B6" s="118" t="s">
        <v>197</v>
      </c>
      <c r="C6" s="118" t="s">
        <v>198</v>
      </c>
      <c r="D6" s="118" t="s">
        <v>197</v>
      </c>
      <c r="E6" s="118" t="s">
        <v>223</v>
      </c>
      <c r="F6" s="118" t="s">
        <v>200</v>
      </c>
      <c r="G6" s="118" t="s">
        <v>284</v>
      </c>
      <c r="H6" s="119" t="b">
        <f>FALSE()</f>
        <v>0</v>
      </c>
      <c r="I6" s="118" t="s">
        <v>28</v>
      </c>
      <c r="J6" s="118" t="s">
        <v>28</v>
      </c>
      <c r="K6" s="118" t="s">
        <v>28</v>
      </c>
      <c r="L6" s="118" t="s">
        <v>28</v>
      </c>
      <c r="M6" s="118" t="s">
        <v>28</v>
      </c>
      <c r="N6" s="118" t="s">
        <v>28</v>
      </c>
      <c r="O6" s="118" t="s">
        <v>28</v>
      </c>
      <c r="P6" s="118" t="s">
        <v>28</v>
      </c>
      <c r="Q6" s="118" t="s">
        <v>28</v>
      </c>
      <c r="R6" s="118" t="s">
        <v>35</v>
      </c>
      <c r="S6" s="118" t="s">
        <v>36</v>
      </c>
      <c r="T6" s="85">
        <v>982416.07</v>
      </c>
      <c r="U6" s="85">
        <v>1106887.96</v>
      </c>
      <c r="V6" s="85">
        <v>1146508.8999999999</v>
      </c>
      <c r="W6" s="85">
        <v>1222569.72</v>
      </c>
      <c r="X6" s="85">
        <v>1301171.1000000001</v>
      </c>
      <c r="Y6" s="85">
        <v>1324774.06</v>
      </c>
      <c r="Z6" s="78">
        <v>1515179.86</v>
      </c>
      <c r="AA6" s="78">
        <v>1566113.02</v>
      </c>
      <c r="AB6" s="78">
        <v>1623863.2</v>
      </c>
      <c r="AC6" s="116">
        <v>0</v>
      </c>
      <c r="AD6" s="116">
        <v>0</v>
      </c>
      <c r="AE6" s="116">
        <v>0</v>
      </c>
      <c r="AF6" s="85">
        <v>984666</v>
      </c>
      <c r="AG6" s="116">
        <v>0</v>
      </c>
      <c r="AH6" s="116">
        <v>0</v>
      </c>
    </row>
    <row r="7" spans="1:34" x14ac:dyDescent="0.25">
      <c r="A7" s="118" t="s">
        <v>286</v>
      </c>
      <c r="B7" s="118" t="s">
        <v>197</v>
      </c>
      <c r="C7" s="118" t="s">
        <v>198</v>
      </c>
      <c r="D7" s="118" t="s">
        <v>197</v>
      </c>
      <c r="E7" s="118" t="s">
        <v>223</v>
      </c>
      <c r="F7" s="118" t="s">
        <v>200</v>
      </c>
      <c r="G7" s="118" t="s">
        <v>284</v>
      </c>
      <c r="H7" s="119" t="b">
        <f>FALSE()</f>
        <v>0</v>
      </c>
      <c r="I7" s="118" t="s">
        <v>28</v>
      </c>
      <c r="J7" s="118" t="s">
        <v>28</v>
      </c>
      <c r="K7" s="118" t="s">
        <v>28</v>
      </c>
      <c r="L7" s="118" t="s">
        <v>28</v>
      </c>
      <c r="M7" s="118" t="s">
        <v>28</v>
      </c>
      <c r="N7" s="118" t="s">
        <v>28</v>
      </c>
      <c r="O7" s="118" t="s">
        <v>28</v>
      </c>
      <c r="P7" s="118" t="s">
        <v>28</v>
      </c>
      <c r="Q7" s="118" t="s">
        <v>28</v>
      </c>
      <c r="R7" s="118" t="s">
        <v>37</v>
      </c>
      <c r="S7" s="118" t="s">
        <v>38</v>
      </c>
      <c r="T7" s="85">
        <v>250633.59</v>
      </c>
      <c r="U7" s="85">
        <v>241222.22</v>
      </c>
      <c r="V7" s="85">
        <v>226124.11</v>
      </c>
      <c r="W7" s="85">
        <v>222716.97</v>
      </c>
      <c r="X7" s="85">
        <v>200695.6</v>
      </c>
      <c r="Y7" s="85">
        <v>179384.61</v>
      </c>
      <c r="Z7" s="78">
        <v>176608.82</v>
      </c>
      <c r="AA7" s="78">
        <v>175775.56</v>
      </c>
      <c r="AB7" s="78">
        <v>181855.23</v>
      </c>
      <c r="AC7" s="116">
        <v>0</v>
      </c>
      <c r="AD7" s="116">
        <v>0</v>
      </c>
      <c r="AE7" s="116">
        <v>0</v>
      </c>
      <c r="AF7" s="85">
        <v>243756</v>
      </c>
      <c r="AG7" s="116">
        <v>0</v>
      </c>
      <c r="AH7" s="116">
        <v>0</v>
      </c>
    </row>
    <row r="8" spans="1:34" x14ac:dyDescent="0.25">
      <c r="A8" s="118" t="s">
        <v>286</v>
      </c>
      <c r="B8" s="118" t="s">
        <v>197</v>
      </c>
      <c r="C8" s="118" t="s">
        <v>198</v>
      </c>
      <c r="D8" s="118" t="s">
        <v>197</v>
      </c>
      <c r="E8" s="118" t="s">
        <v>223</v>
      </c>
      <c r="F8" s="118" t="s">
        <v>200</v>
      </c>
      <c r="G8" s="118" t="s">
        <v>284</v>
      </c>
      <c r="H8" s="119" t="b">
        <f>FALSE()</f>
        <v>0</v>
      </c>
      <c r="I8" s="118" t="s">
        <v>28</v>
      </c>
      <c r="J8" s="118" t="s">
        <v>28</v>
      </c>
      <c r="K8" s="118" t="s">
        <v>28</v>
      </c>
      <c r="L8" s="118" t="s">
        <v>28</v>
      </c>
      <c r="M8" s="118" t="s">
        <v>28</v>
      </c>
      <c r="N8" s="118" t="s">
        <v>28</v>
      </c>
      <c r="O8" s="118" t="s">
        <v>28</v>
      </c>
      <c r="P8" s="118" t="s">
        <v>28</v>
      </c>
      <c r="Q8" s="118" t="s">
        <v>28</v>
      </c>
      <c r="R8" s="118" t="s">
        <v>39</v>
      </c>
      <c r="S8" s="118" t="s">
        <v>40</v>
      </c>
      <c r="T8" s="85">
        <v>3039842.77</v>
      </c>
      <c r="U8" s="85">
        <v>3286582.33</v>
      </c>
      <c r="V8" s="85">
        <v>3234336.52</v>
      </c>
      <c r="W8" s="85">
        <v>3503464.27</v>
      </c>
      <c r="X8" s="85">
        <v>3676491.15</v>
      </c>
      <c r="Y8" s="85">
        <v>3525825</v>
      </c>
      <c r="Z8" s="78">
        <v>3638806.26</v>
      </c>
      <c r="AA8" s="78">
        <v>3735918.68</v>
      </c>
      <c r="AB8" s="78">
        <v>3989713.17</v>
      </c>
      <c r="AC8" s="116">
        <v>0</v>
      </c>
      <c r="AD8" s="116">
        <v>0</v>
      </c>
      <c r="AE8" s="116">
        <v>0</v>
      </c>
      <c r="AF8" s="85">
        <v>3033107</v>
      </c>
      <c r="AG8" s="116">
        <v>0</v>
      </c>
      <c r="AH8" s="116">
        <v>0</v>
      </c>
    </row>
    <row r="9" spans="1:34" x14ac:dyDescent="0.25">
      <c r="A9" s="118" t="s">
        <v>286</v>
      </c>
      <c r="B9" s="118" t="s">
        <v>197</v>
      </c>
      <c r="C9" s="118" t="s">
        <v>198</v>
      </c>
      <c r="D9" s="118" t="s">
        <v>197</v>
      </c>
      <c r="E9" s="118" t="s">
        <v>223</v>
      </c>
      <c r="F9" s="118" t="s">
        <v>200</v>
      </c>
      <c r="G9" s="118" t="s">
        <v>284</v>
      </c>
      <c r="H9" s="119" t="b">
        <f>FALSE()</f>
        <v>0</v>
      </c>
      <c r="I9" s="118" t="s">
        <v>28</v>
      </c>
      <c r="J9" s="118" t="s">
        <v>28</v>
      </c>
      <c r="K9" s="118" t="s">
        <v>28</v>
      </c>
      <c r="L9" s="118" t="s">
        <v>28</v>
      </c>
      <c r="M9" s="118" t="s">
        <v>28</v>
      </c>
      <c r="N9" s="118" t="s">
        <v>28</v>
      </c>
      <c r="O9" s="118" t="s">
        <v>28</v>
      </c>
      <c r="P9" s="118" t="s">
        <v>28</v>
      </c>
      <c r="Q9" s="118" t="s">
        <v>28</v>
      </c>
      <c r="R9" s="118" t="s">
        <v>28</v>
      </c>
      <c r="S9" s="118" t="s">
        <v>28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0</v>
      </c>
      <c r="Z9" s="78">
        <v>0</v>
      </c>
      <c r="AA9" s="78">
        <v>0</v>
      </c>
      <c r="AB9" s="78">
        <v>0</v>
      </c>
      <c r="AC9" s="116">
        <v>0</v>
      </c>
      <c r="AD9" s="116">
        <v>0</v>
      </c>
      <c r="AE9" s="116">
        <v>0</v>
      </c>
      <c r="AF9" s="85">
        <v>0</v>
      </c>
      <c r="AG9" s="116">
        <v>0</v>
      </c>
      <c r="AH9" s="116">
        <v>0</v>
      </c>
    </row>
    <row r="10" spans="1:34" x14ac:dyDescent="0.25">
      <c r="A10" s="118" t="s">
        <v>286</v>
      </c>
      <c r="B10" s="118" t="s">
        <v>197</v>
      </c>
      <c r="C10" s="118" t="s">
        <v>198</v>
      </c>
      <c r="D10" s="118" t="s">
        <v>197</v>
      </c>
      <c r="E10" s="118" t="s">
        <v>223</v>
      </c>
      <c r="F10" s="118" t="s">
        <v>200</v>
      </c>
      <c r="G10" s="118" t="s">
        <v>284</v>
      </c>
      <c r="H10" s="119" t="b">
        <f>FALSE()</f>
        <v>0</v>
      </c>
      <c r="I10" s="118" t="s">
        <v>28</v>
      </c>
      <c r="J10" s="118" t="s">
        <v>28</v>
      </c>
      <c r="K10" s="118" t="s">
        <v>28</v>
      </c>
      <c r="L10" s="118" t="s">
        <v>28</v>
      </c>
      <c r="M10" s="118" t="s">
        <v>28</v>
      </c>
      <c r="N10" s="118" t="s">
        <v>28</v>
      </c>
      <c r="O10" s="118" t="s">
        <v>28</v>
      </c>
      <c r="P10" s="118" t="s">
        <v>28</v>
      </c>
      <c r="Q10" s="118" t="s">
        <v>28</v>
      </c>
      <c r="R10" s="118" t="s">
        <v>41</v>
      </c>
      <c r="S10" s="118" t="s">
        <v>42</v>
      </c>
      <c r="T10" s="85">
        <v>0</v>
      </c>
      <c r="U10" s="85">
        <v>0</v>
      </c>
      <c r="V10" s="85">
        <v>0</v>
      </c>
      <c r="W10" s="85">
        <v>0</v>
      </c>
      <c r="X10" s="85">
        <v>0</v>
      </c>
      <c r="Y10" s="85">
        <v>0</v>
      </c>
      <c r="Z10" s="78">
        <v>0</v>
      </c>
      <c r="AA10" s="78">
        <v>0</v>
      </c>
      <c r="AB10" s="78">
        <v>0</v>
      </c>
      <c r="AC10" s="116">
        <v>0</v>
      </c>
      <c r="AD10" s="116">
        <v>0</v>
      </c>
      <c r="AE10" s="116">
        <v>0</v>
      </c>
      <c r="AF10" s="85">
        <v>0</v>
      </c>
      <c r="AG10" s="116">
        <v>0</v>
      </c>
      <c r="AH10" s="116">
        <v>0</v>
      </c>
    </row>
    <row r="11" spans="1:34" x14ac:dyDescent="0.25">
      <c r="A11" s="118" t="s">
        <v>286</v>
      </c>
      <c r="B11" s="118" t="s">
        <v>197</v>
      </c>
      <c r="C11" s="118" t="s">
        <v>198</v>
      </c>
      <c r="D11" s="118" t="s">
        <v>197</v>
      </c>
      <c r="E11" s="118" t="s">
        <v>223</v>
      </c>
      <c r="F11" s="118" t="s">
        <v>200</v>
      </c>
      <c r="G11" s="118" t="s">
        <v>284</v>
      </c>
      <c r="H11" s="119" t="b">
        <f>FALSE()</f>
        <v>0</v>
      </c>
      <c r="I11" s="118" t="s">
        <v>28</v>
      </c>
      <c r="J11" s="118" t="s">
        <v>28</v>
      </c>
      <c r="K11" s="118" t="s">
        <v>28</v>
      </c>
      <c r="L11" s="118" t="s">
        <v>28</v>
      </c>
      <c r="M11" s="118" t="s">
        <v>28</v>
      </c>
      <c r="N11" s="118" t="s">
        <v>28</v>
      </c>
      <c r="O11" s="118" t="s">
        <v>28</v>
      </c>
      <c r="P11" s="118" t="s">
        <v>28</v>
      </c>
      <c r="Q11" s="118" t="s">
        <v>28</v>
      </c>
      <c r="R11" s="118" t="s">
        <v>43</v>
      </c>
      <c r="S11" s="118" t="s">
        <v>272</v>
      </c>
      <c r="T11" s="85">
        <v>36694.76</v>
      </c>
      <c r="U11" s="85">
        <v>41233.54</v>
      </c>
      <c r="V11" s="85">
        <v>45208.34</v>
      </c>
      <c r="W11" s="85">
        <v>45728.89</v>
      </c>
      <c r="X11" s="85">
        <v>45728.89</v>
      </c>
      <c r="Y11" s="85">
        <v>46249.440000000002</v>
      </c>
      <c r="Z11" s="78">
        <v>48005.79</v>
      </c>
      <c r="AA11" s="78">
        <v>48005.79</v>
      </c>
      <c r="AB11" s="78">
        <v>50070.5</v>
      </c>
      <c r="AC11" s="116">
        <v>0</v>
      </c>
      <c r="AD11" s="116">
        <v>0</v>
      </c>
      <c r="AE11" s="116">
        <v>0</v>
      </c>
      <c r="AF11" s="85">
        <v>36175</v>
      </c>
      <c r="AG11" s="116">
        <v>0</v>
      </c>
      <c r="AH11" s="116">
        <v>0</v>
      </c>
    </row>
    <row r="12" spans="1:34" x14ac:dyDescent="0.25">
      <c r="A12" s="118" t="s">
        <v>286</v>
      </c>
      <c r="B12" s="118" t="s">
        <v>197</v>
      </c>
      <c r="C12" s="118" t="s">
        <v>198</v>
      </c>
      <c r="D12" s="118" t="s">
        <v>197</v>
      </c>
      <c r="E12" s="118" t="s">
        <v>223</v>
      </c>
      <c r="F12" s="118" t="s">
        <v>200</v>
      </c>
      <c r="G12" s="118" t="s">
        <v>284</v>
      </c>
      <c r="H12" s="119" t="b">
        <f>FALSE()</f>
        <v>0</v>
      </c>
      <c r="I12" s="118" t="s">
        <v>28</v>
      </c>
      <c r="J12" s="118" t="s">
        <v>28</v>
      </c>
      <c r="K12" s="118" t="s">
        <v>28</v>
      </c>
      <c r="L12" s="118" t="s">
        <v>28</v>
      </c>
      <c r="M12" s="118" t="s">
        <v>28</v>
      </c>
      <c r="N12" s="118" t="s">
        <v>28</v>
      </c>
      <c r="O12" s="118" t="s">
        <v>28</v>
      </c>
      <c r="P12" s="118" t="s">
        <v>28</v>
      </c>
      <c r="Q12" s="118" t="s">
        <v>28</v>
      </c>
      <c r="R12" s="118" t="s">
        <v>273</v>
      </c>
      <c r="S12" s="118" t="s">
        <v>274</v>
      </c>
      <c r="T12" s="85">
        <v>-20655.060000000001</v>
      </c>
      <c r="U12" s="85">
        <v>-21744.16</v>
      </c>
      <c r="V12" s="85">
        <v>-22835.56</v>
      </c>
      <c r="W12" s="85">
        <v>-23934.75</v>
      </c>
      <c r="X12" s="85">
        <v>-25025.55</v>
      </c>
      <c r="Y12" s="85">
        <v>-26189.93</v>
      </c>
      <c r="Z12" s="78">
        <v>-27342.11</v>
      </c>
      <c r="AA12" s="78">
        <v>-28494.85</v>
      </c>
      <c r="AB12" s="78">
        <v>-29699.01</v>
      </c>
      <c r="AC12" s="116">
        <v>0</v>
      </c>
      <c r="AD12" s="116">
        <v>0</v>
      </c>
      <c r="AE12" s="116">
        <v>0</v>
      </c>
      <c r="AF12" s="85">
        <v>-20450</v>
      </c>
      <c r="AG12" s="116">
        <v>0</v>
      </c>
      <c r="AH12" s="116">
        <v>0</v>
      </c>
    </row>
    <row r="13" spans="1:34" x14ac:dyDescent="0.25">
      <c r="A13" s="118" t="s">
        <v>286</v>
      </c>
      <c r="B13" s="118" t="s">
        <v>197</v>
      </c>
      <c r="C13" s="118" t="s">
        <v>198</v>
      </c>
      <c r="D13" s="118" t="s">
        <v>197</v>
      </c>
      <c r="E13" s="118" t="s">
        <v>223</v>
      </c>
      <c r="F13" s="118" t="s">
        <v>200</v>
      </c>
      <c r="G13" s="118" t="s">
        <v>284</v>
      </c>
      <c r="H13" s="119" t="b">
        <f>FALSE()</f>
        <v>0</v>
      </c>
      <c r="I13" s="118" t="s">
        <v>28</v>
      </c>
      <c r="J13" s="118" t="s">
        <v>28</v>
      </c>
      <c r="K13" s="118" t="s">
        <v>28</v>
      </c>
      <c r="L13" s="118" t="s">
        <v>28</v>
      </c>
      <c r="M13" s="118" t="s">
        <v>28</v>
      </c>
      <c r="N13" s="118" t="s">
        <v>28</v>
      </c>
      <c r="O13" s="118" t="s">
        <v>28</v>
      </c>
      <c r="P13" s="118" t="s">
        <v>28</v>
      </c>
      <c r="Q13" s="118" t="s">
        <v>28</v>
      </c>
      <c r="R13" s="118" t="s">
        <v>44</v>
      </c>
      <c r="S13" s="118" t="s">
        <v>275</v>
      </c>
      <c r="T13" s="85">
        <v>740386.28</v>
      </c>
      <c r="U13" s="85">
        <v>740386.28</v>
      </c>
      <c r="V13" s="85">
        <v>740386.28</v>
      </c>
      <c r="W13" s="85">
        <v>740386.28</v>
      </c>
      <c r="X13" s="85">
        <v>740386.28</v>
      </c>
      <c r="Y13" s="85">
        <v>740386.28</v>
      </c>
      <c r="Z13" s="78">
        <v>740386.28</v>
      </c>
      <c r="AA13" s="78">
        <v>740386.28</v>
      </c>
      <c r="AB13" s="78">
        <v>740386.28</v>
      </c>
      <c r="AC13" s="116">
        <v>0</v>
      </c>
      <c r="AD13" s="116">
        <v>0</v>
      </c>
      <c r="AE13" s="116">
        <v>0</v>
      </c>
      <c r="AF13" s="85">
        <v>740386</v>
      </c>
      <c r="AG13" s="116">
        <v>0</v>
      </c>
      <c r="AH13" s="116">
        <v>0</v>
      </c>
    </row>
    <row r="14" spans="1:34" x14ac:dyDescent="0.25">
      <c r="A14" s="118" t="s">
        <v>286</v>
      </c>
      <c r="B14" s="118" t="s">
        <v>197</v>
      </c>
      <c r="C14" s="118" t="s">
        <v>198</v>
      </c>
      <c r="D14" s="118" t="s">
        <v>197</v>
      </c>
      <c r="E14" s="118" t="s">
        <v>223</v>
      </c>
      <c r="F14" s="118" t="s">
        <v>200</v>
      </c>
      <c r="G14" s="118" t="s">
        <v>284</v>
      </c>
      <c r="H14" s="119" t="b">
        <f>FALSE()</f>
        <v>0</v>
      </c>
      <c r="I14" s="118" t="s">
        <v>28</v>
      </c>
      <c r="J14" s="118" t="s">
        <v>28</v>
      </c>
      <c r="K14" s="118" t="s">
        <v>28</v>
      </c>
      <c r="L14" s="118" t="s">
        <v>28</v>
      </c>
      <c r="M14" s="118" t="s">
        <v>28</v>
      </c>
      <c r="N14" s="118" t="s">
        <v>28</v>
      </c>
      <c r="O14" s="118" t="s">
        <v>28</v>
      </c>
      <c r="P14" s="118" t="s">
        <v>28</v>
      </c>
      <c r="Q14" s="118" t="s">
        <v>28</v>
      </c>
      <c r="R14" s="118" t="s">
        <v>276</v>
      </c>
      <c r="S14" s="118" t="s">
        <v>277</v>
      </c>
      <c r="T14" s="85">
        <v>-606461.87</v>
      </c>
      <c r="U14" s="85">
        <v>-626639.84</v>
      </c>
      <c r="V14" s="85">
        <v>-646808.06000000006</v>
      </c>
      <c r="W14" s="85">
        <v>-666976.28</v>
      </c>
      <c r="X14" s="85">
        <v>-687144.5</v>
      </c>
      <c r="Y14" s="85">
        <v>-707312.72</v>
      </c>
      <c r="Z14" s="78">
        <v>-727478.37</v>
      </c>
      <c r="AA14" s="78">
        <v>-735219.71</v>
      </c>
      <c r="AB14" s="78">
        <v>-735507.41</v>
      </c>
      <c r="AC14" s="116">
        <v>0</v>
      </c>
      <c r="AD14" s="116">
        <v>0</v>
      </c>
      <c r="AE14" s="116">
        <v>0</v>
      </c>
      <c r="AF14" s="85">
        <v>-586586</v>
      </c>
      <c r="AG14" s="116">
        <v>0</v>
      </c>
      <c r="AH14" s="116">
        <v>0</v>
      </c>
    </row>
    <row r="15" spans="1:34" x14ac:dyDescent="0.25">
      <c r="A15" s="118" t="s">
        <v>286</v>
      </c>
      <c r="B15" s="118" t="s">
        <v>197</v>
      </c>
      <c r="C15" s="118" t="s">
        <v>198</v>
      </c>
      <c r="D15" s="118" t="s">
        <v>197</v>
      </c>
      <c r="E15" s="118" t="s">
        <v>223</v>
      </c>
      <c r="F15" s="118" t="s">
        <v>200</v>
      </c>
      <c r="G15" s="118" t="s">
        <v>284</v>
      </c>
      <c r="H15" s="119" t="b">
        <f>FALSE()</f>
        <v>0</v>
      </c>
      <c r="I15" s="118" t="s">
        <v>28</v>
      </c>
      <c r="J15" s="118" t="s">
        <v>28</v>
      </c>
      <c r="K15" s="118" t="s">
        <v>28</v>
      </c>
      <c r="L15" s="118" t="s">
        <v>28</v>
      </c>
      <c r="M15" s="118" t="s">
        <v>28</v>
      </c>
      <c r="N15" s="118" t="s">
        <v>28</v>
      </c>
      <c r="O15" s="118" t="s">
        <v>28</v>
      </c>
      <c r="P15" s="118" t="s">
        <v>28</v>
      </c>
      <c r="Q15" s="118" t="s">
        <v>28</v>
      </c>
      <c r="R15" s="118" t="s">
        <v>45</v>
      </c>
      <c r="S15" s="118" t="s">
        <v>46</v>
      </c>
      <c r="T15" s="85">
        <v>2127702.63</v>
      </c>
      <c r="U15" s="85">
        <v>2127702.63</v>
      </c>
      <c r="V15" s="85">
        <v>2127702.63</v>
      </c>
      <c r="W15" s="85">
        <v>2127702.63</v>
      </c>
      <c r="X15" s="85">
        <v>2127702.63</v>
      </c>
      <c r="Y15" s="85">
        <v>2127702.63</v>
      </c>
      <c r="Z15" s="78">
        <v>2127702.63</v>
      </c>
      <c r="AA15" s="78">
        <v>2127702.63</v>
      </c>
      <c r="AB15" s="78">
        <v>2127702.63</v>
      </c>
      <c r="AC15" s="116">
        <v>0</v>
      </c>
      <c r="AD15" s="116">
        <v>0</v>
      </c>
      <c r="AE15" s="116">
        <v>0</v>
      </c>
      <c r="AF15" s="85">
        <v>2127703</v>
      </c>
      <c r="AG15" s="116">
        <v>0</v>
      </c>
      <c r="AH15" s="116">
        <v>0</v>
      </c>
    </row>
    <row r="16" spans="1:34" x14ac:dyDescent="0.25">
      <c r="A16" s="118" t="s">
        <v>286</v>
      </c>
      <c r="B16" s="118" t="s">
        <v>197</v>
      </c>
      <c r="C16" s="118" t="s">
        <v>198</v>
      </c>
      <c r="D16" s="118" t="s">
        <v>197</v>
      </c>
      <c r="E16" s="118" t="s">
        <v>223</v>
      </c>
      <c r="F16" s="118" t="s">
        <v>200</v>
      </c>
      <c r="G16" s="118" t="s">
        <v>284</v>
      </c>
      <c r="H16" s="119" t="b">
        <f>FALSE()</f>
        <v>0</v>
      </c>
      <c r="I16" s="118" t="s">
        <v>28</v>
      </c>
      <c r="J16" s="118" t="s">
        <v>28</v>
      </c>
      <c r="K16" s="118" t="s">
        <v>28</v>
      </c>
      <c r="L16" s="118" t="s">
        <v>28</v>
      </c>
      <c r="M16" s="118" t="s">
        <v>28</v>
      </c>
      <c r="N16" s="118" t="s">
        <v>28</v>
      </c>
      <c r="O16" s="118" t="s">
        <v>28</v>
      </c>
      <c r="P16" s="118" t="s">
        <v>28</v>
      </c>
      <c r="Q16" s="118" t="s">
        <v>28</v>
      </c>
      <c r="R16" s="118" t="s">
        <v>47</v>
      </c>
      <c r="S16" s="118" t="s">
        <v>48</v>
      </c>
      <c r="T16" s="85">
        <v>19380.330000000002</v>
      </c>
      <c r="U16" s="85">
        <v>19380.330000000002</v>
      </c>
      <c r="V16" s="85">
        <v>19380.330000000002</v>
      </c>
      <c r="W16" s="85">
        <v>19380.330000000002</v>
      </c>
      <c r="X16" s="85">
        <v>19380.330000000002</v>
      </c>
      <c r="Y16" s="85">
        <v>19380.330000000002</v>
      </c>
      <c r="Z16" s="78">
        <v>19380.330000000002</v>
      </c>
      <c r="AA16" s="78">
        <v>19380.330000000002</v>
      </c>
      <c r="AB16" s="78">
        <v>19380.330000000002</v>
      </c>
      <c r="AC16" s="116">
        <v>0</v>
      </c>
      <c r="AD16" s="116">
        <v>0</v>
      </c>
      <c r="AE16" s="116">
        <v>0</v>
      </c>
      <c r="AF16" s="85">
        <v>19380</v>
      </c>
      <c r="AG16" s="116">
        <v>0</v>
      </c>
      <c r="AH16" s="116">
        <v>0</v>
      </c>
    </row>
    <row r="17" spans="1:34" x14ac:dyDescent="0.25">
      <c r="A17" s="118" t="s">
        <v>286</v>
      </c>
      <c r="B17" s="118" t="s">
        <v>197</v>
      </c>
      <c r="C17" s="118" t="s">
        <v>198</v>
      </c>
      <c r="D17" s="118" t="s">
        <v>197</v>
      </c>
      <c r="E17" s="118" t="s">
        <v>223</v>
      </c>
      <c r="F17" s="118" t="s">
        <v>200</v>
      </c>
      <c r="G17" s="118" t="s">
        <v>284</v>
      </c>
      <c r="H17" s="119" t="b">
        <f>FALSE()</f>
        <v>0</v>
      </c>
      <c r="I17" s="118" t="s">
        <v>28</v>
      </c>
      <c r="J17" s="118" t="s">
        <v>28</v>
      </c>
      <c r="K17" s="118" t="s">
        <v>28</v>
      </c>
      <c r="L17" s="118" t="s">
        <v>28</v>
      </c>
      <c r="M17" s="118" t="s">
        <v>28</v>
      </c>
      <c r="N17" s="118" t="s">
        <v>28</v>
      </c>
      <c r="O17" s="118" t="s">
        <v>28</v>
      </c>
      <c r="P17" s="118" t="s">
        <v>28</v>
      </c>
      <c r="Q17" s="118" t="s">
        <v>28</v>
      </c>
      <c r="R17" s="118" t="s">
        <v>49</v>
      </c>
      <c r="S17" s="118" t="s">
        <v>50</v>
      </c>
      <c r="T17" s="85">
        <v>2297047.0699999998</v>
      </c>
      <c r="U17" s="85">
        <v>2280318.7799999998</v>
      </c>
      <c r="V17" s="85">
        <v>2263033.96</v>
      </c>
      <c r="W17" s="85">
        <v>2242287.1</v>
      </c>
      <c r="X17" s="85">
        <v>2221028.08</v>
      </c>
      <c r="Y17" s="85">
        <v>2200216.0299999998</v>
      </c>
      <c r="Z17" s="78">
        <v>2180654.5499999998</v>
      </c>
      <c r="AA17" s="78">
        <v>2171760.4700000002</v>
      </c>
      <c r="AB17" s="78">
        <v>2172333.3199999998</v>
      </c>
      <c r="AC17" s="116">
        <v>0</v>
      </c>
      <c r="AD17" s="116">
        <v>0</v>
      </c>
      <c r="AE17" s="116">
        <v>0</v>
      </c>
      <c r="AF17" s="85">
        <v>2316608</v>
      </c>
      <c r="AG17" s="116">
        <v>0</v>
      </c>
      <c r="AH17" s="116">
        <v>0</v>
      </c>
    </row>
    <row r="18" spans="1:34" x14ac:dyDescent="0.25">
      <c r="A18" s="118" t="s">
        <v>286</v>
      </c>
      <c r="B18" s="118" t="s">
        <v>197</v>
      </c>
      <c r="C18" s="118" t="s">
        <v>198</v>
      </c>
      <c r="D18" s="118" t="s">
        <v>197</v>
      </c>
      <c r="E18" s="118" t="s">
        <v>223</v>
      </c>
      <c r="F18" s="118" t="s">
        <v>200</v>
      </c>
      <c r="G18" s="118" t="s">
        <v>284</v>
      </c>
      <c r="H18" s="119" t="b">
        <f>FALSE()</f>
        <v>0</v>
      </c>
      <c r="I18" s="118" t="s">
        <v>28</v>
      </c>
      <c r="J18" s="118" t="s">
        <v>28</v>
      </c>
      <c r="K18" s="118" t="s">
        <v>28</v>
      </c>
      <c r="L18" s="118" t="s">
        <v>28</v>
      </c>
      <c r="M18" s="118" t="s">
        <v>28</v>
      </c>
      <c r="N18" s="118" t="s">
        <v>28</v>
      </c>
      <c r="O18" s="118" t="s">
        <v>28</v>
      </c>
      <c r="P18" s="118" t="s">
        <v>28</v>
      </c>
      <c r="Q18" s="118" t="s">
        <v>28</v>
      </c>
      <c r="R18" s="118" t="s">
        <v>28</v>
      </c>
      <c r="S18" s="118" t="s">
        <v>28</v>
      </c>
      <c r="T18" s="116">
        <v>0</v>
      </c>
      <c r="U18" s="116">
        <v>0</v>
      </c>
      <c r="V18" s="116">
        <v>0</v>
      </c>
      <c r="W18" s="116">
        <v>0</v>
      </c>
      <c r="X18" s="116">
        <v>0</v>
      </c>
      <c r="Y18" s="116">
        <v>0</v>
      </c>
      <c r="Z18" s="78">
        <v>0</v>
      </c>
      <c r="AA18" s="78">
        <v>0</v>
      </c>
      <c r="AB18" s="78">
        <v>0</v>
      </c>
      <c r="AC18" s="116">
        <v>0</v>
      </c>
      <c r="AD18" s="116">
        <v>0</v>
      </c>
      <c r="AE18" s="116">
        <v>0</v>
      </c>
      <c r="AF18" s="85">
        <v>0</v>
      </c>
      <c r="AG18" s="116">
        <v>0</v>
      </c>
      <c r="AH18" s="116">
        <v>0</v>
      </c>
    </row>
    <row r="19" spans="1:34" x14ac:dyDescent="0.25">
      <c r="A19" s="118" t="s">
        <v>286</v>
      </c>
      <c r="B19" s="118" t="s">
        <v>197</v>
      </c>
      <c r="C19" s="118" t="s">
        <v>198</v>
      </c>
      <c r="D19" s="118" t="s">
        <v>197</v>
      </c>
      <c r="E19" s="118" t="s">
        <v>223</v>
      </c>
      <c r="F19" s="118" t="s">
        <v>200</v>
      </c>
      <c r="G19" s="118" t="s">
        <v>284</v>
      </c>
      <c r="H19" s="119" t="b">
        <f>FALSE()</f>
        <v>0</v>
      </c>
      <c r="I19" s="118" t="s">
        <v>28</v>
      </c>
      <c r="J19" s="118" t="s">
        <v>28</v>
      </c>
      <c r="K19" s="118" t="s">
        <v>28</v>
      </c>
      <c r="L19" s="118" t="s">
        <v>28</v>
      </c>
      <c r="M19" s="118" t="s">
        <v>28</v>
      </c>
      <c r="N19" s="118" t="s">
        <v>28</v>
      </c>
      <c r="O19" s="118" t="s">
        <v>28</v>
      </c>
      <c r="P19" s="118" t="s">
        <v>28</v>
      </c>
      <c r="Q19" s="118" t="s">
        <v>28</v>
      </c>
      <c r="R19" s="118" t="s">
        <v>51</v>
      </c>
      <c r="S19" s="118" t="s">
        <v>202</v>
      </c>
      <c r="T19" s="85">
        <v>5336889.84</v>
      </c>
      <c r="U19" s="85">
        <v>5566901.1100000003</v>
      </c>
      <c r="V19" s="85">
        <v>5497370.4800000004</v>
      </c>
      <c r="W19" s="85">
        <v>5745751.3700000001</v>
      </c>
      <c r="X19" s="85">
        <v>5897519.2300000004</v>
      </c>
      <c r="Y19" s="85">
        <v>5726041.0300000003</v>
      </c>
      <c r="Z19" s="78">
        <v>5819460.8099999996</v>
      </c>
      <c r="AA19" s="78">
        <v>5907679.1500000004</v>
      </c>
      <c r="AB19" s="78">
        <v>6162046.4900000002</v>
      </c>
      <c r="AC19" s="116">
        <v>0</v>
      </c>
      <c r="AD19" s="116">
        <v>0</v>
      </c>
      <c r="AE19" s="116">
        <v>0</v>
      </c>
      <c r="AF19" s="85">
        <v>5349715</v>
      </c>
      <c r="AG19" s="116">
        <v>0</v>
      </c>
      <c r="AH19" s="116">
        <v>0</v>
      </c>
    </row>
    <row r="20" spans="1:34" x14ac:dyDescent="0.25">
      <c r="A20" s="118" t="s">
        <v>286</v>
      </c>
      <c r="B20" s="118" t="s">
        <v>197</v>
      </c>
      <c r="C20" s="118" t="s">
        <v>198</v>
      </c>
      <c r="D20" s="118" t="s">
        <v>197</v>
      </c>
      <c r="E20" s="118" t="s">
        <v>223</v>
      </c>
      <c r="F20" s="118" t="s">
        <v>200</v>
      </c>
      <c r="G20" s="118" t="s">
        <v>284</v>
      </c>
      <c r="H20" s="119" t="b">
        <f>FALSE()</f>
        <v>0</v>
      </c>
      <c r="I20" s="118" t="s">
        <v>28</v>
      </c>
      <c r="J20" s="118" t="s">
        <v>28</v>
      </c>
      <c r="K20" s="118" t="s">
        <v>28</v>
      </c>
      <c r="L20" s="118" t="s">
        <v>28</v>
      </c>
      <c r="M20" s="118" t="s">
        <v>28</v>
      </c>
      <c r="N20" s="118" t="s">
        <v>28</v>
      </c>
      <c r="O20" s="118" t="s">
        <v>28</v>
      </c>
      <c r="P20" s="118" t="s">
        <v>28</v>
      </c>
      <c r="Q20" s="118" t="s">
        <v>28</v>
      </c>
      <c r="R20" s="118" t="s">
        <v>28</v>
      </c>
      <c r="S20" s="118" t="s">
        <v>28</v>
      </c>
      <c r="T20" s="85">
        <v>0</v>
      </c>
      <c r="U20" s="85">
        <v>0</v>
      </c>
      <c r="V20" s="85">
        <v>0</v>
      </c>
      <c r="W20" s="85">
        <v>0</v>
      </c>
      <c r="X20" s="85">
        <v>0</v>
      </c>
      <c r="Y20" s="85">
        <v>0</v>
      </c>
      <c r="Z20" s="78">
        <v>0</v>
      </c>
      <c r="AA20" s="78">
        <v>0</v>
      </c>
      <c r="AB20" s="78">
        <v>0</v>
      </c>
      <c r="AC20" s="116">
        <v>0</v>
      </c>
      <c r="AD20" s="116">
        <v>0</v>
      </c>
      <c r="AE20" s="116">
        <v>0</v>
      </c>
      <c r="AF20" s="85">
        <v>0</v>
      </c>
      <c r="AG20" s="116">
        <v>0</v>
      </c>
      <c r="AH20" s="116">
        <v>0</v>
      </c>
    </row>
    <row r="21" spans="1:34" x14ac:dyDescent="0.25">
      <c r="A21" s="118" t="s">
        <v>286</v>
      </c>
      <c r="B21" s="118" t="s">
        <v>197</v>
      </c>
      <c r="C21" s="118" t="s">
        <v>198</v>
      </c>
      <c r="D21" s="118" t="s">
        <v>197</v>
      </c>
      <c r="E21" s="118" t="s">
        <v>223</v>
      </c>
      <c r="F21" s="118" t="s">
        <v>200</v>
      </c>
      <c r="G21" s="118" t="s">
        <v>284</v>
      </c>
      <c r="H21" s="119" t="b">
        <f>FALSE()</f>
        <v>0</v>
      </c>
      <c r="I21" s="118" t="s">
        <v>28</v>
      </c>
      <c r="J21" s="118" t="s">
        <v>28</v>
      </c>
      <c r="K21" s="118" t="s">
        <v>28</v>
      </c>
      <c r="L21" s="118" t="s">
        <v>28</v>
      </c>
      <c r="M21" s="118" t="s">
        <v>28</v>
      </c>
      <c r="N21" s="118" t="s">
        <v>28</v>
      </c>
      <c r="O21" s="118" t="s">
        <v>28</v>
      </c>
      <c r="P21" s="118" t="s">
        <v>28</v>
      </c>
      <c r="Q21" s="118" t="s">
        <v>28</v>
      </c>
      <c r="R21" s="118" t="s">
        <v>28</v>
      </c>
      <c r="S21" s="118" t="s">
        <v>203</v>
      </c>
      <c r="T21" s="85">
        <v>0</v>
      </c>
      <c r="U21" s="85">
        <v>0</v>
      </c>
      <c r="V21" s="85">
        <v>0</v>
      </c>
      <c r="W21" s="85">
        <v>0</v>
      </c>
      <c r="X21" s="85">
        <v>0</v>
      </c>
      <c r="Y21" s="85">
        <v>0</v>
      </c>
      <c r="Z21" s="78">
        <v>0</v>
      </c>
      <c r="AA21" s="78">
        <v>0</v>
      </c>
      <c r="AB21" s="78">
        <v>0</v>
      </c>
      <c r="AC21" s="116">
        <v>0</v>
      </c>
      <c r="AD21" s="116">
        <v>0</v>
      </c>
      <c r="AE21" s="116">
        <v>0</v>
      </c>
      <c r="AF21" s="85">
        <v>0</v>
      </c>
      <c r="AG21" s="116">
        <v>0</v>
      </c>
      <c r="AH21" s="116">
        <v>0</v>
      </c>
    </row>
    <row r="22" spans="1:34" x14ac:dyDescent="0.25">
      <c r="A22" s="118" t="s">
        <v>286</v>
      </c>
      <c r="B22" s="118" t="s">
        <v>197</v>
      </c>
      <c r="C22" s="118" t="s">
        <v>198</v>
      </c>
      <c r="D22" s="118" t="s">
        <v>197</v>
      </c>
      <c r="E22" s="118" t="s">
        <v>223</v>
      </c>
      <c r="F22" s="118" t="s">
        <v>200</v>
      </c>
      <c r="G22" s="118" t="s">
        <v>284</v>
      </c>
      <c r="H22" s="119" t="b">
        <f>FALSE()</f>
        <v>0</v>
      </c>
      <c r="I22" s="118" t="s">
        <v>28</v>
      </c>
      <c r="J22" s="118" t="s">
        <v>28</v>
      </c>
      <c r="K22" s="118" t="s">
        <v>28</v>
      </c>
      <c r="L22" s="118" t="s">
        <v>28</v>
      </c>
      <c r="M22" s="118" t="s">
        <v>28</v>
      </c>
      <c r="N22" s="118" t="s">
        <v>28</v>
      </c>
      <c r="O22" s="118" t="s">
        <v>28</v>
      </c>
      <c r="P22" s="118" t="s">
        <v>28</v>
      </c>
      <c r="Q22" s="118" t="s">
        <v>28</v>
      </c>
      <c r="R22" s="118" t="s">
        <v>54</v>
      </c>
      <c r="S22" s="118" t="s">
        <v>55</v>
      </c>
      <c r="T22" s="85">
        <v>0</v>
      </c>
      <c r="U22" s="85">
        <v>0</v>
      </c>
      <c r="V22" s="85">
        <v>0</v>
      </c>
      <c r="W22" s="85">
        <v>0</v>
      </c>
      <c r="X22" s="85">
        <v>0</v>
      </c>
      <c r="Y22" s="85">
        <v>0</v>
      </c>
      <c r="Z22" s="78">
        <v>0</v>
      </c>
      <c r="AA22" s="78">
        <v>0</v>
      </c>
      <c r="AB22" s="78">
        <v>0</v>
      </c>
      <c r="AC22" s="116">
        <v>0</v>
      </c>
      <c r="AD22" s="116">
        <v>0</v>
      </c>
      <c r="AE22" s="116">
        <v>0</v>
      </c>
      <c r="AF22" s="85">
        <v>0</v>
      </c>
      <c r="AG22" s="116">
        <v>0</v>
      </c>
      <c r="AH22" s="116">
        <v>0</v>
      </c>
    </row>
    <row r="23" spans="1:34" x14ac:dyDescent="0.25">
      <c r="A23" s="118" t="s">
        <v>286</v>
      </c>
      <c r="B23" s="118" t="s">
        <v>197</v>
      </c>
      <c r="C23" s="118" t="s">
        <v>198</v>
      </c>
      <c r="D23" s="118" t="s">
        <v>197</v>
      </c>
      <c r="E23" s="118" t="s">
        <v>223</v>
      </c>
      <c r="F23" s="118" t="s">
        <v>200</v>
      </c>
      <c r="G23" s="118" t="s">
        <v>284</v>
      </c>
      <c r="H23" s="119" t="b">
        <f>FALSE()</f>
        <v>0</v>
      </c>
      <c r="I23" s="118" t="s">
        <v>28</v>
      </c>
      <c r="J23" s="118" t="s">
        <v>28</v>
      </c>
      <c r="K23" s="118" t="s">
        <v>28</v>
      </c>
      <c r="L23" s="118" t="s">
        <v>28</v>
      </c>
      <c r="M23" s="118" t="s">
        <v>28</v>
      </c>
      <c r="N23" s="118" t="s">
        <v>28</v>
      </c>
      <c r="O23" s="118" t="s">
        <v>28</v>
      </c>
      <c r="P23" s="118" t="s">
        <v>28</v>
      </c>
      <c r="Q23" s="118" t="s">
        <v>28</v>
      </c>
      <c r="R23" s="118" t="s">
        <v>56</v>
      </c>
      <c r="S23" s="118" t="s">
        <v>57</v>
      </c>
      <c r="T23" s="85">
        <v>211779.54</v>
      </c>
      <c r="U23" s="85">
        <v>264518.05</v>
      </c>
      <c r="V23" s="85">
        <v>232743.31</v>
      </c>
      <c r="W23" s="85">
        <v>238795.28</v>
      </c>
      <c r="X23" s="85">
        <v>254436.56</v>
      </c>
      <c r="Y23" s="85">
        <v>226911.26</v>
      </c>
      <c r="Z23" s="78">
        <v>223287.34</v>
      </c>
      <c r="AA23" s="78">
        <v>251091.45</v>
      </c>
      <c r="AB23" s="78">
        <v>263042.26</v>
      </c>
      <c r="AC23" s="116">
        <v>0</v>
      </c>
      <c r="AD23" s="116">
        <v>0</v>
      </c>
      <c r="AE23" s="116">
        <v>0</v>
      </c>
      <c r="AF23" s="85">
        <v>203124</v>
      </c>
      <c r="AG23" s="116">
        <v>0</v>
      </c>
      <c r="AH23" s="116">
        <v>0</v>
      </c>
    </row>
    <row r="24" spans="1:34" x14ac:dyDescent="0.25">
      <c r="A24" s="118" t="s">
        <v>286</v>
      </c>
      <c r="B24" s="118" t="s">
        <v>197</v>
      </c>
      <c r="C24" s="118" t="s">
        <v>198</v>
      </c>
      <c r="D24" s="118" t="s">
        <v>197</v>
      </c>
      <c r="E24" s="118" t="s">
        <v>223</v>
      </c>
      <c r="F24" s="118" t="s">
        <v>200</v>
      </c>
      <c r="G24" s="118" t="s">
        <v>284</v>
      </c>
      <c r="H24" s="119" t="b">
        <f>FALSE()</f>
        <v>0</v>
      </c>
      <c r="I24" s="118" t="s">
        <v>28</v>
      </c>
      <c r="J24" s="118" t="s">
        <v>28</v>
      </c>
      <c r="K24" s="118" t="s">
        <v>28</v>
      </c>
      <c r="L24" s="118" t="s">
        <v>28</v>
      </c>
      <c r="M24" s="118" t="s">
        <v>28</v>
      </c>
      <c r="N24" s="118" t="s">
        <v>28</v>
      </c>
      <c r="O24" s="118" t="s">
        <v>28</v>
      </c>
      <c r="P24" s="118" t="s">
        <v>28</v>
      </c>
      <c r="Q24" s="118" t="s">
        <v>28</v>
      </c>
      <c r="R24" s="118" t="s">
        <v>58</v>
      </c>
      <c r="S24" s="118" t="s">
        <v>59</v>
      </c>
      <c r="T24" s="85">
        <v>837980.14</v>
      </c>
      <c r="U24" s="85">
        <v>877292.44</v>
      </c>
      <c r="V24" s="85">
        <v>889454.07999999996</v>
      </c>
      <c r="W24" s="85">
        <v>978004.81</v>
      </c>
      <c r="X24" s="85">
        <v>1029008.75</v>
      </c>
      <c r="Y24" s="85">
        <v>1048129.63</v>
      </c>
      <c r="Z24" s="78">
        <v>1147017.8</v>
      </c>
      <c r="AA24" s="78">
        <v>1201727.51</v>
      </c>
      <c r="AB24" s="78">
        <v>1275262.3999999999</v>
      </c>
      <c r="AC24" s="116">
        <v>0</v>
      </c>
      <c r="AD24" s="116">
        <v>0</v>
      </c>
      <c r="AE24" s="116">
        <v>0</v>
      </c>
      <c r="AF24" s="85">
        <v>825563</v>
      </c>
      <c r="AG24" s="116">
        <v>0</v>
      </c>
      <c r="AH24" s="116">
        <v>0</v>
      </c>
    </row>
    <row r="25" spans="1:34" x14ac:dyDescent="0.25">
      <c r="A25" s="118" t="s">
        <v>286</v>
      </c>
      <c r="B25" s="118" t="s">
        <v>197</v>
      </c>
      <c r="C25" s="118" t="s">
        <v>198</v>
      </c>
      <c r="D25" s="118" t="s">
        <v>197</v>
      </c>
      <c r="E25" s="118" t="s">
        <v>223</v>
      </c>
      <c r="F25" s="118" t="s">
        <v>200</v>
      </c>
      <c r="G25" s="118" t="s">
        <v>284</v>
      </c>
      <c r="H25" s="119" t="b">
        <f>FALSE()</f>
        <v>0</v>
      </c>
      <c r="I25" s="118" t="s">
        <v>28</v>
      </c>
      <c r="J25" s="118" t="s">
        <v>28</v>
      </c>
      <c r="K25" s="118" t="s">
        <v>28</v>
      </c>
      <c r="L25" s="118" t="s">
        <v>28</v>
      </c>
      <c r="M25" s="118" t="s">
        <v>28</v>
      </c>
      <c r="N25" s="118" t="s">
        <v>28</v>
      </c>
      <c r="O25" s="118" t="s">
        <v>28</v>
      </c>
      <c r="P25" s="118" t="s">
        <v>28</v>
      </c>
      <c r="Q25" s="118" t="s">
        <v>28</v>
      </c>
      <c r="R25" s="118" t="s">
        <v>60</v>
      </c>
      <c r="S25" s="118" t="s">
        <v>61</v>
      </c>
      <c r="T25" s="85">
        <v>38451.08</v>
      </c>
      <c r="U25" s="85">
        <v>36766.550000000003</v>
      </c>
      <c r="V25" s="85">
        <v>39566.480000000003</v>
      </c>
      <c r="W25" s="85">
        <v>50222.48</v>
      </c>
      <c r="X25" s="85">
        <v>62311.74</v>
      </c>
      <c r="Y25" s="85">
        <v>53316.19</v>
      </c>
      <c r="Z25" s="78">
        <v>47805.79</v>
      </c>
      <c r="AA25" s="78">
        <v>47832.43</v>
      </c>
      <c r="AB25" s="78">
        <v>41005.26</v>
      </c>
      <c r="AC25" s="116">
        <v>0</v>
      </c>
      <c r="AD25" s="116">
        <v>0</v>
      </c>
      <c r="AE25" s="116">
        <v>0</v>
      </c>
      <c r="AF25" s="85">
        <v>38451</v>
      </c>
      <c r="AG25" s="116">
        <v>0</v>
      </c>
      <c r="AH25" s="116">
        <v>0</v>
      </c>
    </row>
    <row r="26" spans="1:34" x14ac:dyDescent="0.25">
      <c r="A26" s="118" t="s">
        <v>286</v>
      </c>
      <c r="B26" s="118" t="s">
        <v>197</v>
      </c>
      <c r="C26" s="118" t="s">
        <v>198</v>
      </c>
      <c r="D26" s="118" t="s">
        <v>197</v>
      </c>
      <c r="E26" s="118" t="s">
        <v>223</v>
      </c>
      <c r="F26" s="118" t="s">
        <v>200</v>
      </c>
      <c r="G26" s="118" t="s">
        <v>284</v>
      </c>
      <c r="H26" s="119" t="b">
        <f>FALSE()</f>
        <v>0</v>
      </c>
      <c r="I26" s="118" t="s">
        <v>28</v>
      </c>
      <c r="J26" s="118" t="s">
        <v>28</v>
      </c>
      <c r="K26" s="118" t="s">
        <v>28</v>
      </c>
      <c r="L26" s="118" t="s">
        <v>28</v>
      </c>
      <c r="M26" s="118" t="s">
        <v>28</v>
      </c>
      <c r="N26" s="118" t="s">
        <v>28</v>
      </c>
      <c r="O26" s="118" t="s">
        <v>28</v>
      </c>
      <c r="P26" s="118" t="s">
        <v>28</v>
      </c>
      <c r="Q26" s="118" t="s">
        <v>28</v>
      </c>
      <c r="R26" s="118" t="s">
        <v>62</v>
      </c>
      <c r="S26" s="118" t="s">
        <v>63</v>
      </c>
      <c r="T26" s="85">
        <v>59745.29</v>
      </c>
      <c r="U26" s="85">
        <v>55499.67</v>
      </c>
      <c r="V26" s="85">
        <v>44520.22</v>
      </c>
      <c r="W26" s="85">
        <v>40256.769999999997</v>
      </c>
      <c r="X26" s="85">
        <v>40358.9</v>
      </c>
      <c r="Y26" s="85">
        <v>31460.67</v>
      </c>
      <c r="Z26" s="78">
        <v>27121.27</v>
      </c>
      <c r="AA26" s="78">
        <v>26818.42</v>
      </c>
      <c r="AB26" s="78">
        <v>24579.65</v>
      </c>
      <c r="AC26" s="116">
        <v>0</v>
      </c>
      <c r="AD26" s="116">
        <v>0</v>
      </c>
      <c r="AE26" s="116">
        <v>0</v>
      </c>
      <c r="AF26" s="85">
        <v>53625</v>
      </c>
      <c r="AG26" s="116">
        <v>0</v>
      </c>
      <c r="AH26" s="116">
        <v>0</v>
      </c>
    </row>
    <row r="27" spans="1:34" x14ac:dyDescent="0.25">
      <c r="A27" s="118" t="s">
        <v>286</v>
      </c>
      <c r="B27" s="118" t="s">
        <v>197</v>
      </c>
      <c r="C27" s="118" t="s">
        <v>198</v>
      </c>
      <c r="D27" s="118" t="s">
        <v>197</v>
      </c>
      <c r="E27" s="118" t="s">
        <v>223</v>
      </c>
      <c r="F27" s="118" t="s">
        <v>200</v>
      </c>
      <c r="G27" s="118" t="s">
        <v>284</v>
      </c>
      <c r="H27" s="119" t="b">
        <f>FALSE()</f>
        <v>0</v>
      </c>
      <c r="I27" s="118" t="s">
        <v>28</v>
      </c>
      <c r="J27" s="118" t="s">
        <v>28</v>
      </c>
      <c r="K27" s="118" t="s">
        <v>28</v>
      </c>
      <c r="L27" s="118" t="s">
        <v>28</v>
      </c>
      <c r="M27" s="118" t="s">
        <v>28</v>
      </c>
      <c r="N27" s="118" t="s">
        <v>28</v>
      </c>
      <c r="O27" s="118" t="s">
        <v>28</v>
      </c>
      <c r="P27" s="118" t="s">
        <v>28</v>
      </c>
      <c r="Q27" s="118" t="s">
        <v>28</v>
      </c>
      <c r="R27" s="118" t="s">
        <v>64</v>
      </c>
      <c r="S27" s="118" t="s">
        <v>65</v>
      </c>
      <c r="T27" s="85">
        <v>163267.9</v>
      </c>
      <c r="U27" s="85">
        <v>167894.01</v>
      </c>
      <c r="V27" s="85">
        <v>173427.15</v>
      </c>
      <c r="W27" s="85">
        <v>170432.59</v>
      </c>
      <c r="X27" s="85">
        <v>160015.16</v>
      </c>
      <c r="Y27" s="85">
        <v>142263.18</v>
      </c>
      <c r="Z27" s="78">
        <v>127670.45</v>
      </c>
      <c r="AA27" s="78">
        <v>114885.19</v>
      </c>
      <c r="AB27" s="78">
        <v>119738.96</v>
      </c>
      <c r="AC27" s="116">
        <v>0</v>
      </c>
      <c r="AD27" s="116">
        <v>0</v>
      </c>
      <c r="AE27" s="116">
        <v>0</v>
      </c>
      <c r="AF27" s="85">
        <v>158726</v>
      </c>
      <c r="AG27" s="116">
        <v>0</v>
      </c>
      <c r="AH27" s="116">
        <v>0</v>
      </c>
    </row>
    <row r="28" spans="1:34" x14ac:dyDescent="0.25">
      <c r="A28" s="118" t="s">
        <v>286</v>
      </c>
      <c r="B28" s="118" t="s">
        <v>197</v>
      </c>
      <c r="C28" s="118" t="s">
        <v>198</v>
      </c>
      <c r="D28" s="118" t="s">
        <v>197</v>
      </c>
      <c r="E28" s="118" t="s">
        <v>223</v>
      </c>
      <c r="F28" s="118" t="s">
        <v>200</v>
      </c>
      <c r="G28" s="118" t="s">
        <v>284</v>
      </c>
      <c r="H28" s="119" t="b">
        <f>FALSE()</f>
        <v>0</v>
      </c>
      <c r="I28" s="118" t="s">
        <v>28</v>
      </c>
      <c r="J28" s="118" t="s">
        <v>28</v>
      </c>
      <c r="K28" s="118" t="s">
        <v>28</v>
      </c>
      <c r="L28" s="118" t="s">
        <v>28</v>
      </c>
      <c r="M28" s="118" t="s">
        <v>28</v>
      </c>
      <c r="N28" s="118" t="s">
        <v>28</v>
      </c>
      <c r="O28" s="118" t="s">
        <v>28</v>
      </c>
      <c r="P28" s="118" t="s">
        <v>28</v>
      </c>
      <c r="Q28" s="118" t="s">
        <v>28</v>
      </c>
      <c r="R28" s="118" t="s">
        <v>66</v>
      </c>
      <c r="S28" s="118" t="s">
        <v>67</v>
      </c>
      <c r="T28" s="85">
        <v>1311223.95</v>
      </c>
      <c r="U28" s="85">
        <v>1401970.72</v>
      </c>
      <c r="V28" s="85">
        <v>1379711.24</v>
      </c>
      <c r="W28" s="85">
        <v>1477711.93</v>
      </c>
      <c r="X28" s="85">
        <v>1546131.11</v>
      </c>
      <c r="Y28" s="85">
        <v>1502080.93</v>
      </c>
      <c r="Z28" s="78">
        <v>1572902.65</v>
      </c>
      <c r="AA28" s="78">
        <v>1642355</v>
      </c>
      <c r="AB28" s="78">
        <v>1723628.53</v>
      </c>
      <c r="AC28" s="116">
        <v>0</v>
      </c>
      <c r="AD28" s="116">
        <v>0</v>
      </c>
      <c r="AE28" s="116">
        <v>0</v>
      </c>
      <c r="AF28" s="85">
        <v>1279490</v>
      </c>
      <c r="AG28" s="116">
        <v>0</v>
      </c>
      <c r="AH28" s="116">
        <v>0</v>
      </c>
    </row>
    <row r="29" spans="1:34" x14ac:dyDescent="0.25">
      <c r="A29" s="118" t="s">
        <v>286</v>
      </c>
      <c r="B29" s="118" t="s">
        <v>197</v>
      </c>
      <c r="C29" s="118" t="s">
        <v>198</v>
      </c>
      <c r="D29" s="118" t="s">
        <v>197</v>
      </c>
      <c r="E29" s="118" t="s">
        <v>223</v>
      </c>
      <c r="F29" s="118" t="s">
        <v>200</v>
      </c>
      <c r="G29" s="118" t="s">
        <v>284</v>
      </c>
      <c r="H29" s="119" t="b">
        <f>FALSE()</f>
        <v>0</v>
      </c>
      <c r="I29" s="118" t="s">
        <v>28</v>
      </c>
      <c r="J29" s="118" t="s">
        <v>28</v>
      </c>
      <c r="K29" s="118" t="s">
        <v>28</v>
      </c>
      <c r="L29" s="118" t="s">
        <v>28</v>
      </c>
      <c r="M29" s="118" t="s">
        <v>28</v>
      </c>
      <c r="N29" s="118" t="s">
        <v>28</v>
      </c>
      <c r="O29" s="118" t="s">
        <v>28</v>
      </c>
      <c r="P29" s="118" t="s">
        <v>28</v>
      </c>
      <c r="Q29" s="118" t="s">
        <v>28</v>
      </c>
      <c r="R29" s="118" t="s">
        <v>28</v>
      </c>
      <c r="S29" s="118" t="s">
        <v>28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78">
        <v>0</v>
      </c>
      <c r="AA29" s="78">
        <v>0</v>
      </c>
      <c r="AB29" s="78">
        <v>0</v>
      </c>
      <c r="AC29" s="116">
        <v>0</v>
      </c>
      <c r="AD29" s="116">
        <v>0</v>
      </c>
      <c r="AE29" s="116">
        <v>0</v>
      </c>
      <c r="AF29" s="85">
        <v>0</v>
      </c>
      <c r="AG29" s="116">
        <v>0</v>
      </c>
      <c r="AH29" s="116">
        <v>0</v>
      </c>
    </row>
    <row r="30" spans="1:34" x14ac:dyDescent="0.25">
      <c r="A30" s="118" t="s">
        <v>286</v>
      </c>
      <c r="B30" s="118" t="s">
        <v>197</v>
      </c>
      <c r="C30" s="118" t="s">
        <v>198</v>
      </c>
      <c r="D30" s="118" t="s">
        <v>197</v>
      </c>
      <c r="E30" s="118" t="s">
        <v>223</v>
      </c>
      <c r="F30" s="118" t="s">
        <v>200</v>
      </c>
      <c r="G30" s="118" t="s">
        <v>284</v>
      </c>
      <c r="H30" s="119" t="b">
        <f>FALSE()</f>
        <v>0</v>
      </c>
      <c r="I30" s="118" t="s">
        <v>28</v>
      </c>
      <c r="J30" s="118" t="s">
        <v>28</v>
      </c>
      <c r="K30" s="118" t="s">
        <v>28</v>
      </c>
      <c r="L30" s="118" t="s">
        <v>28</v>
      </c>
      <c r="M30" s="118" t="s">
        <v>28</v>
      </c>
      <c r="N30" s="118" t="s">
        <v>28</v>
      </c>
      <c r="O30" s="118" t="s">
        <v>28</v>
      </c>
      <c r="P30" s="118" t="s">
        <v>28</v>
      </c>
      <c r="Q30" s="118" t="s">
        <v>28</v>
      </c>
      <c r="R30" s="118" t="s">
        <v>68</v>
      </c>
      <c r="S30" s="118" t="s">
        <v>69</v>
      </c>
      <c r="T30" s="85">
        <v>0</v>
      </c>
      <c r="U30" s="85">
        <v>0</v>
      </c>
      <c r="V30" s="85">
        <v>0</v>
      </c>
      <c r="W30" s="85">
        <v>0</v>
      </c>
      <c r="X30" s="85">
        <v>0</v>
      </c>
      <c r="Y30" s="85">
        <v>0</v>
      </c>
      <c r="Z30" s="78">
        <v>0</v>
      </c>
      <c r="AA30" s="78">
        <v>0</v>
      </c>
      <c r="AB30" s="78">
        <v>0</v>
      </c>
      <c r="AC30" s="116">
        <v>0</v>
      </c>
      <c r="AD30" s="116">
        <v>0</v>
      </c>
      <c r="AE30" s="116">
        <v>0</v>
      </c>
      <c r="AF30" s="85">
        <v>0</v>
      </c>
      <c r="AG30" s="116">
        <v>0</v>
      </c>
      <c r="AH30" s="116">
        <v>0</v>
      </c>
    </row>
    <row r="31" spans="1:34" x14ac:dyDescent="0.25">
      <c r="A31" s="118" t="s">
        <v>286</v>
      </c>
      <c r="B31" s="118" t="s">
        <v>197</v>
      </c>
      <c r="C31" s="118" t="s">
        <v>198</v>
      </c>
      <c r="D31" s="118" t="s">
        <v>197</v>
      </c>
      <c r="E31" s="118" t="s">
        <v>223</v>
      </c>
      <c r="F31" s="118" t="s">
        <v>200</v>
      </c>
      <c r="G31" s="118" t="s">
        <v>284</v>
      </c>
      <c r="H31" s="119" t="b">
        <f>FALSE()</f>
        <v>0</v>
      </c>
      <c r="I31" s="118" t="s">
        <v>28</v>
      </c>
      <c r="J31" s="118" t="s">
        <v>28</v>
      </c>
      <c r="K31" s="118" t="s">
        <v>28</v>
      </c>
      <c r="L31" s="118" t="s">
        <v>28</v>
      </c>
      <c r="M31" s="118" t="s">
        <v>28</v>
      </c>
      <c r="N31" s="118" t="s">
        <v>28</v>
      </c>
      <c r="O31" s="118" t="s">
        <v>28</v>
      </c>
      <c r="P31" s="118" t="s">
        <v>28</v>
      </c>
      <c r="Q31" s="118" t="s">
        <v>28</v>
      </c>
      <c r="R31" s="118" t="s">
        <v>70</v>
      </c>
      <c r="S31" s="118" t="s">
        <v>71</v>
      </c>
      <c r="T31" s="85">
        <v>2317595.0499999998</v>
      </c>
      <c r="U31" s="85">
        <v>2352226.4500000002</v>
      </c>
      <c r="V31" s="85">
        <v>2362682.04</v>
      </c>
      <c r="W31" s="85">
        <v>2362682.04</v>
      </c>
      <c r="X31" s="85">
        <v>2392698.66</v>
      </c>
      <c r="Y31" s="85">
        <v>2362681.0099999998</v>
      </c>
      <c r="Z31" s="78">
        <v>2475151.4</v>
      </c>
      <c r="AA31" s="78">
        <v>2475151.4</v>
      </c>
      <c r="AB31" s="78">
        <v>2475151.4</v>
      </c>
      <c r="AC31" s="116">
        <v>0</v>
      </c>
      <c r="AD31" s="116">
        <v>0</v>
      </c>
      <c r="AE31" s="116">
        <v>0</v>
      </c>
      <c r="AF31" s="85">
        <v>2317595</v>
      </c>
      <c r="AG31" s="116">
        <v>0</v>
      </c>
      <c r="AH31" s="116">
        <v>0</v>
      </c>
    </row>
    <row r="32" spans="1:34" x14ac:dyDescent="0.25">
      <c r="A32" s="118" t="s">
        <v>286</v>
      </c>
      <c r="B32" s="118" t="s">
        <v>197</v>
      </c>
      <c r="C32" s="118" t="s">
        <v>198</v>
      </c>
      <c r="D32" s="118" t="s">
        <v>197</v>
      </c>
      <c r="E32" s="118" t="s">
        <v>223</v>
      </c>
      <c r="F32" s="118" t="s">
        <v>200</v>
      </c>
      <c r="G32" s="118" t="s">
        <v>284</v>
      </c>
      <c r="H32" s="119" t="b">
        <f>FALSE()</f>
        <v>0</v>
      </c>
      <c r="I32" s="118" t="s">
        <v>28</v>
      </c>
      <c r="J32" s="118" t="s">
        <v>28</v>
      </c>
      <c r="K32" s="118" t="s">
        <v>28</v>
      </c>
      <c r="L32" s="118" t="s">
        <v>28</v>
      </c>
      <c r="M32" s="118" t="s">
        <v>28</v>
      </c>
      <c r="N32" s="118" t="s">
        <v>28</v>
      </c>
      <c r="O32" s="118" t="s">
        <v>28</v>
      </c>
      <c r="P32" s="118" t="s">
        <v>28</v>
      </c>
      <c r="Q32" s="118" t="s">
        <v>28</v>
      </c>
      <c r="R32" s="118" t="s">
        <v>72</v>
      </c>
      <c r="S32" s="118" t="s">
        <v>73</v>
      </c>
      <c r="T32" s="120">
        <v>1681108.45</v>
      </c>
      <c r="U32" s="120">
        <v>1881589.19</v>
      </c>
      <c r="V32" s="120">
        <v>1901589.19</v>
      </c>
      <c r="W32" s="85">
        <v>2151589.19</v>
      </c>
      <c r="X32" s="114">
        <v>2301667.27</v>
      </c>
      <c r="Y32" s="114">
        <v>2301667.27</v>
      </c>
      <c r="Z32" s="78">
        <v>2301667.27</v>
      </c>
      <c r="AA32" s="78">
        <v>2402200.41</v>
      </c>
      <c r="AB32" s="78">
        <v>2652200.41</v>
      </c>
      <c r="AC32" s="116">
        <v>0</v>
      </c>
      <c r="AD32" s="116">
        <v>0</v>
      </c>
      <c r="AE32" s="116">
        <v>0</v>
      </c>
      <c r="AF32" s="85">
        <v>921108</v>
      </c>
      <c r="AG32" s="116">
        <v>0</v>
      </c>
      <c r="AH32" s="116">
        <v>0</v>
      </c>
    </row>
    <row r="33" spans="1:34" x14ac:dyDescent="0.25">
      <c r="A33" s="118" t="s">
        <v>286</v>
      </c>
      <c r="B33" s="118" t="s">
        <v>197</v>
      </c>
      <c r="C33" s="118" t="s">
        <v>198</v>
      </c>
      <c r="D33" s="118" t="s">
        <v>197</v>
      </c>
      <c r="E33" s="118" t="s">
        <v>223</v>
      </c>
      <c r="F33" s="118" t="s">
        <v>200</v>
      </c>
      <c r="G33" s="118" t="s">
        <v>284</v>
      </c>
      <c r="H33" s="119" t="b">
        <f>FALSE()</f>
        <v>0</v>
      </c>
      <c r="I33" s="118" t="s">
        <v>28</v>
      </c>
      <c r="J33" s="118" t="s">
        <v>28</v>
      </c>
      <c r="K33" s="118" t="s">
        <v>28</v>
      </c>
      <c r="L33" s="118" t="s">
        <v>28</v>
      </c>
      <c r="M33" s="118" t="s">
        <v>28</v>
      </c>
      <c r="N33" s="118" t="s">
        <v>28</v>
      </c>
      <c r="O33" s="118" t="s">
        <v>28</v>
      </c>
      <c r="P33" s="118" t="s">
        <v>28</v>
      </c>
      <c r="Q33" s="118" t="s">
        <v>28</v>
      </c>
      <c r="R33" s="118" t="s">
        <v>74</v>
      </c>
      <c r="S33" s="118" t="s">
        <v>75</v>
      </c>
      <c r="T33" s="85">
        <v>3998703.5</v>
      </c>
      <c r="U33" s="85">
        <v>4233815.6399999997</v>
      </c>
      <c r="V33" s="85">
        <v>4264271.2300000004</v>
      </c>
      <c r="W33" s="85">
        <v>4514271.2300000004</v>
      </c>
      <c r="X33" s="85">
        <v>4694365.93</v>
      </c>
      <c r="Y33" s="85">
        <v>4664348.28</v>
      </c>
      <c r="Z33" s="78">
        <v>4776818.67</v>
      </c>
      <c r="AA33" s="78">
        <v>4877351.8099999996</v>
      </c>
      <c r="AB33" s="78">
        <v>5127351.8099999996</v>
      </c>
      <c r="AC33" s="116">
        <v>0</v>
      </c>
      <c r="AD33" s="116">
        <v>0</v>
      </c>
      <c r="AE33" s="116">
        <v>0</v>
      </c>
      <c r="AF33" s="85">
        <v>3238704</v>
      </c>
      <c r="AG33" s="116">
        <v>0</v>
      </c>
      <c r="AH33" s="116">
        <v>0</v>
      </c>
    </row>
    <row r="34" spans="1:34" x14ac:dyDescent="0.25">
      <c r="A34" s="118" t="s">
        <v>286</v>
      </c>
      <c r="B34" s="118" t="s">
        <v>197</v>
      </c>
      <c r="C34" s="118" t="s">
        <v>198</v>
      </c>
      <c r="D34" s="118" t="s">
        <v>197</v>
      </c>
      <c r="E34" s="118" t="s">
        <v>223</v>
      </c>
      <c r="F34" s="118" t="s">
        <v>200</v>
      </c>
      <c r="G34" s="118" t="s">
        <v>284</v>
      </c>
      <c r="H34" s="119" t="b">
        <f>FALSE()</f>
        <v>0</v>
      </c>
      <c r="I34" s="118" t="s">
        <v>28</v>
      </c>
      <c r="J34" s="118" t="s">
        <v>28</v>
      </c>
      <c r="K34" s="118" t="s">
        <v>28</v>
      </c>
      <c r="L34" s="118" t="s">
        <v>28</v>
      </c>
      <c r="M34" s="118" t="s">
        <v>28</v>
      </c>
      <c r="N34" s="118" t="s">
        <v>28</v>
      </c>
      <c r="O34" s="118" t="s">
        <v>28</v>
      </c>
      <c r="P34" s="118" t="s">
        <v>28</v>
      </c>
      <c r="Q34" s="118" t="s">
        <v>28</v>
      </c>
      <c r="R34" s="118" t="s">
        <v>28</v>
      </c>
      <c r="S34" s="118" t="s">
        <v>28</v>
      </c>
      <c r="T34" s="85">
        <v>0</v>
      </c>
      <c r="U34" s="85">
        <v>0</v>
      </c>
      <c r="V34" s="85">
        <v>0</v>
      </c>
      <c r="W34" s="85">
        <v>0</v>
      </c>
      <c r="X34" s="85">
        <v>0</v>
      </c>
      <c r="Y34" s="85">
        <v>0</v>
      </c>
      <c r="Z34" s="78">
        <v>0</v>
      </c>
      <c r="AA34" s="78">
        <v>0</v>
      </c>
      <c r="AB34" s="78">
        <v>0</v>
      </c>
      <c r="AC34" s="116">
        <v>0</v>
      </c>
      <c r="AD34" s="116">
        <v>0</v>
      </c>
      <c r="AE34" s="116">
        <v>0</v>
      </c>
      <c r="AF34" s="85">
        <v>0</v>
      </c>
      <c r="AG34" s="116">
        <v>0</v>
      </c>
      <c r="AH34" s="116">
        <v>0</v>
      </c>
    </row>
    <row r="35" spans="1:34" x14ac:dyDescent="0.25">
      <c r="A35" s="118" t="s">
        <v>286</v>
      </c>
      <c r="B35" s="118" t="s">
        <v>197</v>
      </c>
      <c r="C35" s="118" t="s">
        <v>198</v>
      </c>
      <c r="D35" s="118" t="s">
        <v>197</v>
      </c>
      <c r="E35" s="118" t="s">
        <v>223</v>
      </c>
      <c r="F35" s="118" t="s">
        <v>200</v>
      </c>
      <c r="G35" s="118" t="s">
        <v>284</v>
      </c>
      <c r="H35" s="119" t="b">
        <f>FALSE()</f>
        <v>0</v>
      </c>
      <c r="I35" s="118" t="s">
        <v>28</v>
      </c>
      <c r="J35" s="118" t="s">
        <v>28</v>
      </c>
      <c r="K35" s="118" t="s">
        <v>28</v>
      </c>
      <c r="L35" s="118" t="s">
        <v>28</v>
      </c>
      <c r="M35" s="118" t="s">
        <v>28</v>
      </c>
      <c r="N35" s="118" t="s">
        <v>28</v>
      </c>
      <c r="O35" s="118" t="s">
        <v>28</v>
      </c>
      <c r="P35" s="118" t="s">
        <v>28</v>
      </c>
      <c r="Q35" s="118" t="s">
        <v>28</v>
      </c>
      <c r="R35" s="118" t="s">
        <v>76</v>
      </c>
      <c r="S35" s="118" t="s">
        <v>204</v>
      </c>
      <c r="T35" s="85">
        <v>0</v>
      </c>
      <c r="U35" s="85">
        <v>0</v>
      </c>
      <c r="V35" s="85">
        <v>0</v>
      </c>
      <c r="W35" s="85">
        <v>0</v>
      </c>
      <c r="X35" s="85">
        <v>0</v>
      </c>
      <c r="Y35" s="85">
        <v>0</v>
      </c>
      <c r="Z35" s="78">
        <v>0</v>
      </c>
      <c r="AA35" s="78">
        <v>0</v>
      </c>
      <c r="AB35" s="78">
        <v>0</v>
      </c>
      <c r="AC35" s="116">
        <v>0</v>
      </c>
      <c r="AD35" s="116">
        <v>0</v>
      </c>
      <c r="AE35" s="116">
        <v>0</v>
      </c>
      <c r="AF35" s="85">
        <v>0</v>
      </c>
      <c r="AG35" s="116">
        <v>0</v>
      </c>
      <c r="AH35" s="116">
        <v>0</v>
      </c>
    </row>
    <row r="36" spans="1:34" x14ac:dyDescent="0.25">
      <c r="A36" s="118" t="s">
        <v>286</v>
      </c>
      <c r="B36" s="118" t="s">
        <v>197</v>
      </c>
      <c r="C36" s="118" t="s">
        <v>198</v>
      </c>
      <c r="D36" s="118" t="s">
        <v>197</v>
      </c>
      <c r="E36" s="118" t="s">
        <v>223</v>
      </c>
      <c r="F36" s="118" t="s">
        <v>200</v>
      </c>
      <c r="G36" s="118" t="s">
        <v>284</v>
      </c>
      <c r="H36" s="119" t="b">
        <f>FALSE()</f>
        <v>0</v>
      </c>
      <c r="I36" s="118" t="s">
        <v>28</v>
      </c>
      <c r="J36" s="118" t="s">
        <v>28</v>
      </c>
      <c r="K36" s="118" t="s">
        <v>28</v>
      </c>
      <c r="L36" s="118" t="s">
        <v>28</v>
      </c>
      <c r="M36" s="118" t="s">
        <v>28</v>
      </c>
      <c r="N36" s="118" t="s">
        <v>28</v>
      </c>
      <c r="O36" s="118" t="s">
        <v>28</v>
      </c>
      <c r="P36" s="118" t="s">
        <v>28</v>
      </c>
      <c r="Q36" s="118" t="s">
        <v>28</v>
      </c>
      <c r="R36" s="118" t="s">
        <v>78</v>
      </c>
      <c r="S36" s="118" t="s">
        <v>79</v>
      </c>
      <c r="T36" s="85">
        <v>3984299.9</v>
      </c>
      <c r="U36" s="85">
        <v>3984299.9</v>
      </c>
      <c r="V36" s="85">
        <v>3984299.9</v>
      </c>
      <c r="W36" s="85">
        <v>3984299.9</v>
      </c>
      <c r="X36" s="85">
        <v>3984334.94</v>
      </c>
      <c r="Y36" s="85">
        <v>3984334.94</v>
      </c>
      <c r="Z36" s="78">
        <v>3984334.94</v>
      </c>
      <c r="AA36" s="78">
        <v>3984334.94</v>
      </c>
      <c r="AB36" s="78">
        <v>3984334.94</v>
      </c>
      <c r="AC36" s="116">
        <v>0</v>
      </c>
      <c r="AD36" s="116">
        <v>0</v>
      </c>
      <c r="AE36" s="116">
        <v>0</v>
      </c>
      <c r="AF36" s="85">
        <v>3984300</v>
      </c>
      <c r="AG36" s="116">
        <v>0</v>
      </c>
      <c r="AH36" s="116">
        <v>0</v>
      </c>
    </row>
    <row r="37" spans="1:34" x14ac:dyDescent="0.25">
      <c r="A37" s="118" t="s">
        <v>286</v>
      </c>
      <c r="B37" s="118" t="s">
        <v>197</v>
      </c>
      <c r="C37" s="118" t="s">
        <v>198</v>
      </c>
      <c r="D37" s="118" t="s">
        <v>197</v>
      </c>
      <c r="E37" s="118" t="s">
        <v>223</v>
      </c>
      <c r="F37" s="118" t="s">
        <v>200</v>
      </c>
      <c r="G37" s="118" t="s">
        <v>284</v>
      </c>
      <c r="H37" s="119" t="b">
        <f>FALSE()</f>
        <v>0</v>
      </c>
      <c r="I37" s="118" t="s">
        <v>28</v>
      </c>
      <c r="J37" s="118" t="s">
        <v>28</v>
      </c>
      <c r="K37" s="118" t="s">
        <v>28</v>
      </c>
      <c r="L37" s="118" t="s">
        <v>28</v>
      </c>
      <c r="M37" s="118" t="s">
        <v>28</v>
      </c>
      <c r="N37" s="118" t="s">
        <v>28</v>
      </c>
      <c r="O37" s="118" t="s">
        <v>28</v>
      </c>
      <c r="P37" s="118" t="s">
        <v>28</v>
      </c>
      <c r="Q37" s="118" t="s">
        <v>28</v>
      </c>
      <c r="R37" s="118" t="s">
        <v>80</v>
      </c>
      <c r="S37" s="118" t="s">
        <v>81</v>
      </c>
      <c r="T37" s="85">
        <v>-8519.07</v>
      </c>
      <c r="U37" s="85">
        <v>-8519.07</v>
      </c>
      <c r="V37" s="85">
        <v>-8519.07</v>
      </c>
      <c r="W37" s="85">
        <v>-8519.07</v>
      </c>
      <c r="X37" s="85">
        <v>-8519.07</v>
      </c>
      <c r="Y37" s="85">
        <v>-8519.07</v>
      </c>
      <c r="Z37" s="78">
        <v>-8519.07</v>
      </c>
      <c r="AA37" s="78">
        <v>-8519.07</v>
      </c>
      <c r="AB37" s="78">
        <v>-8519.07</v>
      </c>
      <c r="AC37" s="116">
        <v>0</v>
      </c>
      <c r="AD37" s="116">
        <v>0</v>
      </c>
      <c r="AE37" s="116">
        <v>0</v>
      </c>
      <c r="AF37" s="85">
        <v>-8519</v>
      </c>
      <c r="AG37" s="116">
        <v>0</v>
      </c>
      <c r="AH37" s="116">
        <v>0</v>
      </c>
    </row>
    <row r="38" spans="1:34" x14ac:dyDescent="0.25">
      <c r="A38" s="118" t="s">
        <v>286</v>
      </c>
      <c r="B38" s="118" t="s">
        <v>197</v>
      </c>
      <c r="C38" s="118" t="s">
        <v>198</v>
      </c>
      <c r="D38" s="118" t="s">
        <v>197</v>
      </c>
      <c r="E38" s="118" t="s">
        <v>223</v>
      </c>
      <c r="F38" s="118" t="s">
        <v>200</v>
      </c>
      <c r="G38" s="118" t="s">
        <v>284</v>
      </c>
      <c r="H38" s="119" t="b">
        <f>FALSE()</f>
        <v>0</v>
      </c>
      <c r="I38" s="118" t="s">
        <v>28</v>
      </c>
      <c r="J38" s="118" t="s">
        <v>28</v>
      </c>
      <c r="K38" s="118" t="s">
        <v>28</v>
      </c>
      <c r="L38" s="118" t="s">
        <v>28</v>
      </c>
      <c r="M38" s="118" t="s">
        <v>28</v>
      </c>
      <c r="N38" s="118" t="s">
        <v>28</v>
      </c>
      <c r="O38" s="118" t="s">
        <v>28</v>
      </c>
      <c r="P38" s="118" t="s">
        <v>28</v>
      </c>
      <c r="Q38" s="118" t="s">
        <v>28</v>
      </c>
      <c r="R38" s="118" t="s">
        <v>82</v>
      </c>
      <c r="S38" s="118" t="s">
        <v>83</v>
      </c>
      <c r="T38" s="85">
        <v>-891053.5</v>
      </c>
      <c r="U38" s="85">
        <v>-891053.5</v>
      </c>
      <c r="V38" s="85">
        <v>-891053.5</v>
      </c>
      <c r="W38" s="85">
        <v>-891053.5</v>
      </c>
      <c r="X38" s="85">
        <v>-891053.5</v>
      </c>
      <c r="Y38" s="85">
        <v>-891053.5</v>
      </c>
      <c r="Z38" s="78">
        <v>-891053.5</v>
      </c>
      <c r="AA38" s="78">
        <v>-891053.5</v>
      </c>
      <c r="AB38" s="78">
        <v>-891053.5</v>
      </c>
      <c r="AC38" s="116">
        <v>0</v>
      </c>
      <c r="AD38" s="116">
        <v>0</v>
      </c>
      <c r="AE38" s="116">
        <v>0</v>
      </c>
      <c r="AF38" s="85">
        <v>-891054</v>
      </c>
      <c r="AG38" s="116">
        <v>0</v>
      </c>
      <c r="AH38" s="116">
        <v>0</v>
      </c>
    </row>
    <row r="39" spans="1:34" x14ac:dyDescent="0.25">
      <c r="A39" s="118" t="s">
        <v>286</v>
      </c>
      <c r="B39" s="118" t="s">
        <v>197</v>
      </c>
      <c r="C39" s="118" t="s">
        <v>198</v>
      </c>
      <c r="D39" s="118" t="s">
        <v>197</v>
      </c>
      <c r="E39" s="118" t="s">
        <v>223</v>
      </c>
      <c r="F39" s="118" t="s">
        <v>200</v>
      </c>
      <c r="G39" s="118" t="s">
        <v>284</v>
      </c>
      <c r="H39" s="119" t="b">
        <f>FALSE()</f>
        <v>0</v>
      </c>
      <c r="I39" s="118" t="s">
        <v>28</v>
      </c>
      <c r="J39" s="118" t="s">
        <v>28</v>
      </c>
      <c r="K39" s="118" t="s">
        <v>28</v>
      </c>
      <c r="L39" s="118" t="s">
        <v>28</v>
      </c>
      <c r="M39" s="118" t="s">
        <v>28</v>
      </c>
      <c r="N39" s="118" t="s">
        <v>28</v>
      </c>
      <c r="O39" s="118" t="s">
        <v>28</v>
      </c>
      <c r="P39" s="118" t="s">
        <v>28</v>
      </c>
      <c r="Q39" s="118" t="s">
        <v>28</v>
      </c>
      <c r="R39" s="118" t="s">
        <v>84</v>
      </c>
      <c r="S39" s="118" t="s">
        <v>85</v>
      </c>
      <c r="T39" s="114">
        <v>-2955381.85</v>
      </c>
      <c r="U39" s="114">
        <v>-3051196.82</v>
      </c>
      <c r="V39" s="114">
        <v>-3128884.68</v>
      </c>
      <c r="W39" s="114">
        <v>-3228485.13</v>
      </c>
      <c r="X39" s="114">
        <v>-3325250.29</v>
      </c>
      <c r="Y39" s="114">
        <v>-3422629.38</v>
      </c>
      <c r="Z39" s="78">
        <v>-3512502.04</v>
      </c>
      <c r="AA39" s="78">
        <v>-3594269.32</v>
      </c>
      <c r="AB39" s="78">
        <v>-3671175.64</v>
      </c>
      <c r="AC39" s="116">
        <v>0</v>
      </c>
      <c r="AD39" s="116">
        <v>0</v>
      </c>
      <c r="AE39" s="116">
        <v>0</v>
      </c>
      <c r="AF39" s="85">
        <v>-2921249</v>
      </c>
      <c r="AG39" s="116">
        <v>0</v>
      </c>
      <c r="AH39" s="116">
        <v>0</v>
      </c>
    </row>
    <row r="40" spans="1:34" x14ac:dyDescent="0.25">
      <c r="A40" s="118" t="s">
        <v>286</v>
      </c>
      <c r="B40" s="118" t="s">
        <v>197</v>
      </c>
      <c r="C40" s="118" t="s">
        <v>198</v>
      </c>
      <c r="D40" s="118" t="s">
        <v>197</v>
      </c>
      <c r="E40" s="118" t="s">
        <v>223</v>
      </c>
      <c r="F40" s="118" t="s">
        <v>200</v>
      </c>
      <c r="G40" s="118" t="s">
        <v>284</v>
      </c>
      <c r="H40" s="119" t="b">
        <f>FALSE()</f>
        <v>0</v>
      </c>
      <c r="I40" s="118" t="s">
        <v>28</v>
      </c>
      <c r="J40" s="118" t="s">
        <v>28</v>
      </c>
      <c r="K40" s="118" t="s">
        <v>28</v>
      </c>
      <c r="L40" s="118" t="s">
        <v>28</v>
      </c>
      <c r="M40" s="118" t="s">
        <v>28</v>
      </c>
      <c r="N40" s="118" t="s">
        <v>28</v>
      </c>
      <c r="O40" s="118" t="s">
        <v>28</v>
      </c>
      <c r="P40" s="118" t="s">
        <v>28</v>
      </c>
      <c r="Q40" s="118" t="s">
        <v>28</v>
      </c>
      <c r="R40" s="118" t="s">
        <v>267</v>
      </c>
      <c r="S40" s="118" t="s">
        <v>268</v>
      </c>
      <c r="T40" s="85">
        <v>-102383.09</v>
      </c>
      <c r="U40" s="85">
        <v>-102415.76</v>
      </c>
      <c r="V40" s="85">
        <v>-102454.64</v>
      </c>
      <c r="W40" s="85">
        <v>-102473.99</v>
      </c>
      <c r="X40" s="85">
        <v>-102489.89</v>
      </c>
      <c r="Y40" s="85">
        <v>-102521.17</v>
      </c>
      <c r="Z40" s="78">
        <v>-102520.84</v>
      </c>
      <c r="AA40" s="78">
        <v>-102520.71</v>
      </c>
      <c r="AB40" s="78">
        <v>-102520.58</v>
      </c>
      <c r="AC40" s="116">
        <v>0</v>
      </c>
      <c r="AD40" s="116">
        <v>0</v>
      </c>
      <c r="AE40" s="116">
        <v>0</v>
      </c>
      <c r="AF40" s="85">
        <v>-102378</v>
      </c>
      <c r="AG40" s="116">
        <v>0</v>
      </c>
      <c r="AH40" s="116">
        <v>0</v>
      </c>
    </row>
    <row r="41" spans="1:34" x14ac:dyDescent="0.25">
      <c r="A41" s="118" t="s">
        <v>286</v>
      </c>
      <c r="B41" s="118" t="s">
        <v>197</v>
      </c>
      <c r="C41" s="118" t="s">
        <v>198</v>
      </c>
      <c r="D41" s="118" t="s">
        <v>197</v>
      </c>
      <c r="E41" s="118" t="s">
        <v>223</v>
      </c>
      <c r="F41" s="118" t="s">
        <v>200</v>
      </c>
      <c r="G41" s="118" t="s">
        <v>284</v>
      </c>
      <c r="H41" s="119" t="b">
        <f>FALSE()</f>
        <v>0</v>
      </c>
      <c r="I41" s="118" t="s">
        <v>28</v>
      </c>
      <c r="J41" s="118" t="s">
        <v>28</v>
      </c>
      <c r="K41" s="118" t="s">
        <v>28</v>
      </c>
      <c r="L41" s="118" t="s">
        <v>28</v>
      </c>
      <c r="M41" s="118" t="s">
        <v>28</v>
      </c>
      <c r="N41" s="118" t="s">
        <v>28</v>
      </c>
      <c r="O41" s="118" t="s">
        <v>28</v>
      </c>
      <c r="P41" s="118" t="s">
        <v>28</v>
      </c>
      <c r="Q41" s="118" t="s">
        <v>28</v>
      </c>
      <c r="R41" s="118" t="s">
        <v>86</v>
      </c>
      <c r="S41" s="118" t="s">
        <v>87</v>
      </c>
      <c r="T41" s="85">
        <v>26962.39</v>
      </c>
      <c r="U41" s="85">
        <v>-68885.25</v>
      </c>
      <c r="V41" s="85">
        <v>-146611.99</v>
      </c>
      <c r="W41" s="85">
        <v>-246231.79</v>
      </c>
      <c r="X41" s="85">
        <v>-342977.81</v>
      </c>
      <c r="Y41" s="85">
        <v>-440388.18</v>
      </c>
      <c r="Z41" s="78">
        <v>-530260.51</v>
      </c>
      <c r="AA41" s="78">
        <v>-612027.66</v>
      </c>
      <c r="AB41" s="78">
        <v>-688933.85</v>
      </c>
      <c r="AC41" s="116">
        <v>0</v>
      </c>
      <c r="AD41" s="116">
        <v>0</v>
      </c>
      <c r="AE41" s="116">
        <v>0</v>
      </c>
      <c r="AF41" s="85">
        <v>61101</v>
      </c>
      <c r="AG41" s="116">
        <v>0</v>
      </c>
      <c r="AH41" s="116">
        <v>0</v>
      </c>
    </row>
    <row r="42" spans="1:34" x14ac:dyDescent="0.25">
      <c r="A42" s="118" t="s">
        <v>286</v>
      </c>
      <c r="B42" s="118" t="s">
        <v>197</v>
      </c>
      <c r="C42" s="118" t="s">
        <v>198</v>
      </c>
      <c r="D42" s="118" t="s">
        <v>197</v>
      </c>
      <c r="E42" s="118" t="s">
        <v>223</v>
      </c>
      <c r="F42" s="118" t="s">
        <v>200</v>
      </c>
      <c r="G42" s="118" t="s">
        <v>284</v>
      </c>
      <c r="H42" s="119" t="b">
        <f>FALSE()</f>
        <v>0</v>
      </c>
      <c r="I42" s="118" t="s">
        <v>28</v>
      </c>
      <c r="J42" s="118" t="s">
        <v>28</v>
      </c>
      <c r="K42" s="118" t="s">
        <v>28</v>
      </c>
      <c r="L42" s="118" t="s">
        <v>28</v>
      </c>
      <c r="M42" s="118" t="s">
        <v>28</v>
      </c>
      <c r="N42" s="118" t="s">
        <v>28</v>
      </c>
      <c r="O42" s="118" t="s">
        <v>28</v>
      </c>
      <c r="P42" s="118" t="s">
        <v>28</v>
      </c>
      <c r="Q42" s="118" t="s">
        <v>28</v>
      </c>
      <c r="R42" s="118" t="s">
        <v>28</v>
      </c>
      <c r="S42" s="118" t="s">
        <v>28</v>
      </c>
      <c r="T42" s="85">
        <v>0</v>
      </c>
      <c r="U42" s="85">
        <v>0</v>
      </c>
      <c r="V42" s="85">
        <v>0</v>
      </c>
      <c r="W42" s="85">
        <v>0</v>
      </c>
      <c r="X42" s="85">
        <v>0</v>
      </c>
      <c r="Y42" s="85">
        <v>0</v>
      </c>
      <c r="Z42" s="78">
        <v>0</v>
      </c>
      <c r="AA42" s="78">
        <v>0</v>
      </c>
      <c r="AB42" s="78">
        <v>0</v>
      </c>
      <c r="AC42" s="116">
        <v>0</v>
      </c>
      <c r="AD42" s="116">
        <v>0</v>
      </c>
      <c r="AE42" s="116">
        <v>0</v>
      </c>
      <c r="AF42" s="85">
        <v>0</v>
      </c>
      <c r="AG42" s="116">
        <v>0</v>
      </c>
      <c r="AH42" s="116">
        <v>0</v>
      </c>
    </row>
    <row r="43" spans="1:34" x14ac:dyDescent="0.25">
      <c r="A43" s="118" t="s">
        <v>286</v>
      </c>
      <c r="B43" s="118" t="s">
        <v>197</v>
      </c>
      <c r="C43" s="118" t="s">
        <v>198</v>
      </c>
      <c r="D43" s="118" t="s">
        <v>197</v>
      </c>
      <c r="E43" s="118" t="s">
        <v>223</v>
      </c>
      <c r="F43" s="118" t="s">
        <v>200</v>
      </c>
      <c r="G43" s="118" t="s">
        <v>284</v>
      </c>
      <c r="H43" s="119" t="b">
        <f>FALSE()</f>
        <v>0</v>
      </c>
      <c r="I43" s="118" t="s">
        <v>28</v>
      </c>
      <c r="J43" s="118" t="s">
        <v>28</v>
      </c>
      <c r="K43" s="118" t="s">
        <v>28</v>
      </c>
      <c r="L43" s="118" t="s">
        <v>28</v>
      </c>
      <c r="M43" s="118" t="s">
        <v>28</v>
      </c>
      <c r="N43" s="118" t="s">
        <v>28</v>
      </c>
      <c r="O43" s="118" t="s">
        <v>28</v>
      </c>
      <c r="P43" s="118" t="s">
        <v>28</v>
      </c>
      <c r="Q43" s="118" t="s">
        <v>28</v>
      </c>
      <c r="R43" s="118" t="s">
        <v>88</v>
      </c>
      <c r="S43" s="118" t="s">
        <v>205</v>
      </c>
      <c r="T43" s="85">
        <v>5336889.84</v>
      </c>
      <c r="U43" s="85">
        <v>5566901.1100000003</v>
      </c>
      <c r="V43" s="85">
        <v>5497370.4800000004</v>
      </c>
      <c r="W43" s="85">
        <v>5745751.3700000001</v>
      </c>
      <c r="X43" s="85">
        <v>5897519.2300000004</v>
      </c>
      <c r="Y43" s="85">
        <v>5726041.0300000003</v>
      </c>
      <c r="Z43" s="78">
        <v>5819460.8099999996</v>
      </c>
      <c r="AA43" s="78">
        <v>5907679.1500000004</v>
      </c>
      <c r="AB43" s="78">
        <v>6162046.4900000002</v>
      </c>
      <c r="AC43" s="116">
        <v>0</v>
      </c>
      <c r="AD43" s="116">
        <v>0</v>
      </c>
      <c r="AE43" s="116">
        <v>0</v>
      </c>
      <c r="AF43" s="85">
        <v>4579294</v>
      </c>
      <c r="AG43" s="116">
        <v>0</v>
      </c>
      <c r="AH43" s="116">
        <v>0</v>
      </c>
    </row>
    <row r="44" spans="1:34" x14ac:dyDescent="0.25">
      <c r="A44" s="118" t="s">
        <v>286</v>
      </c>
      <c r="B44" s="118" t="s">
        <v>197</v>
      </c>
      <c r="C44" s="118" t="s">
        <v>198</v>
      </c>
      <c r="D44" s="118" t="s">
        <v>197</v>
      </c>
      <c r="E44" s="118" t="s">
        <v>223</v>
      </c>
      <c r="F44" s="118" t="s">
        <v>200</v>
      </c>
      <c r="G44" s="118" t="s">
        <v>284</v>
      </c>
      <c r="H44" s="119" t="b">
        <f>FALSE()</f>
        <v>0</v>
      </c>
      <c r="I44" s="118" t="s">
        <v>28</v>
      </c>
      <c r="J44" s="118" t="s">
        <v>28</v>
      </c>
      <c r="K44" s="118" t="s">
        <v>28</v>
      </c>
      <c r="L44" s="118" t="s">
        <v>28</v>
      </c>
      <c r="M44" s="118" t="s">
        <v>28</v>
      </c>
      <c r="N44" s="118" t="s">
        <v>28</v>
      </c>
      <c r="O44" s="118" t="s">
        <v>28</v>
      </c>
      <c r="P44" s="118" t="s">
        <v>28</v>
      </c>
      <c r="Q44" s="118" t="s">
        <v>28</v>
      </c>
      <c r="R44" s="118" t="s">
        <v>28</v>
      </c>
      <c r="S44" s="118" t="s">
        <v>28</v>
      </c>
      <c r="T44" s="85">
        <v>0</v>
      </c>
      <c r="U44" s="85">
        <v>0</v>
      </c>
      <c r="V44" s="85">
        <v>0</v>
      </c>
      <c r="W44" s="85">
        <v>0</v>
      </c>
      <c r="X44" s="85">
        <v>0</v>
      </c>
      <c r="Y44" s="85">
        <v>0</v>
      </c>
      <c r="Z44" s="78">
        <v>0</v>
      </c>
      <c r="AA44" s="78">
        <v>0</v>
      </c>
      <c r="AB44" s="78">
        <v>0</v>
      </c>
      <c r="AC44" s="116">
        <v>0</v>
      </c>
      <c r="AD44" s="116">
        <v>0</v>
      </c>
      <c r="AE44" s="116">
        <v>0</v>
      </c>
      <c r="AF44" s="85">
        <v>0</v>
      </c>
      <c r="AG44" s="116">
        <v>0</v>
      </c>
      <c r="AH44" s="116">
        <v>0</v>
      </c>
    </row>
    <row r="45" spans="1:34" x14ac:dyDescent="0.25">
      <c r="A45" s="118" t="s">
        <v>286</v>
      </c>
      <c r="B45" s="118" t="s">
        <v>197</v>
      </c>
      <c r="C45" s="118" t="s">
        <v>198</v>
      </c>
      <c r="D45" s="118" t="s">
        <v>197</v>
      </c>
      <c r="E45" s="118" t="s">
        <v>223</v>
      </c>
      <c r="F45" s="118" t="s">
        <v>200</v>
      </c>
      <c r="G45" s="118" t="s">
        <v>284</v>
      </c>
      <c r="H45" s="119" t="b">
        <f>FALSE()</f>
        <v>0</v>
      </c>
      <c r="I45" s="118" t="s">
        <v>28</v>
      </c>
      <c r="J45" s="118" t="s">
        <v>28</v>
      </c>
      <c r="K45" s="118" t="s">
        <v>28</v>
      </c>
      <c r="L45" s="118" t="s">
        <v>28</v>
      </c>
      <c r="M45" s="118" t="s">
        <v>28</v>
      </c>
      <c r="N45" s="118" t="s">
        <v>28</v>
      </c>
      <c r="O45" s="118" t="s">
        <v>28</v>
      </c>
      <c r="P45" s="118" t="s">
        <v>28</v>
      </c>
      <c r="Q45" s="118" t="s">
        <v>28</v>
      </c>
      <c r="R45" s="118" t="s">
        <v>90</v>
      </c>
      <c r="S45" s="118" t="s">
        <v>91</v>
      </c>
      <c r="T45" s="116">
        <v>0</v>
      </c>
      <c r="U45" s="116">
        <v>0</v>
      </c>
      <c r="V45" s="116">
        <v>0</v>
      </c>
      <c r="W45" s="116">
        <v>0</v>
      </c>
      <c r="X45" s="85">
        <v>0</v>
      </c>
      <c r="Y45" s="85">
        <v>0</v>
      </c>
      <c r="Z45" s="78">
        <v>0</v>
      </c>
      <c r="AA45" s="78">
        <v>0</v>
      </c>
      <c r="AB45" s="78">
        <v>0</v>
      </c>
      <c r="AC45" s="116">
        <v>0</v>
      </c>
      <c r="AD45" s="116">
        <v>0</v>
      </c>
      <c r="AE45" s="116">
        <v>0</v>
      </c>
      <c r="AF45" s="85">
        <v>770421</v>
      </c>
      <c r="AG45" s="116">
        <v>0</v>
      </c>
      <c r="AH45" s="116">
        <v>0</v>
      </c>
    </row>
    <row r="46" spans="1:34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3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3"/>
      <c r="AG46" s="122"/>
      <c r="AH46" s="122"/>
    </row>
    <row r="47" spans="1:34" x14ac:dyDescent="0.25">
      <c r="U47" s="116"/>
      <c r="V47" s="116"/>
      <c r="W47" s="116"/>
      <c r="X47" s="116"/>
      <c r="Y47" s="116"/>
      <c r="Z47" s="116"/>
    </row>
    <row r="48" spans="1:34" hidden="1" x14ac:dyDescent="0.25">
      <c r="T48" s="116"/>
      <c r="U48" s="116">
        <f>U39-T39</f>
        <v>-95814.969999999739</v>
      </c>
      <c r="V48" s="116">
        <f t="shared" ref="V48:Z48" si="0">V39-U39</f>
        <v>-77687.860000000335</v>
      </c>
      <c r="W48" s="116">
        <f t="shared" si="0"/>
        <v>-99600.449999999721</v>
      </c>
      <c r="X48" s="116">
        <f t="shared" si="0"/>
        <v>-96765.160000000149</v>
      </c>
      <c r="Y48" s="116">
        <f t="shared" si="0"/>
        <v>-97379.089999999851</v>
      </c>
      <c r="Z48" s="116">
        <f t="shared" si="0"/>
        <v>-89872.660000000149</v>
      </c>
      <c r="AA48" s="116">
        <f>AA39-Z39</f>
        <v>-81767.279999999795</v>
      </c>
    </row>
    <row r="49" spans="20:28" ht="15.75" hidden="1" customHeight="1" x14ac:dyDescent="0.25">
      <c r="T49" s="111">
        <v>-91323.78</v>
      </c>
      <c r="U49" s="111">
        <v>-95814.97</v>
      </c>
      <c r="V49" s="111">
        <v>-77687.86</v>
      </c>
      <c r="W49" s="111">
        <v>-99600.45</v>
      </c>
      <c r="X49" s="111">
        <v>-96765.16</v>
      </c>
      <c r="Y49" s="111">
        <v>-97379.09</v>
      </c>
      <c r="Z49" s="111">
        <v>-88940.6</v>
      </c>
      <c r="AA49" s="125">
        <v>-83047.260000000242</v>
      </c>
      <c r="AB49" s="116"/>
    </row>
    <row r="50" spans="20:28" ht="15.75" hidden="1" customHeight="1" x14ac:dyDescent="0.25">
      <c r="U50" s="116">
        <f>U48-IS_MOM!V34</f>
        <v>-9170.1699999997363</v>
      </c>
    </row>
    <row r="51" spans="20:28" ht="15.75" hidden="1" customHeight="1" x14ac:dyDescent="0.25">
      <c r="T51" s="115">
        <v>-2853637.2199999997</v>
      </c>
      <c r="U51" s="115">
        <v>-2854264.2500000005</v>
      </c>
      <c r="V51" s="115">
        <v>-2850988.39</v>
      </c>
      <c r="W51" s="115">
        <v>-2851493.9400000004</v>
      </c>
      <c r="X51" s="117">
        <v>-2700522.78</v>
      </c>
      <c r="Y51" s="117">
        <v>-2685606.6899999995</v>
      </c>
      <c r="Z51" s="117">
        <v>-3119426.5999999996</v>
      </c>
    </row>
    <row r="52" spans="20:28" ht="15.75" hidden="1" customHeight="1" x14ac:dyDescent="0.25"/>
    <row r="53" spans="20:28" ht="15.75" hidden="1" customHeight="1" x14ac:dyDescent="0.25">
      <c r="T53" s="111">
        <v>-65991.3</v>
      </c>
      <c r="U53" s="111">
        <v>-70402.600000000006</v>
      </c>
      <c r="V53" s="111">
        <v>-79550.23</v>
      </c>
      <c r="W53" s="111">
        <v>-80782.17</v>
      </c>
      <c r="X53" s="111">
        <v>-82687.600000000006</v>
      </c>
      <c r="Y53" s="111">
        <v>-83390.67</v>
      </c>
      <c r="Z53" s="111">
        <v>-76646.490000000005</v>
      </c>
    </row>
    <row r="54" spans="20:28" ht="15.75" hidden="1" customHeight="1" x14ac:dyDescent="0.25"/>
    <row r="55" spans="20:28" ht="15.75" hidden="1" customHeight="1" x14ac:dyDescent="0.25">
      <c r="W55" s="116">
        <f>W32-X32</f>
        <v>-150078.08000000007</v>
      </c>
    </row>
    <row r="56" spans="20:28" ht="15.75" hidden="1" customHeight="1" x14ac:dyDescent="0.25">
      <c r="T56" s="116"/>
    </row>
    <row r="57" spans="20:28" ht="15.75" hidden="1" customHeight="1" x14ac:dyDescent="0.25">
      <c r="T57" s="116">
        <f t="shared" ref="T57:Z57" si="1">T51+T45</f>
        <v>-2853637.2199999997</v>
      </c>
      <c r="U57" s="116">
        <f t="shared" si="1"/>
        <v>-2854264.2500000005</v>
      </c>
      <c r="V57" s="116">
        <f t="shared" si="1"/>
        <v>-2850988.39</v>
      </c>
      <c r="W57" s="116">
        <f t="shared" si="1"/>
        <v>-2851493.9400000004</v>
      </c>
      <c r="X57" s="116">
        <f t="shared" si="1"/>
        <v>-2700522.78</v>
      </c>
      <c r="Y57" s="116">
        <f t="shared" si="1"/>
        <v>-2685606.6899999995</v>
      </c>
      <c r="Z57" s="116">
        <f t="shared" si="1"/>
        <v>-3119426.5999999996</v>
      </c>
    </row>
    <row r="58" spans="20:28" ht="15.75" hidden="1" customHeight="1" x14ac:dyDescent="0.25"/>
    <row r="59" spans="20:28" ht="15.75" hidden="1" customHeight="1" x14ac:dyDescent="0.25"/>
    <row r="60" spans="20:28" ht="15.75" customHeight="1" x14ac:dyDescent="0.25"/>
    <row r="61" spans="20:28" ht="15.75" customHeight="1" x14ac:dyDescent="0.25"/>
    <row r="62" spans="20:28" ht="15.75" customHeight="1" x14ac:dyDescent="0.25"/>
    <row r="63" spans="20:28" ht="15.75" customHeight="1" x14ac:dyDescent="0.25"/>
    <row r="64" spans="20:2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AJ1000"/>
  <sheetViews>
    <sheetView topLeftCell="P1" zoomScaleNormal="100" workbookViewId="0">
      <selection activeCell="A4" sqref="A4"/>
    </sheetView>
  </sheetViews>
  <sheetFormatPr defaultRowHeight="15" customHeight="1" x14ac:dyDescent="0.25"/>
  <cols>
    <col min="1" max="1" width="16.85546875" bestFit="1" customWidth="1"/>
    <col min="2" max="2" width="8" bestFit="1" customWidth="1"/>
    <col min="3" max="3" width="12.85546875" bestFit="1" customWidth="1"/>
    <col min="4" max="4" width="15.7109375" bestFit="1" customWidth="1"/>
    <col min="5" max="5" width="18.7109375" bestFit="1" customWidth="1"/>
    <col min="6" max="6" width="9.5703125" bestFit="1" customWidth="1"/>
    <col min="7" max="7" width="11.85546875" bestFit="1" customWidth="1"/>
    <col min="8" max="8" width="15.140625" bestFit="1" customWidth="1"/>
    <col min="9" max="9" width="14.5703125" bestFit="1" customWidth="1"/>
    <col min="10" max="10" width="18.42578125" bestFit="1" customWidth="1"/>
    <col min="11" max="11" width="19.7109375" bestFit="1" customWidth="1"/>
    <col min="12" max="12" width="17.85546875" bestFit="1" customWidth="1"/>
    <col min="13" max="13" width="18" bestFit="1" customWidth="1"/>
    <col min="14" max="14" width="17.85546875" bestFit="1" customWidth="1"/>
    <col min="15" max="15" width="16.5703125" bestFit="1" customWidth="1"/>
    <col min="16" max="16" width="17.5703125" bestFit="1" customWidth="1"/>
    <col min="17" max="17" width="18.42578125" bestFit="1" customWidth="1"/>
    <col min="18" max="18" width="10.140625" bestFit="1" customWidth="1"/>
    <col min="19" max="19" width="13.85546875" bestFit="1" customWidth="1"/>
    <col min="20" max="28" width="13.85546875" customWidth="1"/>
    <col min="29" max="29" width="10.85546875" customWidth="1"/>
    <col min="30" max="30" width="12" bestFit="1" customWidth="1"/>
    <col min="31" max="31" width="11.85546875" bestFit="1" customWidth="1"/>
    <col min="32" max="32" width="12.140625" bestFit="1" customWidth="1"/>
    <col min="33" max="33" width="7.7109375" bestFit="1" customWidth="1"/>
    <col min="34" max="34" width="4.42578125" bestFit="1" customWidth="1"/>
  </cols>
  <sheetData>
    <row r="1" spans="1:36" x14ac:dyDescent="0.25">
      <c r="A1" s="75" t="s">
        <v>164</v>
      </c>
      <c r="B1" s="75" t="s">
        <v>165</v>
      </c>
      <c r="C1" s="75" t="s">
        <v>166</v>
      </c>
      <c r="D1" s="75" t="s">
        <v>167</v>
      </c>
      <c r="E1" s="75" t="s">
        <v>168</v>
      </c>
      <c r="F1" s="75" t="s">
        <v>169</v>
      </c>
      <c r="G1" s="75" t="s">
        <v>170</v>
      </c>
      <c r="H1" s="75" t="s">
        <v>171</v>
      </c>
      <c r="I1" s="75" t="s">
        <v>172</v>
      </c>
      <c r="J1" s="75" t="s">
        <v>173</v>
      </c>
      <c r="K1" s="75" t="s">
        <v>174</v>
      </c>
      <c r="L1" s="75" t="s">
        <v>294</v>
      </c>
      <c r="M1" s="75" t="s">
        <v>175</v>
      </c>
      <c r="N1" s="75" t="s">
        <v>176</v>
      </c>
      <c r="O1" s="75" t="s">
        <v>177</v>
      </c>
      <c r="P1" s="75" t="s">
        <v>178</v>
      </c>
      <c r="Q1" s="75" t="s">
        <v>179</v>
      </c>
      <c r="R1" s="75" t="s">
        <v>180</v>
      </c>
      <c r="S1" s="75" t="s">
        <v>181</v>
      </c>
      <c r="T1" s="75" t="s">
        <v>182</v>
      </c>
      <c r="U1" s="75" t="s">
        <v>212</v>
      </c>
      <c r="V1" s="75" t="s">
        <v>213</v>
      </c>
      <c r="W1" s="75" t="s">
        <v>214</v>
      </c>
      <c r="X1" s="75" t="s">
        <v>215</v>
      </c>
      <c r="Y1" s="75" t="s">
        <v>24</v>
      </c>
      <c r="Z1" s="75" t="s">
        <v>216</v>
      </c>
      <c r="AA1" s="75" t="s">
        <v>217</v>
      </c>
      <c r="AB1" s="75" t="s">
        <v>218</v>
      </c>
      <c r="AC1" s="75" t="s">
        <v>219</v>
      </c>
      <c r="AD1" s="75" t="s">
        <v>220</v>
      </c>
      <c r="AE1" s="75" t="s">
        <v>221</v>
      </c>
      <c r="AF1" s="75" t="s">
        <v>222</v>
      </c>
      <c r="AG1" s="75" t="s">
        <v>123</v>
      </c>
      <c r="AH1" s="75" t="s">
        <v>187</v>
      </c>
      <c r="AI1" s="75" t="s">
        <v>188</v>
      </c>
      <c r="AJ1" t="s">
        <v>189</v>
      </c>
    </row>
    <row r="2" spans="1:36" x14ac:dyDescent="0.25">
      <c r="A2" s="76" t="s">
        <v>283</v>
      </c>
      <c r="B2" s="76" t="s">
        <v>224</v>
      </c>
      <c r="C2" s="76" t="s">
        <v>225</v>
      </c>
      <c r="D2" s="76" t="s">
        <v>224</v>
      </c>
      <c r="E2" s="76" t="s">
        <v>228</v>
      </c>
      <c r="F2" s="76" t="s">
        <v>200</v>
      </c>
      <c r="G2" s="76" t="s">
        <v>282</v>
      </c>
      <c r="H2" s="77" t="b">
        <f>TRUE()</f>
        <v>1</v>
      </c>
      <c r="I2" s="76" t="s">
        <v>28</v>
      </c>
      <c r="J2" s="76" t="s">
        <v>28</v>
      </c>
      <c r="K2" s="76" t="s">
        <v>28</v>
      </c>
      <c r="L2" s="76"/>
      <c r="M2" s="76" t="s">
        <v>28</v>
      </c>
      <c r="N2" s="76" t="s">
        <v>28</v>
      </c>
      <c r="O2" s="76" t="s">
        <v>28</v>
      </c>
      <c r="P2" s="76" t="s">
        <v>28</v>
      </c>
      <c r="Q2" s="76" t="s">
        <v>28</v>
      </c>
      <c r="R2" s="76" t="s">
        <v>28</v>
      </c>
      <c r="S2" s="76" t="s">
        <v>28</v>
      </c>
      <c r="T2" s="76" t="s">
        <v>28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  <c r="AI2" s="78">
        <v>0</v>
      </c>
    </row>
    <row r="3" spans="1:36" x14ac:dyDescent="0.25">
      <c r="A3" s="76" t="s">
        <v>283</v>
      </c>
      <c r="B3" s="76" t="s">
        <v>224</v>
      </c>
      <c r="C3" s="76" t="s">
        <v>225</v>
      </c>
      <c r="D3" s="76" t="s">
        <v>224</v>
      </c>
      <c r="E3" s="76" t="s">
        <v>228</v>
      </c>
      <c r="F3" s="76" t="s">
        <v>200</v>
      </c>
      <c r="G3" s="76" t="s">
        <v>282</v>
      </c>
      <c r="H3" s="77" t="b">
        <f>TRUE()</f>
        <v>1</v>
      </c>
      <c r="I3" s="76" t="s">
        <v>28</v>
      </c>
      <c r="J3" s="76" t="s">
        <v>28</v>
      </c>
      <c r="K3" s="76" t="s">
        <v>28</v>
      </c>
      <c r="L3" s="76"/>
      <c r="M3" s="76" t="s">
        <v>28</v>
      </c>
      <c r="N3" s="76" t="s">
        <v>28</v>
      </c>
      <c r="O3" s="76" t="s">
        <v>28</v>
      </c>
      <c r="P3" s="76" t="s">
        <v>28</v>
      </c>
      <c r="Q3" s="76" t="s">
        <v>28</v>
      </c>
      <c r="R3" s="76" t="s">
        <v>28</v>
      </c>
      <c r="S3" s="76" t="s">
        <v>122</v>
      </c>
      <c r="T3" s="76" t="s">
        <v>92</v>
      </c>
      <c r="U3" s="78">
        <v>0</v>
      </c>
      <c r="V3" s="78">
        <v>0</v>
      </c>
      <c r="W3" s="78">
        <v>0</v>
      </c>
      <c r="X3" s="78">
        <v>0</v>
      </c>
      <c r="Y3" s="78">
        <v>0</v>
      </c>
      <c r="Z3" s="78">
        <v>0</v>
      </c>
      <c r="AA3" s="78">
        <v>0</v>
      </c>
      <c r="AB3" s="78">
        <v>0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  <c r="AI3" s="78">
        <v>0</v>
      </c>
    </row>
    <row r="4" spans="1:36" x14ac:dyDescent="0.25">
      <c r="A4" s="76" t="s">
        <v>283</v>
      </c>
      <c r="B4" s="76" t="s">
        <v>224</v>
      </c>
      <c r="C4" s="76" t="s">
        <v>225</v>
      </c>
      <c r="D4" s="76" t="s">
        <v>224</v>
      </c>
      <c r="E4" s="76" t="s">
        <v>228</v>
      </c>
      <c r="F4" s="76" t="s">
        <v>200</v>
      </c>
      <c r="G4" s="76" t="s">
        <v>282</v>
      </c>
      <c r="H4" s="77" t="b">
        <f>TRUE()</f>
        <v>1</v>
      </c>
      <c r="I4" s="76" t="s">
        <v>28</v>
      </c>
      <c r="J4" s="76" t="s">
        <v>28</v>
      </c>
      <c r="K4" s="76" t="s">
        <v>28</v>
      </c>
      <c r="L4" s="76"/>
      <c r="M4" s="76" t="s">
        <v>28</v>
      </c>
      <c r="N4" s="76" t="s">
        <v>28</v>
      </c>
      <c r="O4" s="76" t="s">
        <v>28</v>
      </c>
      <c r="P4" s="76" t="s">
        <v>28</v>
      </c>
      <c r="Q4" s="76" t="s">
        <v>28</v>
      </c>
      <c r="R4" s="76" t="s">
        <v>28</v>
      </c>
      <c r="S4" s="76" t="s">
        <v>124</v>
      </c>
      <c r="T4" s="76" t="s">
        <v>93</v>
      </c>
      <c r="U4" s="78">
        <v>28635.54</v>
      </c>
      <c r="V4" s="78">
        <v>29287.07</v>
      </c>
      <c r="W4" s="78">
        <v>35674.46</v>
      </c>
      <c r="X4" s="78">
        <v>40096.28</v>
      </c>
      <c r="Y4" s="78">
        <v>42886.19</v>
      </c>
      <c r="Z4" s="78">
        <v>40458.800000000003</v>
      </c>
      <c r="AA4" s="78">
        <v>51807.68</v>
      </c>
      <c r="AB4" s="78">
        <v>52010.58</v>
      </c>
      <c r="AC4" s="78">
        <v>51919.6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  <c r="AI4" s="78">
        <v>0</v>
      </c>
    </row>
    <row r="5" spans="1:36" x14ac:dyDescent="0.25">
      <c r="A5" s="76" t="s">
        <v>283</v>
      </c>
      <c r="B5" s="76" t="s">
        <v>224</v>
      </c>
      <c r="C5" s="76" t="s">
        <v>225</v>
      </c>
      <c r="D5" s="76" t="s">
        <v>224</v>
      </c>
      <c r="E5" s="76" t="s">
        <v>228</v>
      </c>
      <c r="F5" s="76" t="s">
        <v>200</v>
      </c>
      <c r="G5" s="76" t="s">
        <v>282</v>
      </c>
      <c r="H5" s="77" t="b">
        <f>TRUE()</f>
        <v>1</v>
      </c>
      <c r="I5" s="76" t="s">
        <v>28</v>
      </c>
      <c r="J5" s="76" t="s">
        <v>28</v>
      </c>
      <c r="K5" s="76" t="s">
        <v>28</v>
      </c>
      <c r="L5" s="76"/>
      <c r="M5" s="76" t="s">
        <v>28</v>
      </c>
      <c r="N5" s="76" t="s">
        <v>28</v>
      </c>
      <c r="O5" s="76" t="s">
        <v>28</v>
      </c>
      <c r="P5" s="76" t="s">
        <v>28</v>
      </c>
      <c r="Q5" s="76" t="s">
        <v>28</v>
      </c>
      <c r="R5" s="76" t="s">
        <v>28</v>
      </c>
      <c r="S5" s="76" t="s">
        <v>125</v>
      </c>
      <c r="T5" s="76" t="s">
        <v>94</v>
      </c>
      <c r="U5" s="78">
        <v>4932.24</v>
      </c>
      <c r="V5" s="78">
        <v>4938.9799999999996</v>
      </c>
      <c r="W5" s="78">
        <v>6075.04</v>
      </c>
      <c r="X5" s="78">
        <v>4891.5200000000004</v>
      </c>
      <c r="Y5" s="78">
        <v>5987.87</v>
      </c>
      <c r="Z5" s="78">
        <v>7263.71</v>
      </c>
      <c r="AA5" s="78">
        <v>8820.3700000000008</v>
      </c>
      <c r="AB5" s="78">
        <v>5472.76</v>
      </c>
      <c r="AC5" s="78">
        <v>5064.87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</row>
    <row r="6" spans="1:36" x14ac:dyDescent="0.25">
      <c r="A6" s="76" t="s">
        <v>283</v>
      </c>
      <c r="B6" s="76" t="s">
        <v>224</v>
      </c>
      <c r="C6" s="76" t="s">
        <v>225</v>
      </c>
      <c r="D6" s="76" t="s">
        <v>224</v>
      </c>
      <c r="E6" s="76" t="s">
        <v>228</v>
      </c>
      <c r="F6" s="76" t="s">
        <v>200</v>
      </c>
      <c r="G6" s="76" t="s">
        <v>282</v>
      </c>
      <c r="H6" s="77" t="b">
        <f>TRUE()</f>
        <v>1</v>
      </c>
      <c r="I6" s="76" t="s">
        <v>28</v>
      </c>
      <c r="J6" s="76" t="s">
        <v>28</v>
      </c>
      <c r="K6" s="76" t="s">
        <v>28</v>
      </c>
      <c r="L6" s="76"/>
      <c r="M6" s="76" t="s">
        <v>28</v>
      </c>
      <c r="N6" s="76" t="s">
        <v>28</v>
      </c>
      <c r="O6" s="76" t="s">
        <v>28</v>
      </c>
      <c r="P6" s="76" t="s">
        <v>28</v>
      </c>
      <c r="Q6" s="76" t="s">
        <v>28</v>
      </c>
      <c r="R6" s="76" t="s">
        <v>28</v>
      </c>
      <c r="S6" s="76" t="s">
        <v>126</v>
      </c>
      <c r="T6" s="76" t="s">
        <v>95</v>
      </c>
      <c r="U6" s="78">
        <v>-23709.39</v>
      </c>
      <c r="V6" s="78">
        <v>-22451.360000000001</v>
      </c>
      <c r="W6" s="78">
        <v>-26057.9</v>
      </c>
      <c r="X6" s="78">
        <v>-25911.72</v>
      </c>
      <c r="Y6" s="78">
        <v>-28550.58</v>
      </c>
      <c r="Z6" s="78">
        <v>-29903.51</v>
      </c>
      <c r="AA6" s="78">
        <v>-32709.78</v>
      </c>
      <c r="AB6" s="78">
        <v>-34007.49</v>
      </c>
      <c r="AC6" s="78">
        <v>-34403.71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</row>
    <row r="7" spans="1:36" x14ac:dyDescent="0.25">
      <c r="A7" s="76" t="s">
        <v>283</v>
      </c>
      <c r="B7" s="76" t="s">
        <v>224</v>
      </c>
      <c r="C7" s="76" t="s">
        <v>225</v>
      </c>
      <c r="D7" s="76" t="s">
        <v>224</v>
      </c>
      <c r="E7" s="76" t="s">
        <v>228</v>
      </c>
      <c r="F7" s="76" t="s">
        <v>200</v>
      </c>
      <c r="G7" s="76" t="s">
        <v>282</v>
      </c>
      <c r="H7" s="77" t="b">
        <f>TRUE()</f>
        <v>1</v>
      </c>
      <c r="I7" s="76" t="s">
        <v>28</v>
      </c>
      <c r="J7" s="76" t="s">
        <v>28</v>
      </c>
      <c r="K7" s="76" t="s">
        <v>28</v>
      </c>
      <c r="L7" s="76"/>
      <c r="M7" s="76" t="s">
        <v>28</v>
      </c>
      <c r="N7" s="76" t="s">
        <v>28</v>
      </c>
      <c r="O7" s="76" t="s">
        <v>28</v>
      </c>
      <c r="P7" s="76" t="s">
        <v>28</v>
      </c>
      <c r="Q7" s="76" t="s">
        <v>28</v>
      </c>
      <c r="R7" s="76" t="s">
        <v>28</v>
      </c>
      <c r="S7" s="76" t="s">
        <v>51</v>
      </c>
      <c r="T7" s="76" t="s">
        <v>96</v>
      </c>
      <c r="U7" s="78">
        <v>9858.39</v>
      </c>
      <c r="V7" s="78">
        <v>11774.69</v>
      </c>
      <c r="W7" s="78">
        <v>15691.6</v>
      </c>
      <c r="X7" s="78">
        <v>19076.080000000002</v>
      </c>
      <c r="Y7" s="78">
        <v>20323.48</v>
      </c>
      <c r="Z7" s="78">
        <v>17819</v>
      </c>
      <c r="AA7" s="78">
        <v>27918.27</v>
      </c>
      <c r="AB7" s="78">
        <v>23475.85</v>
      </c>
      <c r="AC7" s="78">
        <v>22580.76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</row>
    <row r="8" spans="1:36" x14ac:dyDescent="0.25">
      <c r="A8" s="76" t="s">
        <v>283</v>
      </c>
      <c r="B8" s="76" t="s">
        <v>224</v>
      </c>
      <c r="C8" s="76" t="s">
        <v>225</v>
      </c>
      <c r="D8" s="76" t="s">
        <v>224</v>
      </c>
      <c r="E8" s="76" t="s">
        <v>228</v>
      </c>
      <c r="F8" s="76" t="s">
        <v>200</v>
      </c>
      <c r="G8" s="76" t="s">
        <v>282</v>
      </c>
      <c r="H8" s="77" t="b">
        <f>TRUE()</f>
        <v>1</v>
      </c>
      <c r="I8" s="76" t="s">
        <v>28</v>
      </c>
      <c r="J8" s="76" t="s">
        <v>28</v>
      </c>
      <c r="K8" s="76" t="s">
        <v>28</v>
      </c>
      <c r="L8" s="76"/>
      <c r="M8" s="76" t="s">
        <v>28</v>
      </c>
      <c r="N8" s="76" t="s">
        <v>28</v>
      </c>
      <c r="O8" s="76" t="s">
        <v>28</v>
      </c>
      <c r="P8" s="76" t="s">
        <v>28</v>
      </c>
      <c r="Q8" s="76" t="s">
        <v>28</v>
      </c>
      <c r="R8" s="76" t="s">
        <v>28</v>
      </c>
      <c r="S8" s="76" t="s">
        <v>255</v>
      </c>
      <c r="T8" s="76" t="s">
        <v>28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</row>
    <row r="9" spans="1:36" x14ac:dyDescent="0.25">
      <c r="A9" s="76" t="s">
        <v>283</v>
      </c>
      <c r="B9" s="76" t="s">
        <v>224</v>
      </c>
      <c r="C9" s="76" t="s">
        <v>225</v>
      </c>
      <c r="D9" s="76" t="s">
        <v>224</v>
      </c>
      <c r="E9" s="76" t="s">
        <v>228</v>
      </c>
      <c r="F9" s="76" t="s">
        <v>200</v>
      </c>
      <c r="G9" s="76" t="s">
        <v>282</v>
      </c>
      <c r="H9" s="77" t="b">
        <f>TRUE()</f>
        <v>1</v>
      </c>
      <c r="I9" s="76" t="s">
        <v>28</v>
      </c>
      <c r="J9" s="76" t="s">
        <v>28</v>
      </c>
      <c r="K9" s="76" t="s">
        <v>28</v>
      </c>
      <c r="L9" s="76"/>
      <c r="M9" s="76" t="s">
        <v>28</v>
      </c>
      <c r="N9" s="76" t="s">
        <v>28</v>
      </c>
      <c r="O9" s="76" t="s">
        <v>28</v>
      </c>
      <c r="P9" s="76" t="s">
        <v>28</v>
      </c>
      <c r="Q9" s="76" t="s">
        <v>28</v>
      </c>
      <c r="R9" s="76" t="s">
        <v>28</v>
      </c>
      <c r="S9" s="76" t="s">
        <v>127</v>
      </c>
      <c r="T9" s="76" t="s">
        <v>97</v>
      </c>
      <c r="U9" s="78">
        <v>32362.17</v>
      </c>
      <c r="V9" s="78">
        <v>29717.119999999999</v>
      </c>
      <c r="W9" s="78">
        <v>29960.97</v>
      </c>
      <c r="X9" s="78">
        <v>33589.21</v>
      </c>
      <c r="Y9" s="78">
        <v>36108.68</v>
      </c>
      <c r="Z9" s="78">
        <v>31395.87</v>
      </c>
      <c r="AA9" s="78">
        <v>36615.18</v>
      </c>
      <c r="AB9" s="78">
        <v>42400.68</v>
      </c>
      <c r="AC9" s="78">
        <v>46153.74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</row>
    <row r="10" spans="1:36" x14ac:dyDescent="0.25">
      <c r="A10" s="76" t="s">
        <v>283</v>
      </c>
      <c r="B10" s="76" t="s">
        <v>224</v>
      </c>
      <c r="C10" s="76" t="s">
        <v>225</v>
      </c>
      <c r="D10" s="76" t="s">
        <v>224</v>
      </c>
      <c r="E10" s="76" t="s">
        <v>228</v>
      </c>
      <c r="F10" s="76" t="s">
        <v>200</v>
      </c>
      <c r="G10" s="76" t="s">
        <v>282</v>
      </c>
      <c r="H10" s="77" t="b">
        <f>TRUE()</f>
        <v>1</v>
      </c>
      <c r="I10" s="76" t="s">
        <v>28</v>
      </c>
      <c r="J10" s="76" t="s">
        <v>28</v>
      </c>
      <c r="K10" s="76" t="s">
        <v>28</v>
      </c>
      <c r="L10" s="76"/>
      <c r="M10" s="76" t="s">
        <v>28</v>
      </c>
      <c r="N10" s="76" t="s">
        <v>28</v>
      </c>
      <c r="O10" s="76" t="s">
        <v>28</v>
      </c>
      <c r="P10" s="76" t="s">
        <v>28</v>
      </c>
      <c r="Q10" s="76" t="s">
        <v>28</v>
      </c>
      <c r="R10" s="76" t="s">
        <v>28</v>
      </c>
      <c r="S10" s="76" t="s">
        <v>128</v>
      </c>
      <c r="T10" s="76" t="s">
        <v>98</v>
      </c>
      <c r="U10" s="78">
        <v>658.37</v>
      </c>
      <c r="V10" s="78">
        <v>602.98</v>
      </c>
      <c r="W10" s="78">
        <v>536.38</v>
      </c>
      <c r="X10" s="78">
        <v>852.05</v>
      </c>
      <c r="Y10" s="78">
        <v>804.28</v>
      </c>
      <c r="Z10" s="78">
        <v>593.73</v>
      </c>
      <c r="AA10" s="78">
        <v>910.39</v>
      </c>
      <c r="AB10" s="78">
        <v>926.12</v>
      </c>
      <c r="AC10" s="78">
        <v>860.46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0</v>
      </c>
      <c r="AJ10" s="78"/>
    </row>
    <row r="11" spans="1:36" x14ac:dyDescent="0.25">
      <c r="A11" s="76" t="s">
        <v>283</v>
      </c>
      <c r="B11" s="76" t="s">
        <v>224</v>
      </c>
      <c r="C11" s="76" t="s">
        <v>225</v>
      </c>
      <c r="D11" s="76" t="s">
        <v>224</v>
      </c>
      <c r="E11" s="76" t="s">
        <v>228</v>
      </c>
      <c r="F11" s="76" t="s">
        <v>200</v>
      </c>
      <c r="G11" s="76" t="s">
        <v>282</v>
      </c>
      <c r="H11" s="77" t="b">
        <f>TRUE()</f>
        <v>1</v>
      </c>
      <c r="I11" s="76" t="s">
        <v>28</v>
      </c>
      <c r="J11" s="76" t="s">
        <v>28</v>
      </c>
      <c r="K11" s="76" t="s">
        <v>28</v>
      </c>
      <c r="L11" s="76"/>
      <c r="M11" s="76" t="s">
        <v>28</v>
      </c>
      <c r="N11" s="76" t="s">
        <v>28</v>
      </c>
      <c r="O11" s="76" t="s">
        <v>28</v>
      </c>
      <c r="P11" s="76" t="s">
        <v>28</v>
      </c>
      <c r="Q11" s="76" t="s">
        <v>28</v>
      </c>
      <c r="R11" s="76" t="s">
        <v>28</v>
      </c>
      <c r="S11" s="76" t="s">
        <v>129</v>
      </c>
      <c r="T11" s="76" t="s">
        <v>256</v>
      </c>
      <c r="U11" s="78">
        <v>6507.52</v>
      </c>
      <c r="V11" s="78">
        <v>6253.8</v>
      </c>
      <c r="W11" s="78">
        <v>6253.8</v>
      </c>
      <c r="X11" s="78">
        <v>6253.8</v>
      </c>
      <c r="Y11" s="78">
        <v>6253.8</v>
      </c>
      <c r="Z11" s="78">
        <v>6253.8</v>
      </c>
      <c r="AA11" s="78">
        <v>6253.8</v>
      </c>
      <c r="AB11" s="78">
        <v>253.8</v>
      </c>
      <c r="AC11" s="78">
        <v>2520.14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78">
        <v>0</v>
      </c>
    </row>
    <row r="12" spans="1:36" x14ac:dyDescent="0.25">
      <c r="A12" s="76" t="s">
        <v>283</v>
      </c>
      <c r="B12" s="76" t="s">
        <v>224</v>
      </c>
      <c r="C12" s="76" t="s">
        <v>225</v>
      </c>
      <c r="D12" s="76" t="s">
        <v>224</v>
      </c>
      <c r="E12" s="76" t="s">
        <v>228</v>
      </c>
      <c r="F12" s="76" t="s">
        <v>200</v>
      </c>
      <c r="G12" s="76" t="s">
        <v>282</v>
      </c>
      <c r="H12" s="77" t="b">
        <f>TRUE()</f>
        <v>1</v>
      </c>
      <c r="I12" s="76" t="s">
        <v>28</v>
      </c>
      <c r="J12" s="76" t="s">
        <v>28</v>
      </c>
      <c r="K12" s="76" t="s">
        <v>28</v>
      </c>
      <c r="L12" s="76"/>
      <c r="M12" s="76" t="s">
        <v>28</v>
      </c>
      <c r="N12" s="76" t="s">
        <v>28</v>
      </c>
      <c r="O12" s="76" t="s">
        <v>28</v>
      </c>
      <c r="P12" s="76" t="s">
        <v>28</v>
      </c>
      <c r="Q12" s="76" t="s">
        <v>28</v>
      </c>
      <c r="R12" s="76" t="s">
        <v>28</v>
      </c>
      <c r="S12" s="76" t="s">
        <v>88</v>
      </c>
      <c r="T12" s="76" t="s">
        <v>100</v>
      </c>
      <c r="U12" s="78">
        <v>39528.06</v>
      </c>
      <c r="V12" s="78">
        <v>36573.9</v>
      </c>
      <c r="W12" s="78">
        <v>36751.15</v>
      </c>
      <c r="X12" s="78">
        <v>40695.06</v>
      </c>
      <c r="Y12" s="78">
        <v>43166.76</v>
      </c>
      <c r="Z12" s="78">
        <v>38243.4</v>
      </c>
      <c r="AA12" s="78">
        <v>43779.37</v>
      </c>
      <c r="AB12" s="78">
        <v>43580.6</v>
      </c>
      <c r="AC12" s="78">
        <v>49534.34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78">
        <v>0</v>
      </c>
    </row>
    <row r="13" spans="1:36" x14ac:dyDescent="0.25">
      <c r="A13" s="76" t="s">
        <v>283</v>
      </c>
      <c r="B13" s="76" t="s">
        <v>224</v>
      </c>
      <c r="C13" s="76" t="s">
        <v>225</v>
      </c>
      <c r="D13" s="76" t="s">
        <v>224</v>
      </c>
      <c r="E13" s="76" t="s">
        <v>228</v>
      </c>
      <c r="F13" s="76" t="s">
        <v>200</v>
      </c>
      <c r="G13" s="76" t="s">
        <v>282</v>
      </c>
      <c r="H13" s="77" t="b">
        <f>TRUE()</f>
        <v>1</v>
      </c>
      <c r="I13" s="76" t="s">
        <v>28</v>
      </c>
      <c r="J13" s="76" t="s">
        <v>28</v>
      </c>
      <c r="K13" s="76" t="s">
        <v>28</v>
      </c>
      <c r="L13" s="76"/>
      <c r="M13" s="76" t="s">
        <v>28</v>
      </c>
      <c r="N13" s="76" t="s">
        <v>28</v>
      </c>
      <c r="O13" s="76" t="s">
        <v>28</v>
      </c>
      <c r="P13" s="76" t="s">
        <v>28</v>
      </c>
      <c r="Q13" s="76" t="s">
        <v>28</v>
      </c>
      <c r="R13" s="76" t="s">
        <v>28</v>
      </c>
      <c r="S13" s="76" t="s">
        <v>257</v>
      </c>
      <c r="T13" s="76" t="s">
        <v>28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0</v>
      </c>
    </row>
    <row r="14" spans="1:36" x14ac:dyDescent="0.25">
      <c r="A14" s="76" t="s">
        <v>283</v>
      </c>
      <c r="B14" s="76" t="s">
        <v>224</v>
      </c>
      <c r="C14" s="76" t="s">
        <v>225</v>
      </c>
      <c r="D14" s="76" t="s">
        <v>224</v>
      </c>
      <c r="E14" s="76" t="s">
        <v>228</v>
      </c>
      <c r="F14" s="76" t="s">
        <v>200</v>
      </c>
      <c r="G14" s="76" t="s">
        <v>282</v>
      </c>
      <c r="H14" s="77" t="b">
        <f>TRUE()</f>
        <v>1</v>
      </c>
      <c r="I14" s="76" t="s">
        <v>28</v>
      </c>
      <c r="J14" s="76" t="s">
        <v>28</v>
      </c>
      <c r="K14" s="76" t="s">
        <v>28</v>
      </c>
      <c r="L14" s="76"/>
      <c r="M14" s="76" t="s">
        <v>28</v>
      </c>
      <c r="N14" s="76" t="s">
        <v>28</v>
      </c>
      <c r="O14" s="76" t="s">
        <v>28</v>
      </c>
      <c r="P14" s="76" t="s">
        <v>28</v>
      </c>
      <c r="Q14" s="76" t="s">
        <v>28</v>
      </c>
      <c r="R14" s="76" t="s">
        <v>28</v>
      </c>
      <c r="S14" s="76" t="s">
        <v>130</v>
      </c>
      <c r="T14" s="76" t="s">
        <v>101</v>
      </c>
      <c r="U14" s="78">
        <v>49386.45</v>
      </c>
      <c r="V14" s="78">
        <v>48348.59</v>
      </c>
      <c r="W14" s="78">
        <v>52442.75</v>
      </c>
      <c r="X14" s="78">
        <v>59771.14</v>
      </c>
      <c r="Y14" s="78">
        <v>63490.239999999998</v>
      </c>
      <c r="Z14" s="78">
        <v>56062.400000000001</v>
      </c>
      <c r="AA14" s="78">
        <v>71697.64</v>
      </c>
      <c r="AB14" s="78">
        <v>67056.45</v>
      </c>
      <c r="AC14" s="78">
        <v>72115.100000000006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78">
        <v>0</v>
      </c>
    </row>
    <row r="15" spans="1:36" x14ac:dyDescent="0.25">
      <c r="A15" s="76" t="s">
        <v>283</v>
      </c>
      <c r="B15" s="76" t="s">
        <v>224</v>
      </c>
      <c r="C15" s="76" t="s">
        <v>225</v>
      </c>
      <c r="D15" s="76" t="s">
        <v>224</v>
      </c>
      <c r="E15" s="76" t="s">
        <v>228</v>
      </c>
      <c r="F15" s="76" t="s">
        <v>200</v>
      </c>
      <c r="G15" s="76" t="s">
        <v>282</v>
      </c>
      <c r="H15" s="77" t="b">
        <f>TRUE()</f>
        <v>1</v>
      </c>
      <c r="I15" s="76" t="s">
        <v>28</v>
      </c>
      <c r="J15" s="76" t="s">
        <v>28</v>
      </c>
      <c r="K15" s="76" t="s">
        <v>28</v>
      </c>
      <c r="L15" s="76"/>
      <c r="M15" s="76" t="s">
        <v>28</v>
      </c>
      <c r="N15" s="76" t="s">
        <v>28</v>
      </c>
      <c r="O15" s="76" t="s">
        <v>28</v>
      </c>
      <c r="P15" s="76" t="s">
        <v>28</v>
      </c>
      <c r="Q15" s="76" t="s">
        <v>28</v>
      </c>
      <c r="R15" s="76" t="s">
        <v>28</v>
      </c>
      <c r="S15" s="76" t="s">
        <v>258</v>
      </c>
      <c r="T15" s="76" t="s">
        <v>28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  <c r="AI15" s="78">
        <v>0</v>
      </c>
    </row>
    <row r="16" spans="1:36" x14ac:dyDescent="0.25">
      <c r="A16" s="76" t="s">
        <v>283</v>
      </c>
      <c r="B16" s="76" t="s">
        <v>224</v>
      </c>
      <c r="C16" s="76" t="s">
        <v>225</v>
      </c>
      <c r="D16" s="76" t="s">
        <v>224</v>
      </c>
      <c r="E16" s="76" t="s">
        <v>228</v>
      </c>
      <c r="F16" s="76" t="s">
        <v>200</v>
      </c>
      <c r="G16" s="76" t="s">
        <v>282</v>
      </c>
      <c r="H16" s="77" t="b">
        <f>TRUE()</f>
        <v>1</v>
      </c>
      <c r="I16" s="76" t="s">
        <v>28</v>
      </c>
      <c r="J16" s="76" t="s">
        <v>28</v>
      </c>
      <c r="K16" s="76" t="s">
        <v>28</v>
      </c>
      <c r="L16" s="76"/>
      <c r="M16" s="76" t="s">
        <v>28</v>
      </c>
      <c r="N16" s="76" t="s">
        <v>28</v>
      </c>
      <c r="O16" s="76" t="s">
        <v>28</v>
      </c>
      <c r="P16" s="76" t="s">
        <v>28</v>
      </c>
      <c r="Q16" s="76" t="s">
        <v>28</v>
      </c>
      <c r="R16" s="76" t="s">
        <v>28</v>
      </c>
      <c r="S16" s="76" t="s">
        <v>131</v>
      </c>
      <c r="T16" s="76" t="s">
        <v>102</v>
      </c>
      <c r="U16" s="78">
        <v>5295.01</v>
      </c>
      <c r="V16" s="78">
        <v>4392.29</v>
      </c>
      <c r="W16" s="78">
        <v>7940.39</v>
      </c>
      <c r="X16" s="78">
        <v>6951.63</v>
      </c>
      <c r="Y16" s="78">
        <v>8438.4</v>
      </c>
      <c r="Z16" s="78">
        <v>3630.85</v>
      </c>
      <c r="AA16" s="78">
        <v>8102.46</v>
      </c>
      <c r="AB16" s="78">
        <v>13977.54</v>
      </c>
      <c r="AC16" s="78">
        <v>10471.74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78">
        <v>0</v>
      </c>
    </row>
    <row r="17" spans="1:35" x14ac:dyDescent="0.25">
      <c r="A17" s="76" t="s">
        <v>283</v>
      </c>
      <c r="B17" s="76" t="s">
        <v>224</v>
      </c>
      <c r="C17" s="76" t="s">
        <v>225</v>
      </c>
      <c r="D17" s="76" t="s">
        <v>224</v>
      </c>
      <c r="E17" s="76" t="s">
        <v>228</v>
      </c>
      <c r="F17" s="76" t="s">
        <v>200</v>
      </c>
      <c r="G17" s="76" t="s">
        <v>282</v>
      </c>
      <c r="H17" s="77" t="b">
        <f>TRUE()</f>
        <v>1</v>
      </c>
      <c r="I17" s="76" t="s">
        <v>28</v>
      </c>
      <c r="J17" s="76" t="s">
        <v>28</v>
      </c>
      <c r="K17" s="76" t="s">
        <v>28</v>
      </c>
      <c r="L17" s="76"/>
      <c r="M17" s="76" t="s">
        <v>28</v>
      </c>
      <c r="N17" s="76" t="s">
        <v>28</v>
      </c>
      <c r="O17" s="76" t="s">
        <v>28</v>
      </c>
      <c r="P17" s="76" t="s">
        <v>28</v>
      </c>
      <c r="Q17" s="76" t="s">
        <v>28</v>
      </c>
      <c r="R17" s="76" t="s">
        <v>28</v>
      </c>
      <c r="S17" s="76" t="s">
        <v>132</v>
      </c>
      <c r="T17" s="76" t="s">
        <v>103</v>
      </c>
      <c r="U17" s="78">
        <v>1170.82</v>
      </c>
      <c r="V17" s="78">
        <v>916.42</v>
      </c>
      <c r="W17" s="78">
        <v>1195.33</v>
      </c>
      <c r="X17" s="78">
        <v>1195.51</v>
      </c>
      <c r="Y17" s="78">
        <v>980.05</v>
      </c>
      <c r="Z17" s="78">
        <v>1332.38</v>
      </c>
      <c r="AA17" s="78">
        <v>1125.94</v>
      </c>
      <c r="AB17" s="78">
        <v>1511.98</v>
      </c>
      <c r="AC17" s="78">
        <v>1361.82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  <c r="AI17" s="78">
        <v>0</v>
      </c>
    </row>
    <row r="18" spans="1:35" x14ac:dyDescent="0.25">
      <c r="A18" s="76" t="s">
        <v>283</v>
      </c>
      <c r="B18" s="76" t="s">
        <v>224</v>
      </c>
      <c r="C18" s="76" t="s">
        <v>225</v>
      </c>
      <c r="D18" s="76" t="s">
        <v>224</v>
      </c>
      <c r="E18" s="76" t="s">
        <v>228</v>
      </c>
      <c r="F18" s="76" t="s">
        <v>200</v>
      </c>
      <c r="G18" s="76" t="s">
        <v>282</v>
      </c>
      <c r="H18" s="77" t="b">
        <f>TRUE()</f>
        <v>1</v>
      </c>
      <c r="I18" s="76" t="s">
        <v>28</v>
      </c>
      <c r="J18" s="76" t="s">
        <v>28</v>
      </c>
      <c r="K18" s="76" t="s">
        <v>28</v>
      </c>
      <c r="L18" s="76"/>
      <c r="M18" s="76" t="s">
        <v>28</v>
      </c>
      <c r="N18" s="76" t="s">
        <v>28</v>
      </c>
      <c r="O18" s="76" t="s">
        <v>28</v>
      </c>
      <c r="P18" s="76" t="s">
        <v>28</v>
      </c>
      <c r="Q18" s="76" t="s">
        <v>28</v>
      </c>
      <c r="R18" s="76" t="s">
        <v>28</v>
      </c>
      <c r="S18" s="76" t="s">
        <v>133</v>
      </c>
      <c r="T18" s="76" t="s">
        <v>104</v>
      </c>
      <c r="U18" s="78">
        <v>6465.83</v>
      </c>
      <c r="V18" s="78">
        <v>5308.71</v>
      </c>
      <c r="W18" s="78">
        <v>9135.7199999999993</v>
      </c>
      <c r="X18" s="78">
        <v>8147.14</v>
      </c>
      <c r="Y18" s="78">
        <v>9418.4500000000007</v>
      </c>
      <c r="Z18" s="78">
        <v>4963.2299999999996</v>
      </c>
      <c r="AA18" s="78">
        <v>9228.4</v>
      </c>
      <c r="AB18" s="78">
        <v>15489.52</v>
      </c>
      <c r="AC18" s="78">
        <v>11833.56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</row>
    <row r="19" spans="1:35" x14ac:dyDescent="0.25">
      <c r="A19" s="76" t="s">
        <v>283</v>
      </c>
      <c r="B19" s="76" t="s">
        <v>224</v>
      </c>
      <c r="C19" s="76" t="s">
        <v>225</v>
      </c>
      <c r="D19" s="76" t="s">
        <v>224</v>
      </c>
      <c r="E19" s="76" t="s">
        <v>228</v>
      </c>
      <c r="F19" s="76" t="s">
        <v>200</v>
      </c>
      <c r="G19" s="76" t="s">
        <v>282</v>
      </c>
      <c r="H19" s="77" t="b">
        <f>TRUE()</f>
        <v>1</v>
      </c>
      <c r="I19" s="76" t="s">
        <v>28</v>
      </c>
      <c r="J19" s="76" t="s">
        <v>28</v>
      </c>
      <c r="K19" s="76" t="s">
        <v>28</v>
      </c>
      <c r="L19" s="76"/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76" t="s">
        <v>28</v>
      </c>
      <c r="S19" s="76" t="s">
        <v>259</v>
      </c>
      <c r="T19" s="76" t="s">
        <v>28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</row>
    <row r="20" spans="1:35" x14ac:dyDescent="0.25">
      <c r="A20" s="76" t="s">
        <v>283</v>
      </c>
      <c r="B20" s="76" t="s">
        <v>224</v>
      </c>
      <c r="C20" s="76" t="s">
        <v>225</v>
      </c>
      <c r="D20" s="76" t="s">
        <v>224</v>
      </c>
      <c r="E20" s="76" t="s">
        <v>228</v>
      </c>
      <c r="F20" s="76" t="s">
        <v>200</v>
      </c>
      <c r="G20" s="76" t="s">
        <v>282</v>
      </c>
      <c r="H20" s="77" t="b">
        <f>TRUE()</f>
        <v>1</v>
      </c>
      <c r="I20" s="76" t="s">
        <v>28</v>
      </c>
      <c r="J20" s="76" t="s">
        <v>28</v>
      </c>
      <c r="K20" s="76" t="s">
        <v>28</v>
      </c>
      <c r="L20" s="76"/>
      <c r="M20" s="76" t="s">
        <v>28</v>
      </c>
      <c r="N20" s="76" t="s">
        <v>28</v>
      </c>
      <c r="O20" s="76" t="s">
        <v>28</v>
      </c>
      <c r="P20" s="76" t="s">
        <v>28</v>
      </c>
      <c r="Q20" s="76" t="s">
        <v>28</v>
      </c>
      <c r="R20" s="76" t="s">
        <v>28</v>
      </c>
      <c r="S20" s="76" t="s">
        <v>134</v>
      </c>
      <c r="T20" s="76" t="s">
        <v>105</v>
      </c>
      <c r="U20" s="78">
        <v>42920.62</v>
      </c>
      <c r="V20" s="78">
        <v>43039.88</v>
      </c>
      <c r="W20" s="78">
        <v>43307.03</v>
      </c>
      <c r="X20" s="78">
        <v>51624</v>
      </c>
      <c r="Y20" s="78">
        <v>54071.79</v>
      </c>
      <c r="Z20" s="78">
        <v>51099.17</v>
      </c>
      <c r="AA20" s="78">
        <v>62469.24</v>
      </c>
      <c r="AB20" s="78">
        <v>51566.93</v>
      </c>
      <c r="AC20" s="78">
        <v>60281.54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</row>
    <row r="21" spans="1:35" x14ac:dyDescent="0.25">
      <c r="A21" s="76" t="s">
        <v>283</v>
      </c>
      <c r="B21" s="76" t="s">
        <v>224</v>
      </c>
      <c r="C21" s="76" t="s">
        <v>225</v>
      </c>
      <c r="D21" s="76" t="s">
        <v>224</v>
      </c>
      <c r="E21" s="76" t="s">
        <v>228</v>
      </c>
      <c r="F21" s="76" t="s">
        <v>200</v>
      </c>
      <c r="G21" s="76" t="s">
        <v>282</v>
      </c>
      <c r="H21" s="77" t="b">
        <f>TRUE()</f>
        <v>1</v>
      </c>
      <c r="I21" s="76" t="s">
        <v>28</v>
      </c>
      <c r="J21" s="76" t="s">
        <v>28</v>
      </c>
      <c r="K21" s="76" t="s">
        <v>28</v>
      </c>
      <c r="L21" s="76"/>
      <c r="M21" s="76" t="s">
        <v>28</v>
      </c>
      <c r="N21" s="76" t="s">
        <v>28</v>
      </c>
      <c r="O21" s="76" t="s">
        <v>28</v>
      </c>
      <c r="P21" s="76" t="s">
        <v>28</v>
      </c>
      <c r="Q21" s="76" t="s">
        <v>28</v>
      </c>
      <c r="R21" s="76" t="s">
        <v>28</v>
      </c>
      <c r="S21" s="76" t="s">
        <v>260</v>
      </c>
      <c r="T21" s="76" t="s">
        <v>28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  <c r="AI21" s="78">
        <v>0</v>
      </c>
    </row>
    <row r="22" spans="1:35" x14ac:dyDescent="0.25">
      <c r="A22" s="76" t="s">
        <v>283</v>
      </c>
      <c r="B22" s="76" t="s">
        <v>224</v>
      </c>
      <c r="C22" s="76" t="s">
        <v>225</v>
      </c>
      <c r="D22" s="76" t="s">
        <v>224</v>
      </c>
      <c r="E22" s="76" t="s">
        <v>228</v>
      </c>
      <c r="F22" s="76" t="s">
        <v>200</v>
      </c>
      <c r="G22" s="76" t="s">
        <v>282</v>
      </c>
      <c r="H22" s="77" t="b">
        <f>TRUE()</f>
        <v>1</v>
      </c>
      <c r="I22" s="76" t="s">
        <v>28</v>
      </c>
      <c r="J22" s="76" t="s">
        <v>28</v>
      </c>
      <c r="K22" s="76" t="s">
        <v>28</v>
      </c>
      <c r="L22" s="76"/>
      <c r="M22" s="76" t="s">
        <v>28</v>
      </c>
      <c r="N22" s="76" t="s">
        <v>28</v>
      </c>
      <c r="O22" s="76" t="s">
        <v>28</v>
      </c>
      <c r="P22" s="76" t="s">
        <v>28</v>
      </c>
      <c r="Q22" s="76" t="s">
        <v>28</v>
      </c>
      <c r="R22" s="76" t="s">
        <v>28</v>
      </c>
      <c r="S22" s="76" t="s">
        <v>135</v>
      </c>
      <c r="T22" s="76" t="s">
        <v>106</v>
      </c>
      <c r="U22" s="78">
        <v>14608.31</v>
      </c>
      <c r="V22" s="78">
        <v>15595.01</v>
      </c>
      <c r="W22" s="78">
        <v>17414.68</v>
      </c>
      <c r="X22" s="78">
        <v>24046.41</v>
      </c>
      <c r="Y22" s="78">
        <v>24127.03</v>
      </c>
      <c r="Z22" s="78">
        <v>18558.32</v>
      </c>
      <c r="AA22" s="78">
        <v>17408.22</v>
      </c>
      <c r="AB22" s="78">
        <v>16756.509999999998</v>
      </c>
      <c r="AC22" s="78">
        <v>17478.59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</row>
    <row r="23" spans="1:35" x14ac:dyDescent="0.25">
      <c r="A23" s="76" t="s">
        <v>283</v>
      </c>
      <c r="B23" s="76" t="s">
        <v>224</v>
      </c>
      <c r="C23" s="76" t="s">
        <v>225</v>
      </c>
      <c r="D23" s="76" t="s">
        <v>224</v>
      </c>
      <c r="E23" s="76" t="s">
        <v>228</v>
      </c>
      <c r="F23" s="76" t="s">
        <v>200</v>
      </c>
      <c r="G23" s="76" t="s">
        <v>282</v>
      </c>
      <c r="H23" s="77" t="b">
        <f>TRUE()</f>
        <v>1</v>
      </c>
      <c r="I23" s="76" t="s">
        <v>28</v>
      </c>
      <c r="J23" s="76" t="s">
        <v>28</v>
      </c>
      <c r="K23" s="76" t="s">
        <v>28</v>
      </c>
      <c r="L23" s="76"/>
      <c r="M23" s="76" t="s">
        <v>28</v>
      </c>
      <c r="N23" s="76" t="s">
        <v>28</v>
      </c>
      <c r="O23" s="76" t="s">
        <v>28</v>
      </c>
      <c r="P23" s="76" t="s">
        <v>28</v>
      </c>
      <c r="Q23" s="76" t="s">
        <v>28</v>
      </c>
      <c r="R23" s="76" t="s">
        <v>28</v>
      </c>
      <c r="S23" s="76" t="s">
        <v>136</v>
      </c>
      <c r="T23" s="76" t="s">
        <v>107</v>
      </c>
      <c r="U23" s="78">
        <v>80728.27</v>
      </c>
      <c r="V23" s="78">
        <v>82070.28</v>
      </c>
      <c r="W23" s="78">
        <v>87423.47</v>
      </c>
      <c r="X23" s="78">
        <v>94509.03</v>
      </c>
      <c r="Y23" s="78">
        <v>94474.2</v>
      </c>
      <c r="Z23" s="78">
        <v>97817.55</v>
      </c>
      <c r="AA23" s="78">
        <v>98226.72</v>
      </c>
      <c r="AB23" s="78">
        <v>104794.46</v>
      </c>
      <c r="AC23" s="78">
        <v>110820.98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  <c r="AI23" s="78">
        <v>0</v>
      </c>
    </row>
    <row r="24" spans="1:35" x14ac:dyDescent="0.25">
      <c r="A24" s="76" t="s">
        <v>283</v>
      </c>
      <c r="B24" s="76" t="s">
        <v>224</v>
      </c>
      <c r="C24" s="76" t="s">
        <v>225</v>
      </c>
      <c r="D24" s="76" t="s">
        <v>224</v>
      </c>
      <c r="E24" s="76" t="s">
        <v>228</v>
      </c>
      <c r="F24" s="76" t="s">
        <v>200</v>
      </c>
      <c r="G24" s="76" t="s">
        <v>282</v>
      </c>
      <c r="H24" s="77" t="b">
        <f>TRUE()</f>
        <v>1</v>
      </c>
      <c r="I24" s="76" t="s">
        <v>28</v>
      </c>
      <c r="J24" s="76" t="s">
        <v>28</v>
      </c>
      <c r="K24" s="76" t="s">
        <v>28</v>
      </c>
      <c r="L24" s="76"/>
      <c r="M24" s="76" t="s">
        <v>28</v>
      </c>
      <c r="N24" s="76" t="s">
        <v>28</v>
      </c>
      <c r="O24" s="76" t="s">
        <v>28</v>
      </c>
      <c r="P24" s="76" t="s">
        <v>28</v>
      </c>
      <c r="Q24" s="76" t="s">
        <v>28</v>
      </c>
      <c r="R24" s="76" t="s">
        <v>28</v>
      </c>
      <c r="S24" s="76" t="s">
        <v>261</v>
      </c>
      <c r="T24" s="84" t="s">
        <v>292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-1.4</v>
      </c>
      <c r="AB24" s="78">
        <v>-0.14000000000000001</v>
      </c>
      <c r="AC24" s="78">
        <v>45.36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  <c r="AI24" s="78">
        <v>0</v>
      </c>
    </row>
    <row r="25" spans="1:35" x14ac:dyDescent="0.25">
      <c r="A25" s="76" t="s">
        <v>283</v>
      </c>
      <c r="B25" s="76" t="s">
        <v>224</v>
      </c>
      <c r="C25" s="76" t="s">
        <v>225</v>
      </c>
      <c r="D25" s="76" t="s">
        <v>224</v>
      </c>
      <c r="E25" s="76" t="s">
        <v>228</v>
      </c>
      <c r="F25" s="76" t="s">
        <v>200</v>
      </c>
      <c r="G25" s="76" t="s">
        <v>282</v>
      </c>
      <c r="H25" s="77" t="b">
        <f>TRUE()</f>
        <v>1</v>
      </c>
      <c r="I25" s="76" t="s">
        <v>28</v>
      </c>
      <c r="J25" s="76" t="s">
        <v>28</v>
      </c>
      <c r="K25" s="76" t="s">
        <v>28</v>
      </c>
      <c r="L25" s="76"/>
      <c r="M25" s="76" t="s">
        <v>28</v>
      </c>
      <c r="N25" s="76" t="s">
        <v>28</v>
      </c>
      <c r="O25" s="76" t="s">
        <v>28</v>
      </c>
      <c r="P25" s="76" t="s">
        <v>28</v>
      </c>
      <c r="Q25" s="76" t="s">
        <v>28</v>
      </c>
      <c r="R25" s="76" t="s">
        <v>28</v>
      </c>
      <c r="S25" s="76" t="s">
        <v>137</v>
      </c>
      <c r="T25" s="76" t="s">
        <v>262</v>
      </c>
      <c r="U25" s="78">
        <v>-52415.96</v>
      </c>
      <c r="V25" s="78">
        <v>-54625.41</v>
      </c>
      <c r="W25" s="78">
        <v>-61531.12</v>
      </c>
      <c r="X25" s="78">
        <v>-66931.44</v>
      </c>
      <c r="Y25" s="78">
        <v>-64529.440000000002</v>
      </c>
      <c r="Z25" s="78">
        <v>-65276.7</v>
      </c>
      <c r="AA25" s="78">
        <v>-53164.3</v>
      </c>
      <c r="AB25" s="78">
        <v>-69983.899999999994</v>
      </c>
      <c r="AC25" s="78">
        <v>-68063.39</v>
      </c>
      <c r="AD25" s="78">
        <v>0</v>
      </c>
      <c r="AE25" s="78">
        <v>0</v>
      </c>
      <c r="AF25" s="78">
        <v>0</v>
      </c>
      <c r="AG25" s="78">
        <v>0</v>
      </c>
      <c r="AH25" s="78">
        <v>0</v>
      </c>
      <c r="AI25" s="78">
        <v>0</v>
      </c>
    </row>
    <row r="26" spans="1:35" x14ac:dyDescent="0.25">
      <c r="A26" s="76" t="s">
        <v>283</v>
      </c>
      <c r="B26" s="76" t="s">
        <v>224</v>
      </c>
      <c r="C26" s="76" t="s">
        <v>225</v>
      </c>
      <c r="D26" s="76" t="s">
        <v>224</v>
      </c>
      <c r="E26" s="76" t="s">
        <v>228</v>
      </c>
      <c r="F26" s="76" t="s">
        <v>200</v>
      </c>
      <c r="G26" s="76" t="s">
        <v>282</v>
      </c>
      <c r="H26" s="77" t="b">
        <f>TRUE()</f>
        <v>1</v>
      </c>
      <c r="I26" s="76" t="s">
        <v>28</v>
      </c>
      <c r="J26" s="76" t="s">
        <v>28</v>
      </c>
      <c r="K26" s="76" t="s">
        <v>28</v>
      </c>
      <c r="L26" s="76"/>
      <c r="M26" s="76" t="s">
        <v>28</v>
      </c>
      <c r="N26" s="76" t="s">
        <v>28</v>
      </c>
      <c r="O26" s="76" t="s">
        <v>28</v>
      </c>
      <c r="P26" s="76" t="s">
        <v>28</v>
      </c>
      <c r="Q26" s="76" t="s">
        <v>28</v>
      </c>
      <c r="R26" s="76" t="s">
        <v>28</v>
      </c>
      <c r="S26" s="76" t="s">
        <v>261</v>
      </c>
      <c r="T26" s="76" t="s">
        <v>28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78">
        <v>0</v>
      </c>
    </row>
    <row r="27" spans="1:35" x14ac:dyDescent="0.25">
      <c r="A27" s="76" t="s">
        <v>283</v>
      </c>
      <c r="B27" s="76" t="s">
        <v>224</v>
      </c>
      <c r="C27" s="76" t="s">
        <v>225</v>
      </c>
      <c r="D27" s="76" t="s">
        <v>224</v>
      </c>
      <c r="E27" s="76" t="s">
        <v>228</v>
      </c>
      <c r="F27" s="76" t="s">
        <v>200</v>
      </c>
      <c r="G27" s="76" t="s">
        <v>282</v>
      </c>
      <c r="H27" s="77" t="b">
        <f>TRUE()</f>
        <v>1</v>
      </c>
      <c r="I27" s="76" t="s">
        <v>28</v>
      </c>
      <c r="J27" s="76" t="s">
        <v>28</v>
      </c>
      <c r="K27" s="76" t="s">
        <v>28</v>
      </c>
      <c r="L27" s="76"/>
      <c r="M27" s="76" t="s">
        <v>28</v>
      </c>
      <c r="N27" s="76" t="s">
        <v>28</v>
      </c>
      <c r="O27" s="76" t="s">
        <v>28</v>
      </c>
      <c r="P27" s="76" t="s">
        <v>28</v>
      </c>
      <c r="Q27" s="76" t="s">
        <v>28</v>
      </c>
      <c r="R27" s="76" t="s">
        <v>28</v>
      </c>
      <c r="S27" s="76" t="s">
        <v>263</v>
      </c>
      <c r="T27" s="76" t="s">
        <v>229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F27" s="78">
        <v>0</v>
      </c>
      <c r="AG27" s="78">
        <v>0</v>
      </c>
      <c r="AH27" s="78">
        <v>0</v>
      </c>
      <c r="AI27" s="78">
        <v>0</v>
      </c>
    </row>
    <row r="28" spans="1:35" x14ac:dyDescent="0.25">
      <c r="A28" s="76" t="s">
        <v>283</v>
      </c>
      <c r="B28" s="76" t="s">
        <v>224</v>
      </c>
      <c r="C28" s="76" t="s">
        <v>225</v>
      </c>
      <c r="D28" s="76" t="s">
        <v>224</v>
      </c>
      <c r="E28" s="76" t="s">
        <v>228</v>
      </c>
      <c r="F28" s="76" t="s">
        <v>200</v>
      </c>
      <c r="G28" s="76" t="s">
        <v>282</v>
      </c>
      <c r="H28" s="77" t="b">
        <f>TRUE()</f>
        <v>1</v>
      </c>
      <c r="I28" s="76" t="s">
        <v>28</v>
      </c>
      <c r="J28" s="76" t="s">
        <v>28</v>
      </c>
      <c r="K28" s="76" t="s">
        <v>28</v>
      </c>
      <c r="L28" s="76"/>
      <c r="M28" s="76" t="s">
        <v>28</v>
      </c>
      <c r="N28" s="76" t="s">
        <v>28</v>
      </c>
      <c r="O28" s="76" t="s">
        <v>28</v>
      </c>
      <c r="P28" s="76" t="s">
        <v>28</v>
      </c>
      <c r="Q28" s="76" t="s">
        <v>28</v>
      </c>
      <c r="R28" s="76" t="s">
        <v>28</v>
      </c>
      <c r="S28" s="76" t="s">
        <v>264</v>
      </c>
      <c r="T28" s="76" t="s">
        <v>108</v>
      </c>
      <c r="U28" s="78">
        <v>-52415.96</v>
      </c>
      <c r="V28" s="78">
        <v>-54625.41</v>
      </c>
      <c r="W28" s="78">
        <v>-61531.12</v>
      </c>
      <c r="X28" s="78">
        <v>-66931.44</v>
      </c>
      <c r="Y28" s="78">
        <v>-64529.440000000002</v>
      </c>
      <c r="Z28" s="78">
        <v>-65276.7</v>
      </c>
      <c r="AA28" s="78">
        <v>-53164.3</v>
      </c>
      <c r="AB28" s="78">
        <v>-69983.899999999994</v>
      </c>
      <c r="AC28" s="78">
        <v>-68063.39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  <c r="AI28" s="78">
        <v>0</v>
      </c>
    </row>
    <row r="29" spans="1:35" x14ac:dyDescent="0.25">
      <c r="A29" s="76" t="s">
        <v>283</v>
      </c>
      <c r="B29" s="76" t="s">
        <v>224</v>
      </c>
      <c r="C29" s="76" t="s">
        <v>225</v>
      </c>
      <c r="D29" s="76" t="s">
        <v>224</v>
      </c>
      <c r="E29" s="76" t="s">
        <v>228</v>
      </c>
      <c r="F29" s="76" t="s">
        <v>200</v>
      </c>
      <c r="G29" s="76" t="s">
        <v>282</v>
      </c>
      <c r="H29" s="77" t="b">
        <f>TRUE()</f>
        <v>1</v>
      </c>
      <c r="I29" s="76" t="s">
        <v>28</v>
      </c>
      <c r="J29" s="76" t="s">
        <v>28</v>
      </c>
      <c r="K29" s="76" t="s">
        <v>28</v>
      </c>
      <c r="L29" s="76"/>
      <c r="M29" s="76" t="s">
        <v>28</v>
      </c>
      <c r="N29" s="76" t="s">
        <v>28</v>
      </c>
      <c r="O29" s="76" t="s">
        <v>28</v>
      </c>
      <c r="P29" s="76" t="s">
        <v>28</v>
      </c>
      <c r="Q29" s="76" t="s">
        <v>28</v>
      </c>
      <c r="R29" s="76" t="s">
        <v>28</v>
      </c>
      <c r="S29" s="76" t="s">
        <v>265</v>
      </c>
      <c r="T29" s="76" t="s">
        <v>28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78">
        <v>0</v>
      </c>
    </row>
    <row r="30" spans="1:35" x14ac:dyDescent="0.25">
      <c r="A30" s="76" t="s">
        <v>283</v>
      </c>
      <c r="B30" s="76" t="s">
        <v>224</v>
      </c>
      <c r="C30" s="76" t="s">
        <v>225</v>
      </c>
      <c r="D30" s="76" t="s">
        <v>224</v>
      </c>
      <c r="E30" s="76" t="s">
        <v>228</v>
      </c>
      <c r="F30" s="76" t="s">
        <v>200</v>
      </c>
      <c r="G30" s="76" t="s">
        <v>282</v>
      </c>
      <c r="H30" s="77" t="b">
        <f>TRUE()</f>
        <v>1</v>
      </c>
      <c r="I30" s="76" t="s">
        <v>28</v>
      </c>
      <c r="J30" s="76" t="s">
        <v>28</v>
      </c>
      <c r="K30" s="76" t="s">
        <v>28</v>
      </c>
      <c r="L30" s="76"/>
      <c r="M30" s="76" t="s">
        <v>28</v>
      </c>
      <c r="N30" s="76" t="s">
        <v>28</v>
      </c>
      <c r="O30" s="76" t="s">
        <v>28</v>
      </c>
      <c r="P30" s="76" t="s">
        <v>28</v>
      </c>
      <c r="Q30" s="76" t="s">
        <v>28</v>
      </c>
      <c r="R30" s="76" t="s">
        <v>28</v>
      </c>
      <c r="S30" s="76" t="s">
        <v>138</v>
      </c>
      <c r="T30" s="76" t="s">
        <v>266</v>
      </c>
      <c r="U30" s="78">
        <v>999.54</v>
      </c>
      <c r="V30" s="78">
        <v>1087.48</v>
      </c>
      <c r="W30" s="78">
        <v>1089.79</v>
      </c>
      <c r="X30" s="78">
        <v>1097.5899999999999</v>
      </c>
      <c r="Y30" s="78">
        <v>1089.21</v>
      </c>
      <c r="Z30" s="78">
        <v>1162.79</v>
      </c>
      <c r="AA30" s="78">
        <v>1152.18</v>
      </c>
      <c r="AB30" s="78">
        <v>1152.74</v>
      </c>
      <c r="AC30" s="78">
        <v>1204.1600000000001</v>
      </c>
      <c r="AD30" s="78">
        <v>0</v>
      </c>
      <c r="AE30" s="78">
        <v>0</v>
      </c>
      <c r="AF30" s="78">
        <v>0</v>
      </c>
      <c r="AG30" s="78">
        <v>0</v>
      </c>
      <c r="AH30" s="78">
        <v>0</v>
      </c>
      <c r="AI30" s="78">
        <v>0</v>
      </c>
    </row>
    <row r="31" spans="1:35" x14ac:dyDescent="0.25">
      <c r="A31" s="76" t="s">
        <v>283</v>
      </c>
      <c r="B31" s="76" t="s">
        <v>224</v>
      </c>
      <c r="C31" s="76" t="s">
        <v>225</v>
      </c>
      <c r="D31" s="76" t="s">
        <v>224</v>
      </c>
      <c r="E31" s="76" t="s">
        <v>228</v>
      </c>
      <c r="F31" s="76" t="s">
        <v>200</v>
      </c>
      <c r="G31" s="76" t="s">
        <v>282</v>
      </c>
      <c r="H31" s="77" t="b">
        <f>TRUE()</f>
        <v>1</v>
      </c>
      <c r="I31" s="76" t="s">
        <v>28</v>
      </c>
      <c r="J31" s="76" t="s">
        <v>28</v>
      </c>
      <c r="K31" s="76" t="s">
        <v>28</v>
      </c>
      <c r="L31" s="76"/>
      <c r="M31" s="76" t="s">
        <v>28</v>
      </c>
      <c r="N31" s="76" t="s">
        <v>28</v>
      </c>
      <c r="O31" s="76" t="s">
        <v>28</v>
      </c>
      <c r="P31" s="76" t="s">
        <v>28</v>
      </c>
      <c r="Q31" s="76" t="s">
        <v>28</v>
      </c>
      <c r="R31" s="76" t="s">
        <v>28</v>
      </c>
      <c r="S31" s="76" t="s">
        <v>139</v>
      </c>
      <c r="T31" s="76" t="s">
        <v>110</v>
      </c>
      <c r="U31" s="78">
        <v>20157.939999999999</v>
      </c>
      <c r="V31" s="78">
        <v>20177.41</v>
      </c>
      <c r="W31" s="78">
        <v>20167.669999999998</v>
      </c>
      <c r="X31" s="78">
        <v>20167.669999999998</v>
      </c>
      <c r="Y31" s="78">
        <v>20167.669999999998</v>
      </c>
      <c r="Z31" s="78">
        <v>20167.669999999998</v>
      </c>
      <c r="AA31" s="78">
        <v>20165.650000000001</v>
      </c>
      <c r="AB31" s="78">
        <v>7741.34</v>
      </c>
      <c r="AC31" s="78">
        <v>287.7</v>
      </c>
      <c r="AD31" s="78">
        <v>0</v>
      </c>
      <c r="AE31" s="78">
        <v>0</v>
      </c>
      <c r="AF31" s="78">
        <v>0</v>
      </c>
      <c r="AG31" s="78">
        <v>0</v>
      </c>
      <c r="AH31" s="78">
        <v>0</v>
      </c>
      <c r="AI31" s="78">
        <v>0</v>
      </c>
    </row>
    <row r="32" spans="1:35" x14ac:dyDescent="0.25">
      <c r="A32" s="76" t="s">
        <v>283</v>
      </c>
      <c r="B32" s="76" t="s">
        <v>224</v>
      </c>
      <c r="C32" s="76" t="s">
        <v>225</v>
      </c>
      <c r="D32" s="76" t="s">
        <v>224</v>
      </c>
      <c r="E32" s="76" t="s">
        <v>228</v>
      </c>
      <c r="F32" s="76" t="s">
        <v>200</v>
      </c>
      <c r="G32" s="76" t="s">
        <v>282</v>
      </c>
      <c r="H32" s="77" t="b">
        <f>TRUE()</f>
        <v>1</v>
      </c>
      <c r="I32" s="76" t="s">
        <v>28</v>
      </c>
      <c r="J32" s="76" t="s">
        <v>28</v>
      </c>
      <c r="K32" s="76" t="s">
        <v>28</v>
      </c>
      <c r="L32" s="76"/>
      <c r="M32" s="76" t="s">
        <v>28</v>
      </c>
      <c r="N32" s="76" t="s">
        <v>28</v>
      </c>
      <c r="O32" s="76" t="s">
        <v>28</v>
      </c>
      <c r="P32" s="76" t="s">
        <v>28</v>
      </c>
      <c r="Q32" s="76" t="s">
        <v>28</v>
      </c>
      <c r="R32" s="76" t="s">
        <v>28</v>
      </c>
      <c r="S32" s="76" t="s">
        <v>140</v>
      </c>
      <c r="T32" s="76" t="s">
        <v>111</v>
      </c>
      <c r="U32" s="78">
        <v>8866.64</v>
      </c>
      <c r="V32" s="78">
        <v>9616.99</v>
      </c>
      <c r="W32" s="78">
        <v>9476.5</v>
      </c>
      <c r="X32" s="78">
        <v>7694.2</v>
      </c>
      <c r="Y32" s="78">
        <v>7310.57</v>
      </c>
      <c r="Z32" s="78">
        <v>7172.2</v>
      </c>
      <c r="AA32" s="78">
        <v>5862.85</v>
      </c>
      <c r="AB32" s="78">
        <v>5459.98</v>
      </c>
      <c r="AC32" s="78">
        <v>5483.75</v>
      </c>
      <c r="AD32" s="78">
        <v>0</v>
      </c>
      <c r="AE32" s="78">
        <v>0</v>
      </c>
      <c r="AF32" s="78">
        <v>0</v>
      </c>
      <c r="AG32" s="78">
        <v>0</v>
      </c>
      <c r="AH32" s="78">
        <v>0</v>
      </c>
      <c r="AI32" s="78">
        <v>0</v>
      </c>
    </row>
    <row r="33" spans="1:35" x14ac:dyDescent="0.25">
      <c r="A33" s="76" t="s">
        <v>283</v>
      </c>
      <c r="B33" s="76" t="s">
        <v>224</v>
      </c>
      <c r="C33" s="76" t="s">
        <v>225</v>
      </c>
      <c r="D33" s="76" t="s">
        <v>224</v>
      </c>
      <c r="E33" s="76" t="s">
        <v>228</v>
      </c>
      <c r="F33" s="76" t="s">
        <v>200</v>
      </c>
      <c r="G33" s="76" t="s">
        <v>282</v>
      </c>
      <c r="H33" s="77" t="b">
        <f>TRUE()</f>
        <v>1</v>
      </c>
      <c r="I33" s="76" t="s">
        <v>28</v>
      </c>
      <c r="J33" s="76" t="s">
        <v>28</v>
      </c>
      <c r="K33" s="76" t="s">
        <v>28</v>
      </c>
      <c r="L33" s="76"/>
      <c r="M33" s="76" t="s">
        <v>28</v>
      </c>
      <c r="N33" s="76" t="s">
        <v>28</v>
      </c>
      <c r="O33" s="76" t="s">
        <v>28</v>
      </c>
      <c r="P33" s="76" t="s">
        <v>28</v>
      </c>
      <c r="Q33" s="76" t="s">
        <v>28</v>
      </c>
      <c r="R33" s="76" t="s">
        <v>28</v>
      </c>
      <c r="S33" s="76" t="s">
        <v>141</v>
      </c>
      <c r="T33" s="76" t="s">
        <v>143</v>
      </c>
      <c r="U33" s="78">
        <v>718.7</v>
      </c>
      <c r="V33" s="78">
        <v>1137.51</v>
      </c>
      <c r="W33" s="78">
        <v>3527.35</v>
      </c>
      <c r="X33" s="78">
        <v>3901.47</v>
      </c>
      <c r="Y33" s="78">
        <v>3875.62</v>
      </c>
      <c r="Z33" s="78">
        <v>3898.51</v>
      </c>
      <c r="AA33" s="78">
        <v>9420.2999999999993</v>
      </c>
      <c r="AB33" s="78">
        <v>-2570.6799999999998</v>
      </c>
      <c r="AC33" s="78">
        <v>1867.32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</row>
    <row r="34" spans="1:35" x14ac:dyDescent="0.25">
      <c r="A34" s="76" t="s">
        <v>283</v>
      </c>
      <c r="B34" s="76" t="s">
        <v>224</v>
      </c>
      <c r="C34" s="76" t="s">
        <v>225</v>
      </c>
      <c r="D34" s="76" t="s">
        <v>224</v>
      </c>
      <c r="E34" s="76" t="s">
        <v>228</v>
      </c>
      <c r="F34" s="76" t="s">
        <v>200</v>
      </c>
      <c r="G34" s="76" t="s">
        <v>282</v>
      </c>
      <c r="H34" s="77" t="b">
        <f>TRUE()</f>
        <v>1</v>
      </c>
      <c r="I34" s="76" t="s">
        <v>28</v>
      </c>
      <c r="J34" s="76" t="s">
        <v>28</v>
      </c>
      <c r="K34" s="76" t="s">
        <v>28</v>
      </c>
      <c r="L34" s="76"/>
      <c r="M34" s="76" t="s">
        <v>28</v>
      </c>
      <c r="N34" s="76" t="s">
        <v>28</v>
      </c>
      <c r="O34" s="76" t="s">
        <v>28</v>
      </c>
      <c r="P34" s="76" t="s">
        <v>28</v>
      </c>
      <c r="Q34" s="76" t="s">
        <v>28</v>
      </c>
      <c r="R34" s="76" t="s">
        <v>28</v>
      </c>
      <c r="S34" s="76" t="s">
        <v>28</v>
      </c>
      <c r="T34" s="76" t="s">
        <v>227</v>
      </c>
      <c r="U34" s="78">
        <v>-83158.78</v>
      </c>
      <c r="V34" s="78">
        <v>-86644.800000000003</v>
      </c>
      <c r="W34" s="78">
        <v>-95792.43</v>
      </c>
      <c r="X34" s="78">
        <v>-99792.37</v>
      </c>
      <c r="Y34" s="78">
        <v>-96972.51</v>
      </c>
      <c r="Z34" s="78">
        <v>-97677.87</v>
      </c>
      <c r="AA34" s="78">
        <v>-89765.28</v>
      </c>
      <c r="AB34" s="78">
        <v>-81767.28</v>
      </c>
      <c r="AC34" s="78">
        <v>-76906.320000000007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78">
        <v>0</v>
      </c>
    </row>
    <row r="35" spans="1:35" x14ac:dyDescent="0.25">
      <c r="H35" t="b">
        <f>TRUE()</f>
        <v>1</v>
      </c>
      <c r="S35" s="76"/>
      <c r="T35" s="76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</row>
    <row r="36" spans="1:35" x14ac:dyDescent="0.25"/>
    <row r="37" spans="1:35" x14ac:dyDescent="0.25"/>
    <row r="38" spans="1:35" x14ac:dyDescent="0.25">
      <c r="U38" s="78">
        <f>U20-U22-U23</f>
        <v>-52415.96</v>
      </c>
      <c r="V38" s="78"/>
      <c r="W38" s="78"/>
      <c r="X38" s="78"/>
      <c r="Y38" s="78"/>
      <c r="Z38" s="78"/>
      <c r="AA38" s="78"/>
    </row>
    <row r="39" spans="1:35" x14ac:dyDescent="0.25">
      <c r="U39" s="78"/>
      <c r="V39" s="78"/>
      <c r="W39" s="78"/>
      <c r="X39" s="78"/>
      <c r="Y39" s="78"/>
      <c r="Z39" s="78"/>
      <c r="AA39" s="78"/>
    </row>
    <row r="40" spans="1:35" x14ac:dyDescent="0.25">
      <c r="U40" s="78"/>
      <c r="V40" s="78"/>
      <c r="W40" s="78"/>
      <c r="X40" s="78"/>
      <c r="Y40" s="78"/>
      <c r="Z40" s="78"/>
      <c r="AA40" s="78"/>
    </row>
    <row r="41" spans="1:35" x14ac:dyDescent="0.25">
      <c r="U41" s="78"/>
      <c r="V41" s="78"/>
      <c r="W41" s="78"/>
      <c r="X41" s="78"/>
      <c r="Y41" s="78"/>
      <c r="Z41" s="78"/>
      <c r="AA41" s="78"/>
    </row>
    <row r="42" spans="1:35" x14ac:dyDescent="0.25"/>
    <row r="43" spans="1:35" x14ac:dyDescent="0.25">
      <c r="U43" s="78"/>
      <c r="V43" s="78"/>
      <c r="W43" s="78"/>
      <c r="X43" s="78"/>
      <c r="Y43" s="78"/>
      <c r="Z43" s="78"/>
      <c r="AA43" s="78"/>
    </row>
    <row r="44" spans="1:35" x14ac:dyDescent="0.25"/>
    <row r="45" spans="1:35" x14ac:dyDescent="0.25"/>
    <row r="46" spans="1:35" x14ac:dyDescent="0.25"/>
    <row r="47" spans="1:35" x14ac:dyDescent="0.25"/>
    <row r="48" spans="1:35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9" type="noConversion"/>
  <pageMargins left="0.7" right="0.7" top="0.75" bottom="0.75" header="0" footer="0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AJ1000"/>
  <sheetViews>
    <sheetView topLeftCell="R1" workbookViewId="0">
      <selection activeCell="A4" sqref="A4"/>
    </sheetView>
  </sheetViews>
  <sheetFormatPr defaultRowHeight="15" customHeight="1" x14ac:dyDescent="0.25"/>
  <cols>
    <col min="1" max="1" width="8" bestFit="1" customWidth="1"/>
    <col min="2" max="2" width="13.42578125" bestFit="1" customWidth="1"/>
    <col min="3" max="3" width="15.7109375" bestFit="1" customWidth="1"/>
    <col min="4" max="4" width="18.7109375" bestFit="1" customWidth="1"/>
    <col min="5" max="5" width="25" bestFit="1" customWidth="1"/>
    <col min="6" max="6" width="9.7109375" bestFit="1" customWidth="1"/>
    <col min="7" max="7" width="12" bestFit="1" customWidth="1"/>
    <col min="8" max="8" width="15.28515625" bestFit="1" customWidth="1"/>
    <col min="9" max="9" width="20.5703125" bestFit="1" customWidth="1"/>
    <col min="10" max="10" width="20.140625" bestFit="1" customWidth="1"/>
    <col min="11" max="11" width="22.85546875" bestFit="1" customWidth="1"/>
    <col min="12" max="12" width="14.7109375" bestFit="1" customWidth="1"/>
    <col min="13" max="13" width="18.42578125" bestFit="1" customWidth="1"/>
    <col min="14" max="14" width="18" bestFit="1" customWidth="1"/>
    <col min="15" max="15" width="17.85546875" bestFit="1" customWidth="1"/>
    <col min="16" max="16" width="16.5703125" bestFit="1" customWidth="1"/>
    <col min="17" max="17" width="17.5703125" bestFit="1" customWidth="1"/>
    <col min="18" max="18" width="18.42578125" bestFit="1" customWidth="1"/>
    <col min="19" max="19" width="10.140625" bestFit="1" customWidth="1"/>
    <col min="20" max="20" width="12.7109375" bestFit="1" customWidth="1"/>
    <col min="21" max="22" width="10.85546875" bestFit="1" customWidth="1"/>
    <col min="23" max="23" width="10.140625" bestFit="1" customWidth="1"/>
    <col min="24" max="24" width="8.85546875" bestFit="1" customWidth="1"/>
    <col min="25" max="25" width="11.140625" bestFit="1" customWidth="1"/>
    <col min="26" max="26" width="18" bestFit="1" customWidth="1"/>
    <col min="27" max="27" width="4.5703125" bestFit="1" customWidth="1"/>
    <col min="28" max="35" width="4.28515625" bestFit="1" customWidth="1"/>
    <col min="36" max="36" width="18" bestFit="1" customWidth="1"/>
  </cols>
  <sheetData>
    <row r="1" spans="1:36" x14ac:dyDescent="0.25">
      <c r="A1" s="75" t="s">
        <v>165</v>
      </c>
      <c r="B1" s="75" t="s">
        <v>295</v>
      </c>
      <c r="C1" s="75" t="s">
        <v>167</v>
      </c>
      <c r="D1" s="75" t="s">
        <v>168</v>
      </c>
      <c r="E1" s="75" t="s">
        <v>296</v>
      </c>
      <c r="F1" s="75" t="s">
        <v>169</v>
      </c>
      <c r="G1" s="75" t="s">
        <v>170</v>
      </c>
      <c r="H1" s="75" t="s">
        <v>171</v>
      </c>
      <c r="I1" s="75" t="s">
        <v>297</v>
      </c>
      <c r="J1" s="75" t="s">
        <v>298</v>
      </c>
      <c r="K1" s="75" t="s">
        <v>299</v>
      </c>
      <c r="L1" s="75" t="s">
        <v>172</v>
      </c>
      <c r="M1" s="75" t="s">
        <v>173</v>
      </c>
      <c r="N1" s="75" t="s">
        <v>176</v>
      </c>
      <c r="O1" s="75" t="s">
        <v>177</v>
      </c>
      <c r="P1" s="75" t="s">
        <v>178</v>
      </c>
      <c r="Q1" s="75" t="s">
        <v>179</v>
      </c>
      <c r="R1" s="75" t="s">
        <v>180</v>
      </c>
      <c r="S1" s="75" t="s">
        <v>181</v>
      </c>
      <c r="T1" s="75" t="s">
        <v>166</v>
      </c>
      <c r="U1" s="75" t="s">
        <v>206</v>
      </c>
      <c r="V1" s="75" t="s">
        <v>207</v>
      </c>
      <c r="W1" s="75" t="s">
        <v>208</v>
      </c>
      <c r="X1" s="75" t="s">
        <v>209</v>
      </c>
      <c r="Y1" s="75" t="s">
        <v>210</v>
      </c>
      <c r="Z1" s="75" t="s">
        <v>211</v>
      </c>
      <c r="AA1" s="75" t="s">
        <v>187</v>
      </c>
      <c r="AB1" s="75" t="s">
        <v>188</v>
      </c>
      <c r="AC1" s="75" t="s">
        <v>189</v>
      </c>
      <c r="AD1" s="75" t="s">
        <v>190</v>
      </c>
      <c r="AE1" s="75" t="s">
        <v>191</v>
      </c>
      <c r="AF1" s="75" t="s">
        <v>192</v>
      </c>
      <c r="AG1" s="75" t="s">
        <v>193</v>
      </c>
      <c r="AH1" s="75" t="s">
        <v>194</v>
      </c>
      <c r="AI1" s="75" t="s">
        <v>195</v>
      </c>
      <c r="AJ1" s="75" t="s">
        <v>300</v>
      </c>
    </row>
    <row r="2" spans="1:36" x14ac:dyDescent="0.25">
      <c r="A2" s="76" t="s">
        <v>224</v>
      </c>
      <c r="B2" s="76" t="s">
        <v>225</v>
      </c>
      <c r="C2" s="76" t="s">
        <v>224</v>
      </c>
      <c r="D2" s="76" t="s">
        <v>230</v>
      </c>
      <c r="E2" s="76" t="s">
        <v>301</v>
      </c>
      <c r="F2" s="76" t="s">
        <v>200</v>
      </c>
      <c r="G2" s="76" t="s">
        <v>302</v>
      </c>
      <c r="H2" s="77" t="b">
        <f>TRUE()</f>
        <v>1</v>
      </c>
      <c r="I2" s="76" t="s">
        <v>28</v>
      </c>
      <c r="J2" s="76" t="s">
        <v>28</v>
      </c>
      <c r="K2" s="76" t="s">
        <v>28</v>
      </c>
      <c r="L2" s="76" t="s">
        <v>28</v>
      </c>
      <c r="M2" s="76" t="s">
        <v>28</v>
      </c>
      <c r="N2" s="76" t="s">
        <v>28</v>
      </c>
      <c r="O2" s="76" t="s">
        <v>28</v>
      </c>
      <c r="P2" s="76" t="s">
        <v>28</v>
      </c>
      <c r="Q2" s="76" t="s">
        <v>28</v>
      </c>
      <c r="R2" s="76" t="s">
        <v>28</v>
      </c>
      <c r="S2" s="76" t="s">
        <v>28</v>
      </c>
      <c r="T2" s="76" t="s">
        <v>28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  <c r="AI2" s="78">
        <v>0</v>
      </c>
      <c r="AJ2" s="76" t="s">
        <v>28</v>
      </c>
    </row>
    <row r="3" spans="1:36" x14ac:dyDescent="0.25">
      <c r="A3" s="76" t="s">
        <v>224</v>
      </c>
      <c r="B3" s="76" t="s">
        <v>225</v>
      </c>
      <c r="C3" s="76" t="s">
        <v>224</v>
      </c>
      <c r="D3" s="76" t="s">
        <v>230</v>
      </c>
      <c r="E3" s="76" t="s">
        <v>301</v>
      </c>
      <c r="F3" s="76" t="s">
        <v>200</v>
      </c>
      <c r="G3" s="76" t="s">
        <v>302</v>
      </c>
      <c r="H3" s="77" t="b">
        <f>TRUE()</f>
        <v>1</v>
      </c>
      <c r="I3" s="76" t="s">
        <v>28</v>
      </c>
      <c r="J3" s="76" t="s">
        <v>28</v>
      </c>
      <c r="K3" s="76" t="s">
        <v>28</v>
      </c>
      <c r="L3" s="76" t="s">
        <v>28</v>
      </c>
      <c r="M3" s="76" t="s">
        <v>28</v>
      </c>
      <c r="N3" s="76" t="s">
        <v>28</v>
      </c>
      <c r="O3" s="76" t="s">
        <v>28</v>
      </c>
      <c r="P3" s="76" t="s">
        <v>28</v>
      </c>
      <c r="Q3" s="76" t="s">
        <v>28</v>
      </c>
      <c r="R3" s="76" t="s">
        <v>28</v>
      </c>
      <c r="S3" s="76" t="s">
        <v>122</v>
      </c>
      <c r="T3" s="76" t="s">
        <v>92</v>
      </c>
      <c r="U3" s="78">
        <v>0</v>
      </c>
      <c r="V3" s="78">
        <v>0</v>
      </c>
      <c r="W3" s="78">
        <v>0</v>
      </c>
      <c r="X3" s="78">
        <v>0</v>
      </c>
      <c r="Y3" s="78">
        <v>0</v>
      </c>
      <c r="Z3" s="78">
        <v>0</v>
      </c>
      <c r="AA3" s="78">
        <v>0</v>
      </c>
      <c r="AB3" s="78">
        <v>0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  <c r="AI3" s="78">
        <v>0</v>
      </c>
      <c r="AJ3" s="76" t="s">
        <v>28</v>
      </c>
    </row>
    <row r="4" spans="1:36" x14ac:dyDescent="0.25">
      <c r="A4" s="76" t="s">
        <v>224</v>
      </c>
      <c r="B4" s="76" t="s">
        <v>225</v>
      </c>
      <c r="C4" s="76" t="s">
        <v>224</v>
      </c>
      <c r="D4" s="76" t="s">
        <v>230</v>
      </c>
      <c r="E4" s="76" t="s">
        <v>301</v>
      </c>
      <c r="F4" s="76" t="s">
        <v>200</v>
      </c>
      <c r="G4" s="76" t="s">
        <v>302</v>
      </c>
      <c r="H4" s="77" t="b">
        <f>TRUE()</f>
        <v>1</v>
      </c>
      <c r="I4" s="76" t="s">
        <v>28</v>
      </c>
      <c r="J4" s="76" t="s">
        <v>28</v>
      </c>
      <c r="K4" s="76" t="s">
        <v>28</v>
      </c>
      <c r="L4" s="76" t="s">
        <v>28</v>
      </c>
      <c r="M4" s="76" t="s">
        <v>28</v>
      </c>
      <c r="N4" s="76" t="s">
        <v>28</v>
      </c>
      <c r="O4" s="76" t="s">
        <v>28</v>
      </c>
      <c r="P4" s="76" t="s">
        <v>28</v>
      </c>
      <c r="Q4" s="76" t="s">
        <v>28</v>
      </c>
      <c r="R4" s="76" t="s">
        <v>28</v>
      </c>
      <c r="S4" s="76" t="s">
        <v>124</v>
      </c>
      <c r="T4" s="76" t="s">
        <v>93</v>
      </c>
      <c r="U4" s="78">
        <v>0</v>
      </c>
      <c r="V4" s="78">
        <v>50557.17</v>
      </c>
      <c r="W4" s="78">
        <v>0</v>
      </c>
      <c r="X4" s="78">
        <v>0</v>
      </c>
      <c r="Y4" s="78">
        <v>1362.43</v>
      </c>
      <c r="Z4" s="78">
        <v>51919.6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  <c r="AI4" s="78">
        <v>0</v>
      </c>
      <c r="AJ4" s="76" t="s">
        <v>28</v>
      </c>
    </row>
    <row r="5" spans="1:36" x14ac:dyDescent="0.25">
      <c r="A5" s="76" t="s">
        <v>224</v>
      </c>
      <c r="B5" s="76" t="s">
        <v>225</v>
      </c>
      <c r="C5" s="76" t="s">
        <v>224</v>
      </c>
      <c r="D5" s="76" t="s">
        <v>230</v>
      </c>
      <c r="E5" s="76" t="s">
        <v>301</v>
      </c>
      <c r="F5" s="76" t="s">
        <v>200</v>
      </c>
      <c r="G5" s="76" t="s">
        <v>302</v>
      </c>
      <c r="H5" s="77" t="b">
        <f>TRUE()</f>
        <v>1</v>
      </c>
      <c r="I5" s="76" t="s">
        <v>28</v>
      </c>
      <c r="J5" s="76" t="s">
        <v>28</v>
      </c>
      <c r="K5" s="76" t="s">
        <v>28</v>
      </c>
      <c r="L5" s="76" t="s">
        <v>28</v>
      </c>
      <c r="M5" s="76" t="s">
        <v>28</v>
      </c>
      <c r="N5" s="76" t="s">
        <v>28</v>
      </c>
      <c r="O5" s="76" t="s">
        <v>28</v>
      </c>
      <c r="P5" s="76" t="s">
        <v>28</v>
      </c>
      <c r="Q5" s="76" t="s">
        <v>28</v>
      </c>
      <c r="R5" s="76" t="s">
        <v>28</v>
      </c>
      <c r="S5" s="76" t="s">
        <v>125</v>
      </c>
      <c r="T5" s="76" t="s">
        <v>94</v>
      </c>
      <c r="U5" s="78">
        <v>359.41</v>
      </c>
      <c r="V5" s="78">
        <v>4705.46</v>
      </c>
      <c r="W5" s="78">
        <v>0</v>
      </c>
      <c r="X5" s="78">
        <v>0</v>
      </c>
      <c r="Y5" s="78">
        <v>0</v>
      </c>
      <c r="Z5" s="78">
        <v>5064.87</v>
      </c>
      <c r="AA5" s="78">
        <v>0</v>
      </c>
      <c r="AB5" s="78">
        <v>0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  <c r="AJ5" s="76" t="s">
        <v>28</v>
      </c>
    </row>
    <row r="6" spans="1:36" x14ac:dyDescent="0.25">
      <c r="A6" s="76" t="s">
        <v>224</v>
      </c>
      <c r="B6" s="76" t="s">
        <v>225</v>
      </c>
      <c r="C6" s="76" t="s">
        <v>224</v>
      </c>
      <c r="D6" s="76" t="s">
        <v>230</v>
      </c>
      <c r="E6" s="76" t="s">
        <v>301</v>
      </c>
      <c r="F6" s="76" t="s">
        <v>200</v>
      </c>
      <c r="G6" s="76" t="s">
        <v>302</v>
      </c>
      <c r="H6" s="77" t="b">
        <f>TRUE()</f>
        <v>1</v>
      </c>
      <c r="I6" s="76" t="s">
        <v>28</v>
      </c>
      <c r="J6" s="76" t="s">
        <v>28</v>
      </c>
      <c r="K6" s="76" t="s">
        <v>28</v>
      </c>
      <c r="L6" s="76" t="s">
        <v>28</v>
      </c>
      <c r="M6" s="76" t="s">
        <v>28</v>
      </c>
      <c r="N6" s="76" t="s">
        <v>28</v>
      </c>
      <c r="O6" s="76" t="s">
        <v>28</v>
      </c>
      <c r="P6" s="76" t="s">
        <v>28</v>
      </c>
      <c r="Q6" s="76" t="s">
        <v>28</v>
      </c>
      <c r="R6" s="76" t="s">
        <v>28</v>
      </c>
      <c r="S6" s="76" t="s">
        <v>126</v>
      </c>
      <c r="T6" s="76" t="s">
        <v>95</v>
      </c>
      <c r="U6" s="78">
        <v>0</v>
      </c>
      <c r="V6" s="78">
        <v>-34403.71</v>
      </c>
      <c r="W6" s="78">
        <v>0</v>
      </c>
      <c r="X6" s="78">
        <v>0</v>
      </c>
      <c r="Y6" s="78">
        <v>0</v>
      </c>
      <c r="Z6" s="78">
        <v>-34403.71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6" t="s">
        <v>28</v>
      </c>
    </row>
    <row r="7" spans="1:36" x14ac:dyDescent="0.25">
      <c r="A7" s="76" t="s">
        <v>224</v>
      </c>
      <c r="B7" s="76" t="s">
        <v>225</v>
      </c>
      <c r="C7" s="76" t="s">
        <v>224</v>
      </c>
      <c r="D7" s="76" t="s">
        <v>230</v>
      </c>
      <c r="E7" s="76" t="s">
        <v>301</v>
      </c>
      <c r="F7" s="76" t="s">
        <v>200</v>
      </c>
      <c r="G7" s="76" t="s">
        <v>302</v>
      </c>
      <c r="H7" s="77" t="b">
        <f>TRUE()</f>
        <v>1</v>
      </c>
      <c r="I7" s="76" t="s">
        <v>28</v>
      </c>
      <c r="J7" s="76" t="s">
        <v>28</v>
      </c>
      <c r="K7" s="76" t="s">
        <v>28</v>
      </c>
      <c r="L7" s="76" t="s">
        <v>28</v>
      </c>
      <c r="M7" s="76" t="s">
        <v>28</v>
      </c>
      <c r="N7" s="76" t="s">
        <v>28</v>
      </c>
      <c r="O7" s="76" t="s">
        <v>28</v>
      </c>
      <c r="P7" s="76" t="s">
        <v>28</v>
      </c>
      <c r="Q7" s="76" t="s">
        <v>28</v>
      </c>
      <c r="R7" s="76" t="s">
        <v>28</v>
      </c>
      <c r="S7" s="76" t="s">
        <v>51</v>
      </c>
      <c r="T7" s="76" t="s">
        <v>96</v>
      </c>
      <c r="U7" s="78">
        <v>359.41</v>
      </c>
      <c r="V7" s="78">
        <v>20858.919999999998</v>
      </c>
      <c r="W7" s="78">
        <v>0</v>
      </c>
      <c r="X7" s="78">
        <v>0</v>
      </c>
      <c r="Y7" s="78">
        <v>1362.43</v>
      </c>
      <c r="Z7" s="78">
        <v>22580.76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  <c r="AJ7" s="76" t="s">
        <v>28</v>
      </c>
    </row>
    <row r="8" spans="1:36" x14ac:dyDescent="0.25">
      <c r="A8" s="76" t="s">
        <v>224</v>
      </c>
      <c r="B8" s="76" t="s">
        <v>225</v>
      </c>
      <c r="C8" s="76" t="s">
        <v>224</v>
      </c>
      <c r="D8" s="76" t="s">
        <v>230</v>
      </c>
      <c r="E8" s="76" t="s">
        <v>301</v>
      </c>
      <c r="F8" s="76" t="s">
        <v>200</v>
      </c>
      <c r="G8" s="76" t="s">
        <v>302</v>
      </c>
      <c r="H8" s="77" t="b">
        <f>TRUE()</f>
        <v>1</v>
      </c>
      <c r="I8" s="76" t="s">
        <v>28</v>
      </c>
      <c r="J8" s="76" t="s">
        <v>28</v>
      </c>
      <c r="K8" s="76" t="s">
        <v>28</v>
      </c>
      <c r="L8" s="76" t="s">
        <v>28</v>
      </c>
      <c r="M8" s="76" t="s">
        <v>28</v>
      </c>
      <c r="N8" s="76" t="s">
        <v>28</v>
      </c>
      <c r="O8" s="76" t="s">
        <v>28</v>
      </c>
      <c r="P8" s="76" t="s">
        <v>28</v>
      </c>
      <c r="Q8" s="76" t="s">
        <v>28</v>
      </c>
      <c r="R8" s="76" t="s">
        <v>28</v>
      </c>
      <c r="S8" s="76" t="s">
        <v>255</v>
      </c>
      <c r="T8" s="76" t="s">
        <v>28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  <c r="AJ8" s="76" t="s">
        <v>28</v>
      </c>
    </row>
    <row r="9" spans="1:36" x14ac:dyDescent="0.25">
      <c r="A9" s="76" t="s">
        <v>224</v>
      </c>
      <c r="B9" s="76" t="s">
        <v>225</v>
      </c>
      <c r="C9" s="76" t="s">
        <v>224</v>
      </c>
      <c r="D9" s="76" t="s">
        <v>230</v>
      </c>
      <c r="E9" s="76" t="s">
        <v>301</v>
      </c>
      <c r="F9" s="76" t="s">
        <v>200</v>
      </c>
      <c r="G9" s="76" t="s">
        <v>302</v>
      </c>
      <c r="H9" s="77" t="b">
        <f>TRUE()</f>
        <v>1</v>
      </c>
      <c r="I9" s="76" t="s">
        <v>28</v>
      </c>
      <c r="J9" s="76" t="s">
        <v>28</v>
      </c>
      <c r="K9" s="76" t="s">
        <v>28</v>
      </c>
      <c r="L9" s="76" t="s">
        <v>28</v>
      </c>
      <c r="M9" s="76" t="s">
        <v>28</v>
      </c>
      <c r="N9" s="76" t="s">
        <v>28</v>
      </c>
      <c r="O9" s="76" t="s">
        <v>28</v>
      </c>
      <c r="P9" s="76" t="s">
        <v>28</v>
      </c>
      <c r="Q9" s="76" t="s">
        <v>28</v>
      </c>
      <c r="R9" s="76" t="s">
        <v>28</v>
      </c>
      <c r="S9" s="76" t="s">
        <v>127</v>
      </c>
      <c r="T9" s="76" t="s">
        <v>97</v>
      </c>
      <c r="U9" s="78">
        <v>14000</v>
      </c>
      <c r="V9" s="78">
        <v>30495.54</v>
      </c>
      <c r="W9" s="78">
        <v>0</v>
      </c>
      <c r="X9" s="78">
        <v>0</v>
      </c>
      <c r="Y9" s="78">
        <v>1658.2</v>
      </c>
      <c r="Z9" s="78">
        <v>46153.74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  <c r="AJ9" s="76" t="s">
        <v>28</v>
      </c>
    </row>
    <row r="10" spans="1:36" x14ac:dyDescent="0.25">
      <c r="A10" s="76" t="s">
        <v>224</v>
      </c>
      <c r="B10" s="76" t="s">
        <v>225</v>
      </c>
      <c r="C10" s="76" t="s">
        <v>224</v>
      </c>
      <c r="D10" s="76" t="s">
        <v>230</v>
      </c>
      <c r="E10" s="76" t="s">
        <v>301</v>
      </c>
      <c r="F10" s="76" t="s">
        <v>200</v>
      </c>
      <c r="G10" s="76" t="s">
        <v>302</v>
      </c>
      <c r="H10" s="77" t="b">
        <f>TRUE()</f>
        <v>1</v>
      </c>
      <c r="I10" s="76" t="s">
        <v>28</v>
      </c>
      <c r="J10" s="76" t="s">
        <v>28</v>
      </c>
      <c r="K10" s="76" t="s">
        <v>28</v>
      </c>
      <c r="L10" s="76" t="s">
        <v>28</v>
      </c>
      <c r="M10" s="76" t="s">
        <v>28</v>
      </c>
      <c r="N10" s="76" t="s">
        <v>28</v>
      </c>
      <c r="O10" s="76" t="s">
        <v>28</v>
      </c>
      <c r="P10" s="76" t="s">
        <v>28</v>
      </c>
      <c r="Q10" s="76" t="s">
        <v>28</v>
      </c>
      <c r="R10" s="76" t="s">
        <v>28</v>
      </c>
      <c r="S10" s="76" t="s">
        <v>128</v>
      </c>
      <c r="T10" s="76" t="s">
        <v>98</v>
      </c>
      <c r="U10" s="78">
        <v>0</v>
      </c>
      <c r="V10" s="78">
        <v>859.46</v>
      </c>
      <c r="W10" s="78">
        <v>0</v>
      </c>
      <c r="X10" s="78">
        <v>0</v>
      </c>
      <c r="Y10" s="78">
        <v>1</v>
      </c>
      <c r="Z10" s="78">
        <v>860.46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0</v>
      </c>
      <c r="AJ10" s="76" t="s">
        <v>28</v>
      </c>
    </row>
    <row r="11" spans="1:36" x14ac:dyDescent="0.25">
      <c r="A11" s="76" t="s">
        <v>224</v>
      </c>
      <c r="B11" s="76" t="s">
        <v>225</v>
      </c>
      <c r="C11" s="76" t="s">
        <v>224</v>
      </c>
      <c r="D11" s="76" t="s">
        <v>230</v>
      </c>
      <c r="E11" s="76" t="s">
        <v>301</v>
      </c>
      <c r="F11" s="76" t="s">
        <v>200</v>
      </c>
      <c r="G11" s="76" t="s">
        <v>302</v>
      </c>
      <c r="H11" s="77" t="b">
        <f>TRUE()</f>
        <v>1</v>
      </c>
      <c r="I11" s="76" t="s">
        <v>28</v>
      </c>
      <c r="J11" s="76" t="s">
        <v>28</v>
      </c>
      <c r="K11" s="76" t="s">
        <v>28</v>
      </c>
      <c r="L11" s="76" t="s">
        <v>28</v>
      </c>
      <c r="M11" s="76" t="s">
        <v>28</v>
      </c>
      <c r="N11" s="76" t="s">
        <v>28</v>
      </c>
      <c r="O11" s="76" t="s">
        <v>28</v>
      </c>
      <c r="P11" s="76" t="s">
        <v>28</v>
      </c>
      <c r="Q11" s="76" t="s">
        <v>28</v>
      </c>
      <c r="R11" s="76" t="s">
        <v>28</v>
      </c>
      <c r="S11" s="76" t="s">
        <v>129</v>
      </c>
      <c r="T11" s="76" t="s">
        <v>256</v>
      </c>
      <c r="U11" s="78">
        <v>253.8</v>
      </c>
      <c r="V11" s="78">
        <v>2266.34</v>
      </c>
      <c r="W11" s="78">
        <v>0</v>
      </c>
      <c r="X11" s="78">
        <v>0</v>
      </c>
      <c r="Y11" s="78">
        <v>0</v>
      </c>
      <c r="Z11" s="78">
        <v>2520.14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78">
        <v>0</v>
      </c>
      <c r="AJ11" s="76" t="s">
        <v>28</v>
      </c>
    </row>
    <row r="12" spans="1:36" x14ac:dyDescent="0.25">
      <c r="A12" s="76" t="s">
        <v>224</v>
      </c>
      <c r="B12" s="76" t="s">
        <v>225</v>
      </c>
      <c r="C12" s="76" t="s">
        <v>224</v>
      </c>
      <c r="D12" s="76" t="s">
        <v>230</v>
      </c>
      <c r="E12" s="76" t="s">
        <v>301</v>
      </c>
      <c r="F12" s="76" t="s">
        <v>200</v>
      </c>
      <c r="G12" s="76" t="s">
        <v>302</v>
      </c>
      <c r="H12" s="77" t="b">
        <f>TRUE()</f>
        <v>1</v>
      </c>
      <c r="I12" s="76" t="s">
        <v>28</v>
      </c>
      <c r="J12" s="76" t="s">
        <v>28</v>
      </c>
      <c r="K12" s="76" t="s">
        <v>28</v>
      </c>
      <c r="L12" s="76" t="s">
        <v>28</v>
      </c>
      <c r="M12" s="76" t="s">
        <v>28</v>
      </c>
      <c r="N12" s="76" t="s">
        <v>28</v>
      </c>
      <c r="O12" s="76" t="s">
        <v>28</v>
      </c>
      <c r="P12" s="76" t="s">
        <v>28</v>
      </c>
      <c r="Q12" s="76" t="s">
        <v>28</v>
      </c>
      <c r="R12" s="76" t="s">
        <v>28</v>
      </c>
      <c r="S12" s="76" t="s">
        <v>88</v>
      </c>
      <c r="T12" s="76" t="s">
        <v>100</v>
      </c>
      <c r="U12" s="78">
        <v>14253.8</v>
      </c>
      <c r="V12" s="78">
        <v>33621.339999999997</v>
      </c>
      <c r="W12" s="78">
        <v>0</v>
      </c>
      <c r="X12" s="78">
        <v>0</v>
      </c>
      <c r="Y12" s="78">
        <v>1659.2</v>
      </c>
      <c r="Z12" s="78">
        <v>49534.34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78">
        <v>0</v>
      </c>
      <c r="AJ12" s="76" t="s">
        <v>28</v>
      </c>
    </row>
    <row r="13" spans="1:36" x14ac:dyDescent="0.25">
      <c r="A13" s="76" t="s">
        <v>224</v>
      </c>
      <c r="B13" s="76" t="s">
        <v>225</v>
      </c>
      <c r="C13" s="76" t="s">
        <v>224</v>
      </c>
      <c r="D13" s="76" t="s">
        <v>230</v>
      </c>
      <c r="E13" s="76" t="s">
        <v>301</v>
      </c>
      <c r="F13" s="76" t="s">
        <v>200</v>
      </c>
      <c r="G13" s="76" t="s">
        <v>302</v>
      </c>
      <c r="H13" s="77" t="b">
        <f>TRUE()</f>
        <v>1</v>
      </c>
      <c r="I13" s="76" t="s">
        <v>28</v>
      </c>
      <c r="J13" s="76" t="s">
        <v>28</v>
      </c>
      <c r="K13" s="76" t="s">
        <v>28</v>
      </c>
      <c r="L13" s="76" t="s">
        <v>28</v>
      </c>
      <c r="M13" s="76" t="s">
        <v>28</v>
      </c>
      <c r="N13" s="76" t="s">
        <v>28</v>
      </c>
      <c r="O13" s="76" t="s">
        <v>28</v>
      </c>
      <c r="P13" s="76" t="s">
        <v>28</v>
      </c>
      <c r="Q13" s="76" t="s">
        <v>28</v>
      </c>
      <c r="R13" s="76" t="s">
        <v>28</v>
      </c>
      <c r="S13" s="76" t="s">
        <v>257</v>
      </c>
      <c r="T13" s="76" t="s">
        <v>28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0</v>
      </c>
      <c r="AJ13" s="76" t="s">
        <v>28</v>
      </c>
    </row>
    <row r="14" spans="1:36" x14ac:dyDescent="0.25">
      <c r="A14" s="76" t="s">
        <v>224</v>
      </c>
      <c r="B14" s="76" t="s">
        <v>225</v>
      </c>
      <c r="C14" s="76" t="s">
        <v>224</v>
      </c>
      <c r="D14" s="76" t="s">
        <v>230</v>
      </c>
      <c r="E14" s="76" t="s">
        <v>301</v>
      </c>
      <c r="F14" s="76" t="s">
        <v>200</v>
      </c>
      <c r="G14" s="76" t="s">
        <v>302</v>
      </c>
      <c r="H14" s="77" t="b">
        <f>TRUE()</f>
        <v>1</v>
      </c>
      <c r="I14" s="76" t="s">
        <v>28</v>
      </c>
      <c r="J14" s="76" t="s">
        <v>28</v>
      </c>
      <c r="K14" s="76" t="s">
        <v>28</v>
      </c>
      <c r="L14" s="76" t="s">
        <v>28</v>
      </c>
      <c r="M14" s="76" t="s">
        <v>28</v>
      </c>
      <c r="N14" s="76" t="s">
        <v>28</v>
      </c>
      <c r="O14" s="76" t="s">
        <v>28</v>
      </c>
      <c r="P14" s="76" t="s">
        <v>28</v>
      </c>
      <c r="Q14" s="76" t="s">
        <v>28</v>
      </c>
      <c r="R14" s="76" t="s">
        <v>28</v>
      </c>
      <c r="S14" s="76" t="s">
        <v>130</v>
      </c>
      <c r="T14" s="76" t="s">
        <v>101</v>
      </c>
      <c r="U14" s="78">
        <v>14613.21</v>
      </c>
      <c r="V14" s="78">
        <v>54480.26</v>
      </c>
      <c r="W14" s="78">
        <v>0</v>
      </c>
      <c r="X14" s="78">
        <v>0</v>
      </c>
      <c r="Y14" s="78">
        <v>3021.63</v>
      </c>
      <c r="Z14" s="78">
        <v>72115.100000000006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78">
        <v>0</v>
      </c>
      <c r="AJ14" s="76" t="s">
        <v>28</v>
      </c>
    </row>
    <row r="15" spans="1:36" x14ac:dyDescent="0.25">
      <c r="A15" s="76" t="s">
        <v>224</v>
      </c>
      <c r="B15" s="76" t="s">
        <v>225</v>
      </c>
      <c r="C15" s="76" t="s">
        <v>224</v>
      </c>
      <c r="D15" s="76" t="s">
        <v>230</v>
      </c>
      <c r="E15" s="76" t="s">
        <v>301</v>
      </c>
      <c r="F15" s="76" t="s">
        <v>200</v>
      </c>
      <c r="G15" s="76" t="s">
        <v>302</v>
      </c>
      <c r="H15" s="77" t="b">
        <f>TRUE()</f>
        <v>1</v>
      </c>
      <c r="I15" s="76" t="s">
        <v>28</v>
      </c>
      <c r="J15" s="76" t="s">
        <v>28</v>
      </c>
      <c r="K15" s="76" t="s">
        <v>28</v>
      </c>
      <c r="L15" s="76" t="s">
        <v>28</v>
      </c>
      <c r="M15" s="76" t="s">
        <v>28</v>
      </c>
      <c r="N15" s="76" t="s">
        <v>28</v>
      </c>
      <c r="O15" s="76" t="s">
        <v>28</v>
      </c>
      <c r="P15" s="76" t="s">
        <v>28</v>
      </c>
      <c r="Q15" s="76" t="s">
        <v>28</v>
      </c>
      <c r="R15" s="76" t="s">
        <v>28</v>
      </c>
      <c r="S15" s="76" t="s">
        <v>258</v>
      </c>
      <c r="T15" s="76" t="s">
        <v>28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  <c r="AI15" s="78">
        <v>0</v>
      </c>
      <c r="AJ15" s="76" t="s">
        <v>28</v>
      </c>
    </row>
    <row r="16" spans="1:36" x14ac:dyDescent="0.25">
      <c r="A16" s="76" t="s">
        <v>224</v>
      </c>
      <c r="B16" s="76" t="s">
        <v>225</v>
      </c>
      <c r="C16" s="76" t="s">
        <v>224</v>
      </c>
      <c r="D16" s="76" t="s">
        <v>230</v>
      </c>
      <c r="E16" s="76" t="s">
        <v>301</v>
      </c>
      <c r="F16" s="76" t="s">
        <v>200</v>
      </c>
      <c r="G16" s="76" t="s">
        <v>302</v>
      </c>
      <c r="H16" s="77" t="b">
        <f>TRUE()</f>
        <v>1</v>
      </c>
      <c r="I16" s="76" t="s">
        <v>28</v>
      </c>
      <c r="J16" s="76" t="s">
        <v>28</v>
      </c>
      <c r="K16" s="76" t="s">
        <v>28</v>
      </c>
      <c r="L16" s="76" t="s">
        <v>28</v>
      </c>
      <c r="M16" s="76" t="s">
        <v>28</v>
      </c>
      <c r="N16" s="76" t="s">
        <v>28</v>
      </c>
      <c r="O16" s="76" t="s">
        <v>28</v>
      </c>
      <c r="P16" s="76" t="s">
        <v>28</v>
      </c>
      <c r="Q16" s="76" t="s">
        <v>28</v>
      </c>
      <c r="R16" s="76" t="s">
        <v>28</v>
      </c>
      <c r="S16" s="76" t="s">
        <v>131</v>
      </c>
      <c r="T16" s="76" t="s">
        <v>102</v>
      </c>
      <c r="U16" s="78">
        <v>0</v>
      </c>
      <c r="V16" s="78">
        <v>10471.74</v>
      </c>
      <c r="W16" s="78">
        <v>0</v>
      </c>
      <c r="X16" s="78">
        <v>0</v>
      </c>
      <c r="Y16" s="78">
        <v>0</v>
      </c>
      <c r="Z16" s="78">
        <v>10471.74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78">
        <v>0</v>
      </c>
      <c r="AJ16" s="76" t="s">
        <v>28</v>
      </c>
    </row>
    <row r="17" spans="1:36" x14ac:dyDescent="0.25">
      <c r="A17" s="76" t="s">
        <v>224</v>
      </c>
      <c r="B17" s="76" t="s">
        <v>225</v>
      </c>
      <c r="C17" s="76" t="s">
        <v>224</v>
      </c>
      <c r="D17" s="76" t="s">
        <v>230</v>
      </c>
      <c r="E17" s="76" t="s">
        <v>301</v>
      </c>
      <c r="F17" s="76" t="s">
        <v>200</v>
      </c>
      <c r="G17" s="76" t="s">
        <v>302</v>
      </c>
      <c r="H17" s="77" t="b">
        <f>TRUE()</f>
        <v>1</v>
      </c>
      <c r="I17" s="76" t="s">
        <v>28</v>
      </c>
      <c r="J17" s="76" t="s">
        <v>28</v>
      </c>
      <c r="K17" s="76" t="s">
        <v>28</v>
      </c>
      <c r="L17" s="76" t="s">
        <v>28</v>
      </c>
      <c r="M17" s="76" t="s">
        <v>28</v>
      </c>
      <c r="N17" s="76" t="s">
        <v>28</v>
      </c>
      <c r="O17" s="76" t="s">
        <v>28</v>
      </c>
      <c r="P17" s="76" t="s">
        <v>28</v>
      </c>
      <c r="Q17" s="76" t="s">
        <v>28</v>
      </c>
      <c r="R17" s="76" t="s">
        <v>28</v>
      </c>
      <c r="S17" s="76" t="s">
        <v>132</v>
      </c>
      <c r="T17" s="76" t="s">
        <v>103</v>
      </c>
      <c r="U17" s="78">
        <v>0</v>
      </c>
      <c r="V17" s="78">
        <v>1297.69</v>
      </c>
      <c r="W17" s="78">
        <v>0</v>
      </c>
      <c r="X17" s="78">
        <v>0</v>
      </c>
      <c r="Y17" s="78">
        <v>64.13</v>
      </c>
      <c r="Z17" s="78">
        <v>1361.82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  <c r="AI17" s="78">
        <v>0</v>
      </c>
      <c r="AJ17" s="76" t="s">
        <v>28</v>
      </c>
    </row>
    <row r="18" spans="1:36" x14ac:dyDescent="0.25">
      <c r="A18" s="76" t="s">
        <v>224</v>
      </c>
      <c r="B18" s="76" t="s">
        <v>225</v>
      </c>
      <c r="C18" s="76" t="s">
        <v>224</v>
      </c>
      <c r="D18" s="76" t="s">
        <v>230</v>
      </c>
      <c r="E18" s="76" t="s">
        <v>301</v>
      </c>
      <c r="F18" s="76" t="s">
        <v>200</v>
      </c>
      <c r="G18" s="76" t="s">
        <v>302</v>
      </c>
      <c r="H18" s="77" t="b">
        <f>TRUE()</f>
        <v>1</v>
      </c>
      <c r="I18" s="76" t="s">
        <v>28</v>
      </c>
      <c r="J18" s="76" t="s">
        <v>28</v>
      </c>
      <c r="K18" s="76" t="s">
        <v>28</v>
      </c>
      <c r="L18" s="76" t="s">
        <v>28</v>
      </c>
      <c r="M18" s="76" t="s">
        <v>28</v>
      </c>
      <c r="N18" s="76" t="s">
        <v>28</v>
      </c>
      <c r="O18" s="76" t="s">
        <v>28</v>
      </c>
      <c r="P18" s="76" t="s">
        <v>28</v>
      </c>
      <c r="Q18" s="76" t="s">
        <v>28</v>
      </c>
      <c r="R18" s="76" t="s">
        <v>28</v>
      </c>
      <c r="S18" s="76" t="s">
        <v>133</v>
      </c>
      <c r="T18" s="76" t="s">
        <v>104</v>
      </c>
      <c r="U18" s="78">
        <v>0</v>
      </c>
      <c r="V18" s="78">
        <v>11769.43</v>
      </c>
      <c r="W18" s="78">
        <v>0</v>
      </c>
      <c r="X18" s="78">
        <v>0</v>
      </c>
      <c r="Y18" s="78">
        <v>64.13</v>
      </c>
      <c r="Z18" s="78">
        <v>11833.56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6" t="s">
        <v>28</v>
      </c>
    </row>
    <row r="19" spans="1:36" x14ac:dyDescent="0.25">
      <c r="A19" s="76" t="s">
        <v>224</v>
      </c>
      <c r="B19" s="76" t="s">
        <v>225</v>
      </c>
      <c r="C19" s="76" t="s">
        <v>224</v>
      </c>
      <c r="D19" s="76" t="s">
        <v>230</v>
      </c>
      <c r="E19" s="76" t="s">
        <v>301</v>
      </c>
      <c r="F19" s="76" t="s">
        <v>200</v>
      </c>
      <c r="G19" s="76" t="s">
        <v>302</v>
      </c>
      <c r="H19" s="77" t="b">
        <f>TRUE()</f>
        <v>1</v>
      </c>
      <c r="I19" s="76" t="s">
        <v>28</v>
      </c>
      <c r="J19" s="76" t="s">
        <v>28</v>
      </c>
      <c r="K19" s="76" t="s">
        <v>28</v>
      </c>
      <c r="L19" s="76" t="s">
        <v>28</v>
      </c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76" t="s">
        <v>28</v>
      </c>
      <c r="S19" s="76" t="s">
        <v>259</v>
      </c>
      <c r="T19" s="76" t="s">
        <v>28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  <c r="AJ19" s="76" t="s">
        <v>28</v>
      </c>
    </row>
    <row r="20" spans="1:36" x14ac:dyDescent="0.25">
      <c r="A20" s="76" t="s">
        <v>224</v>
      </c>
      <c r="B20" s="76" t="s">
        <v>225</v>
      </c>
      <c r="C20" s="76" t="s">
        <v>224</v>
      </c>
      <c r="D20" s="76" t="s">
        <v>230</v>
      </c>
      <c r="E20" s="76" t="s">
        <v>301</v>
      </c>
      <c r="F20" s="76" t="s">
        <v>200</v>
      </c>
      <c r="G20" s="76" t="s">
        <v>302</v>
      </c>
      <c r="H20" s="77" t="b">
        <f>TRUE()</f>
        <v>1</v>
      </c>
      <c r="I20" s="76" t="s">
        <v>28</v>
      </c>
      <c r="J20" s="76" t="s">
        <v>28</v>
      </c>
      <c r="K20" s="76" t="s">
        <v>28</v>
      </c>
      <c r="L20" s="76" t="s">
        <v>28</v>
      </c>
      <c r="M20" s="76" t="s">
        <v>28</v>
      </c>
      <c r="N20" s="76" t="s">
        <v>28</v>
      </c>
      <c r="O20" s="76" t="s">
        <v>28</v>
      </c>
      <c r="P20" s="76" t="s">
        <v>28</v>
      </c>
      <c r="Q20" s="76" t="s">
        <v>28</v>
      </c>
      <c r="R20" s="76" t="s">
        <v>28</v>
      </c>
      <c r="S20" s="76" t="s">
        <v>134</v>
      </c>
      <c r="T20" s="76" t="s">
        <v>105</v>
      </c>
      <c r="U20" s="78">
        <v>14613.21</v>
      </c>
      <c r="V20" s="78">
        <v>42710.83</v>
      </c>
      <c r="W20" s="78">
        <v>0</v>
      </c>
      <c r="X20" s="78">
        <v>0</v>
      </c>
      <c r="Y20" s="78">
        <v>2957.5</v>
      </c>
      <c r="Z20" s="78">
        <v>60281.54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  <c r="AJ20" s="76" t="s">
        <v>28</v>
      </c>
    </row>
    <row r="21" spans="1:36" x14ac:dyDescent="0.25">
      <c r="A21" s="76" t="s">
        <v>224</v>
      </c>
      <c r="B21" s="76" t="s">
        <v>225</v>
      </c>
      <c r="C21" s="76" t="s">
        <v>224</v>
      </c>
      <c r="D21" s="76" t="s">
        <v>230</v>
      </c>
      <c r="E21" s="76" t="s">
        <v>301</v>
      </c>
      <c r="F21" s="76" t="s">
        <v>200</v>
      </c>
      <c r="G21" s="76" t="s">
        <v>302</v>
      </c>
      <c r="H21" s="77" t="b">
        <f>TRUE()</f>
        <v>1</v>
      </c>
      <c r="I21" s="76" t="s">
        <v>28</v>
      </c>
      <c r="J21" s="76" t="s">
        <v>28</v>
      </c>
      <c r="K21" s="76" t="s">
        <v>28</v>
      </c>
      <c r="L21" s="76" t="s">
        <v>28</v>
      </c>
      <c r="M21" s="76" t="s">
        <v>28</v>
      </c>
      <c r="N21" s="76" t="s">
        <v>28</v>
      </c>
      <c r="O21" s="76" t="s">
        <v>28</v>
      </c>
      <c r="P21" s="76" t="s">
        <v>28</v>
      </c>
      <c r="Q21" s="76" t="s">
        <v>28</v>
      </c>
      <c r="R21" s="76" t="s">
        <v>28</v>
      </c>
      <c r="S21" s="76" t="s">
        <v>260</v>
      </c>
      <c r="T21" s="76" t="s">
        <v>28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  <c r="AI21" s="78">
        <v>0</v>
      </c>
      <c r="AJ21" s="76" t="s">
        <v>28</v>
      </c>
    </row>
    <row r="22" spans="1:36" x14ac:dyDescent="0.25">
      <c r="A22" s="76" t="s">
        <v>224</v>
      </c>
      <c r="B22" s="76" t="s">
        <v>225</v>
      </c>
      <c r="C22" s="76" t="s">
        <v>224</v>
      </c>
      <c r="D22" s="76" t="s">
        <v>230</v>
      </c>
      <c r="E22" s="76" t="s">
        <v>301</v>
      </c>
      <c r="F22" s="76" t="s">
        <v>200</v>
      </c>
      <c r="G22" s="76" t="s">
        <v>302</v>
      </c>
      <c r="H22" s="77" t="b">
        <f>TRUE()</f>
        <v>1</v>
      </c>
      <c r="I22" s="76" t="s">
        <v>28</v>
      </c>
      <c r="J22" s="76" t="s">
        <v>28</v>
      </c>
      <c r="K22" s="76" t="s">
        <v>28</v>
      </c>
      <c r="L22" s="76" t="s">
        <v>28</v>
      </c>
      <c r="M22" s="76" t="s">
        <v>28</v>
      </c>
      <c r="N22" s="76" t="s">
        <v>28</v>
      </c>
      <c r="O22" s="76" t="s">
        <v>28</v>
      </c>
      <c r="P22" s="76" t="s">
        <v>28</v>
      </c>
      <c r="Q22" s="76" t="s">
        <v>28</v>
      </c>
      <c r="R22" s="76" t="s">
        <v>28</v>
      </c>
      <c r="S22" s="76" t="s">
        <v>135</v>
      </c>
      <c r="T22" s="76" t="s">
        <v>106</v>
      </c>
      <c r="U22" s="78">
        <v>4998.3100000000004</v>
      </c>
      <c r="V22" s="78">
        <v>8606.86</v>
      </c>
      <c r="W22" s="78">
        <v>0</v>
      </c>
      <c r="X22" s="78">
        <v>0</v>
      </c>
      <c r="Y22" s="78">
        <v>3873.42</v>
      </c>
      <c r="Z22" s="78">
        <v>17478.59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6" t="s">
        <v>28</v>
      </c>
    </row>
    <row r="23" spans="1:36" x14ac:dyDescent="0.25">
      <c r="A23" s="76" t="s">
        <v>224</v>
      </c>
      <c r="B23" s="76" t="s">
        <v>225</v>
      </c>
      <c r="C23" s="76" t="s">
        <v>224</v>
      </c>
      <c r="D23" s="76" t="s">
        <v>230</v>
      </c>
      <c r="E23" s="76" t="s">
        <v>301</v>
      </c>
      <c r="F23" s="76" t="s">
        <v>200</v>
      </c>
      <c r="G23" s="76" t="s">
        <v>302</v>
      </c>
      <c r="H23" s="77" t="b">
        <f>TRUE()</f>
        <v>1</v>
      </c>
      <c r="I23" s="76" t="s">
        <v>28</v>
      </c>
      <c r="J23" s="76" t="s">
        <v>28</v>
      </c>
      <c r="K23" s="76" t="s">
        <v>28</v>
      </c>
      <c r="L23" s="76" t="s">
        <v>28</v>
      </c>
      <c r="M23" s="76" t="s">
        <v>28</v>
      </c>
      <c r="N23" s="76" t="s">
        <v>28</v>
      </c>
      <c r="O23" s="76" t="s">
        <v>28</v>
      </c>
      <c r="P23" s="76" t="s">
        <v>28</v>
      </c>
      <c r="Q23" s="76" t="s">
        <v>28</v>
      </c>
      <c r="R23" s="76" t="s">
        <v>28</v>
      </c>
      <c r="S23" s="76" t="s">
        <v>136</v>
      </c>
      <c r="T23" s="76" t="s">
        <v>107</v>
      </c>
      <c r="U23" s="78">
        <v>50289.88</v>
      </c>
      <c r="V23" s="78">
        <v>42778.06</v>
      </c>
      <c r="W23" s="78">
        <v>11694.79</v>
      </c>
      <c r="X23" s="78">
        <v>1101.92</v>
      </c>
      <c r="Y23" s="78">
        <v>4956.33</v>
      </c>
      <c r="Z23" s="78">
        <v>110820.98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  <c r="AI23" s="78">
        <v>0</v>
      </c>
      <c r="AJ23" s="76" t="s">
        <v>28</v>
      </c>
    </row>
    <row r="24" spans="1:36" x14ac:dyDescent="0.25">
      <c r="A24" s="76" t="s">
        <v>224</v>
      </c>
      <c r="B24" s="76" t="s">
        <v>225</v>
      </c>
      <c r="C24" s="76" t="s">
        <v>224</v>
      </c>
      <c r="D24" s="76" t="s">
        <v>230</v>
      </c>
      <c r="E24" s="76" t="s">
        <v>301</v>
      </c>
      <c r="F24" s="76" t="s">
        <v>200</v>
      </c>
      <c r="G24" s="76" t="s">
        <v>302</v>
      </c>
      <c r="H24" s="77" t="b">
        <f>TRUE()</f>
        <v>1</v>
      </c>
      <c r="I24" s="76" t="s">
        <v>28</v>
      </c>
      <c r="J24" s="76" t="s">
        <v>28</v>
      </c>
      <c r="K24" s="76" t="s">
        <v>28</v>
      </c>
      <c r="L24" s="76" t="s">
        <v>28</v>
      </c>
      <c r="M24" s="76" t="s">
        <v>28</v>
      </c>
      <c r="N24" s="76" t="s">
        <v>28</v>
      </c>
      <c r="O24" s="76" t="s">
        <v>28</v>
      </c>
      <c r="P24" s="76" t="s">
        <v>28</v>
      </c>
      <c r="Q24" s="76" t="s">
        <v>28</v>
      </c>
      <c r="R24" s="76" t="s">
        <v>28</v>
      </c>
      <c r="S24" s="76" t="s">
        <v>261</v>
      </c>
      <c r="T24" s="76" t="s">
        <v>292</v>
      </c>
      <c r="U24" s="78">
        <v>12590.61</v>
      </c>
      <c r="V24" s="78">
        <v>0</v>
      </c>
      <c r="W24" s="78">
        <v>-12545.25</v>
      </c>
      <c r="X24" s="78">
        <v>0</v>
      </c>
      <c r="Y24" s="78">
        <v>0</v>
      </c>
      <c r="Z24" s="78">
        <v>45.36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  <c r="AI24" s="78">
        <v>0</v>
      </c>
      <c r="AJ24" s="76" t="s">
        <v>28</v>
      </c>
    </row>
    <row r="25" spans="1:36" x14ac:dyDescent="0.25">
      <c r="A25" s="76" t="s">
        <v>224</v>
      </c>
      <c r="B25" s="76" t="s">
        <v>225</v>
      </c>
      <c r="C25" s="76" t="s">
        <v>224</v>
      </c>
      <c r="D25" s="76" t="s">
        <v>230</v>
      </c>
      <c r="E25" s="76" t="s">
        <v>301</v>
      </c>
      <c r="F25" s="76" t="s">
        <v>200</v>
      </c>
      <c r="G25" s="76" t="s">
        <v>302</v>
      </c>
      <c r="H25" s="77" t="b">
        <f>TRUE()</f>
        <v>1</v>
      </c>
      <c r="I25" s="76" t="s">
        <v>28</v>
      </c>
      <c r="J25" s="76" t="s">
        <v>28</v>
      </c>
      <c r="K25" s="76" t="s">
        <v>28</v>
      </c>
      <c r="L25" s="76" t="s">
        <v>28</v>
      </c>
      <c r="M25" s="76" t="s">
        <v>28</v>
      </c>
      <c r="N25" s="76" t="s">
        <v>28</v>
      </c>
      <c r="O25" s="76" t="s">
        <v>28</v>
      </c>
      <c r="P25" s="76" t="s">
        <v>28</v>
      </c>
      <c r="Q25" s="76" t="s">
        <v>28</v>
      </c>
      <c r="R25" s="76" t="s">
        <v>28</v>
      </c>
      <c r="S25" s="76" t="s">
        <v>137</v>
      </c>
      <c r="T25" s="76" t="s">
        <v>262</v>
      </c>
      <c r="U25" s="78">
        <v>-53265.59</v>
      </c>
      <c r="V25" s="78">
        <v>-8674.09</v>
      </c>
      <c r="W25" s="78">
        <v>850.46</v>
      </c>
      <c r="X25" s="78">
        <v>-1101.92</v>
      </c>
      <c r="Y25" s="78">
        <v>-5872.25</v>
      </c>
      <c r="Z25" s="78">
        <v>-68063.39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F25" s="78">
        <v>0</v>
      </c>
      <c r="AG25" s="78">
        <v>0</v>
      </c>
      <c r="AH25" s="78">
        <v>0</v>
      </c>
      <c r="AI25" s="78">
        <v>0</v>
      </c>
      <c r="AJ25" s="76" t="s">
        <v>28</v>
      </c>
    </row>
    <row r="26" spans="1:36" x14ac:dyDescent="0.25">
      <c r="A26" s="76" t="s">
        <v>224</v>
      </c>
      <c r="B26" s="76" t="s">
        <v>225</v>
      </c>
      <c r="C26" s="76" t="s">
        <v>224</v>
      </c>
      <c r="D26" s="76" t="s">
        <v>230</v>
      </c>
      <c r="E26" s="76" t="s">
        <v>301</v>
      </c>
      <c r="F26" s="76" t="s">
        <v>200</v>
      </c>
      <c r="G26" s="76" t="s">
        <v>302</v>
      </c>
      <c r="H26" s="77" t="b">
        <f>TRUE()</f>
        <v>1</v>
      </c>
      <c r="I26" s="76" t="s">
        <v>28</v>
      </c>
      <c r="J26" s="76" t="s">
        <v>28</v>
      </c>
      <c r="K26" s="76" t="s">
        <v>28</v>
      </c>
      <c r="L26" s="76" t="s">
        <v>28</v>
      </c>
      <c r="M26" s="76" t="s">
        <v>28</v>
      </c>
      <c r="N26" s="76" t="s">
        <v>28</v>
      </c>
      <c r="O26" s="76" t="s">
        <v>28</v>
      </c>
      <c r="P26" s="76" t="s">
        <v>28</v>
      </c>
      <c r="Q26" s="76" t="s">
        <v>28</v>
      </c>
      <c r="R26" s="76" t="s">
        <v>28</v>
      </c>
      <c r="S26" s="76" t="s">
        <v>261</v>
      </c>
      <c r="T26" s="76" t="s">
        <v>28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78">
        <v>0</v>
      </c>
      <c r="AJ26" s="76" t="s">
        <v>28</v>
      </c>
    </row>
    <row r="27" spans="1:36" x14ac:dyDescent="0.25">
      <c r="A27" s="76" t="s">
        <v>224</v>
      </c>
      <c r="B27" s="76" t="s">
        <v>225</v>
      </c>
      <c r="C27" s="76" t="s">
        <v>224</v>
      </c>
      <c r="D27" s="76" t="s">
        <v>230</v>
      </c>
      <c r="E27" s="76" t="s">
        <v>301</v>
      </c>
      <c r="F27" s="76" t="s">
        <v>200</v>
      </c>
      <c r="G27" s="76" t="s">
        <v>302</v>
      </c>
      <c r="H27" s="77" t="b">
        <f>TRUE()</f>
        <v>1</v>
      </c>
      <c r="I27" s="76" t="s">
        <v>28</v>
      </c>
      <c r="J27" s="76" t="s">
        <v>28</v>
      </c>
      <c r="K27" s="76" t="s">
        <v>28</v>
      </c>
      <c r="L27" s="76" t="s">
        <v>28</v>
      </c>
      <c r="M27" s="76" t="s">
        <v>28</v>
      </c>
      <c r="N27" s="76" t="s">
        <v>28</v>
      </c>
      <c r="O27" s="76" t="s">
        <v>28</v>
      </c>
      <c r="P27" s="76" t="s">
        <v>28</v>
      </c>
      <c r="Q27" s="76" t="s">
        <v>28</v>
      </c>
      <c r="R27" s="76" t="s">
        <v>28</v>
      </c>
      <c r="S27" s="76" t="s">
        <v>263</v>
      </c>
      <c r="T27" s="76" t="s">
        <v>229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  <c r="AF27" s="78">
        <v>0</v>
      </c>
      <c r="AG27" s="78">
        <v>0</v>
      </c>
      <c r="AH27" s="78">
        <v>0</v>
      </c>
      <c r="AI27" s="78">
        <v>0</v>
      </c>
      <c r="AJ27" s="76" t="s">
        <v>28</v>
      </c>
    </row>
    <row r="28" spans="1:36" x14ac:dyDescent="0.25">
      <c r="A28" s="76" t="s">
        <v>224</v>
      </c>
      <c r="B28" s="76" t="s">
        <v>225</v>
      </c>
      <c r="C28" s="76" t="s">
        <v>224</v>
      </c>
      <c r="D28" s="76" t="s">
        <v>230</v>
      </c>
      <c r="E28" s="76" t="s">
        <v>301</v>
      </c>
      <c r="F28" s="76" t="s">
        <v>200</v>
      </c>
      <c r="G28" s="76" t="s">
        <v>302</v>
      </c>
      <c r="H28" s="77" t="b">
        <f>TRUE()</f>
        <v>1</v>
      </c>
      <c r="I28" s="76" t="s">
        <v>28</v>
      </c>
      <c r="J28" s="76" t="s">
        <v>28</v>
      </c>
      <c r="K28" s="76" t="s">
        <v>28</v>
      </c>
      <c r="L28" s="76" t="s">
        <v>28</v>
      </c>
      <c r="M28" s="76" t="s">
        <v>28</v>
      </c>
      <c r="N28" s="76" t="s">
        <v>28</v>
      </c>
      <c r="O28" s="76" t="s">
        <v>28</v>
      </c>
      <c r="P28" s="76" t="s">
        <v>28</v>
      </c>
      <c r="Q28" s="76" t="s">
        <v>28</v>
      </c>
      <c r="R28" s="76" t="s">
        <v>28</v>
      </c>
      <c r="S28" s="76" t="s">
        <v>264</v>
      </c>
      <c r="T28" s="76" t="s">
        <v>108</v>
      </c>
      <c r="U28" s="78">
        <v>-53265.59</v>
      </c>
      <c r="V28" s="78">
        <v>-8674.09</v>
      </c>
      <c r="W28" s="78">
        <v>850.46</v>
      </c>
      <c r="X28" s="78">
        <v>-1101.92</v>
      </c>
      <c r="Y28" s="78">
        <v>-5872.25</v>
      </c>
      <c r="Z28" s="78">
        <v>-68063.39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  <c r="AI28" s="78">
        <v>0</v>
      </c>
      <c r="AJ28" s="76" t="s">
        <v>28</v>
      </c>
    </row>
    <row r="29" spans="1:36" x14ac:dyDescent="0.25">
      <c r="A29" s="76" t="s">
        <v>224</v>
      </c>
      <c r="B29" s="76" t="s">
        <v>225</v>
      </c>
      <c r="C29" s="76" t="s">
        <v>224</v>
      </c>
      <c r="D29" s="76" t="s">
        <v>230</v>
      </c>
      <c r="E29" s="76" t="s">
        <v>301</v>
      </c>
      <c r="F29" s="76" t="s">
        <v>200</v>
      </c>
      <c r="G29" s="76" t="s">
        <v>302</v>
      </c>
      <c r="H29" s="77" t="b">
        <f>TRUE()</f>
        <v>1</v>
      </c>
      <c r="I29" s="76" t="s">
        <v>28</v>
      </c>
      <c r="J29" s="76" t="s">
        <v>28</v>
      </c>
      <c r="K29" s="76" t="s">
        <v>28</v>
      </c>
      <c r="L29" s="76" t="s">
        <v>28</v>
      </c>
      <c r="M29" s="76" t="s">
        <v>28</v>
      </c>
      <c r="N29" s="76" t="s">
        <v>28</v>
      </c>
      <c r="O29" s="76" t="s">
        <v>28</v>
      </c>
      <c r="P29" s="76" t="s">
        <v>28</v>
      </c>
      <c r="Q29" s="76" t="s">
        <v>28</v>
      </c>
      <c r="R29" s="76" t="s">
        <v>28</v>
      </c>
      <c r="S29" s="76" t="s">
        <v>265</v>
      </c>
      <c r="T29" s="76" t="s">
        <v>28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  <c r="AF29" s="78">
        <v>0</v>
      </c>
      <c r="AG29" s="78">
        <v>0</v>
      </c>
      <c r="AH29" s="78">
        <v>0</v>
      </c>
      <c r="AI29" s="78">
        <v>0</v>
      </c>
      <c r="AJ29" s="76" t="s">
        <v>28</v>
      </c>
    </row>
    <row r="30" spans="1:36" x14ac:dyDescent="0.25">
      <c r="A30" s="76" t="s">
        <v>224</v>
      </c>
      <c r="B30" s="76" t="s">
        <v>225</v>
      </c>
      <c r="C30" s="76" t="s">
        <v>224</v>
      </c>
      <c r="D30" s="76" t="s">
        <v>230</v>
      </c>
      <c r="E30" s="76" t="s">
        <v>301</v>
      </c>
      <c r="F30" s="76" t="s">
        <v>200</v>
      </c>
      <c r="G30" s="76" t="s">
        <v>302</v>
      </c>
      <c r="H30" s="77" t="b">
        <f>TRUE()</f>
        <v>1</v>
      </c>
      <c r="I30" s="76" t="s">
        <v>28</v>
      </c>
      <c r="J30" s="76" t="s">
        <v>28</v>
      </c>
      <c r="K30" s="76" t="s">
        <v>28</v>
      </c>
      <c r="L30" s="76" t="s">
        <v>28</v>
      </c>
      <c r="M30" s="76" t="s">
        <v>28</v>
      </c>
      <c r="N30" s="76" t="s">
        <v>28</v>
      </c>
      <c r="O30" s="76" t="s">
        <v>28</v>
      </c>
      <c r="P30" s="76" t="s">
        <v>28</v>
      </c>
      <c r="Q30" s="76" t="s">
        <v>28</v>
      </c>
      <c r="R30" s="76" t="s">
        <v>28</v>
      </c>
      <c r="S30" s="76" t="s">
        <v>138</v>
      </c>
      <c r="T30" s="76" t="s">
        <v>266</v>
      </c>
      <c r="U30" s="78">
        <v>204.44</v>
      </c>
      <c r="V30" s="78">
        <v>918.32</v>
      </c>
      <c r="W30" s="78">
        <v>0</v>
      </c>
      <c r="X30" s="78">
        <v>0</v>
      </c>
      <c r="Y30" s="78">
        <v>81.400000000000006</v>
      </c>
      <c r="Z30" s="78">
        <v>1204.1600000000001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  <c r="AF30" s="78">
        <v>0</v>
      </c>
      <c r="AG30" s="78">
        <v>0</v>
      </c>
      <c r="AH30" s="78">
        <v>0</v>
      </c>
      <c r="AI30" s="78">
        <v>0</v>
      </c>
      <c r="AJ30" s="76" t="s">
        <v>28</v>
      </c>
    </row>
    <row r="31" spans="1:36" x14ac:dyDescent="0.25">
      <c r="A31" s="76" t="s">
        <v>224</v>
      </c>
      <c r="B31" s="76" t="s">
        <v>225</v>
      </c>
      <c r="C31" s="76" t="s">
        <v>224</v>
      </c>
      <c r="D31" s="76" t="s">
        <v>230</v>
      </c>
      <c r="E31" s="76" t="s">
        <v>301</v>
      </c>
      <c r="F31" s="76" t="s">
        <v>200</v>
      </c>
      <c r="G31" s="76" t="s">
        <v>302</v>
      </c>
      <c r="H31" s="77" t="b">
        <f>TRUE()</f>
        <v>1</v>
      </c>
      <c r="I31" s="76" t="s">
        <v>28</v>
      </c>
      <c r="J31" s="76" t="s">
        <v>28</v>
      </c>
      <c r="K31" s="76" t="s">
        <v>28</v>
      </c>
      <c r="L31" s="76" t="s">
        <v>28</v>
      </c>
      <c r="M31" s="76" t="s">
        <v>28</v>
      </c>
      <c r="N31" s="76" t="s">
        <v>28</v>
      </c>
      <c r="O31" s="76" t="s">
        <v>28</v>
      </c>
      <c r="P31" s="76" t="s">
        <v>28</v>
      </c>
      <c r="Q31" s="76" t="s">
        <v>28</v>
      </c>
      <c r="R31" s="76" t="s">
        <v>28</v>
      </c>
      <c r="S31" s="76" t="s">
        <v>139</v>
      </c>
      <c r="T31" s="76" t="s">
        <v>110</v>
      </c>
      <c r="U31" s="78">
        <v>0</v>
      </c>
      <c r="V31" s="78">
        <v>287.7</v>
      </c>
      <c r="W31" s="78">
        <v>0</v>
      </c>
      <c r="X31" s="78">
        <v>0</v>
      </c>
      <c r="Y31" s="78">
        <v>0</v>
      </c>
      <c r="Z31" s="78">
        <v>287.7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  <c r="AF31" s="78">
        <v>0</v>
      </c>
      <c r="AG31" s="78">
        <v>0</v>
      </c>
      <c r="AH31" s="78">
        <v>0</v>
      </c>
      <c r="AI31" s="78">
        <v>0</v>
      </c>
      <c r="AJ31" s="76" t="s">
        <v>28</v>
      </c>
    </row>
    <row r="32" spans="1:36" x14ac:dyDescent="0.25">
      <c r="A32" s="76" t="s">
        <v>224</v>
      </c>
      <c r="B32" s="76" t="s">
        <v>225</v>
      </c>
      <c r="C32" s="76" t="s">
        <v>224</v>
      </c>
      <c r="D32" s="76" t="s">
        <v>230</v>
      </c>
      <c r="E32" s="76" t="s">
        <v>301</v>
      </c>
      <c r="F32" s="76" t="s">
        <v>200</v>
      </c>
      <c r="G32" s="76" t="s">
        <v>302</v>
      </c>
      <c r="H32" s="77" t="b">
        <f>TRUE()</f>
        <v>1</v>
      </c>
      <c r="I32" s="76" t="s">
        <v>28</v>
      </c>
      <c r="J32" s="76" t="s">
        <v>28</v>
      </c>
      <c r="K32" s="76" t="s">
        <v>28</v>
      </c>
      <c r="L32" s="76" t="s">
        <v>28</v>
      </c>
      <c r="M32" s="76" t="s">
        <v>28</v>
      </c>
      <c r="N32" s="76" t="s">
        <v>28</v>
      </c>
      <c r="O32" s="76" t="s">
        <v>28</v>
      </c>
      <c r="P32" s="76" t="s">
        <v>28</v>
      </c>
      <c r="Q32" s="76" t="s">
        <v>28</v>
      </c>
      <c r="R32" s="76" t="s">
        <v>28</v>
      </c>
      <c r="S32" s="76" t="s">
        <v>140</v>
      </c>
      <c r="T32" s="76" t="s">
        <v>111</v>
      </c>
      <c r="U32" s="78">
        <v>0</v>
      </c>
      <c r="V32" s="78">
        <v>5483.75</v>
      </c>
      <c r="W32" s="78">
        <v>0</v>
      </c>
      <c r="X32" s="78">
        <v>0</v>
      </c>
      <c r="Y32" s="78">
        <v>0</v>
      </c>
      <c r="Z32" s="78">
        <v>5483.75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  <c r="AF32" s="78">
        <v>0</v>
      </c>
      <c r="AG32" s="78">
        <v>0</v>
      </c>
      <c r="AH32" s="78">
        <v>0</v>
      </c>
      <c r="AI32" s="78">
        <v>0</v>
      </c>
      <c r="AJ32" s="76" t="s">
        <v>28</v>
      </c>
    </row>
    <row r="33" spans="1:36" x14ac:dyDescent="0.25">
      <c r="A33" s="76" t="s">
        <v>224</v>
      </c>
      <c r="B33" s="76" t="s">
        <v>225</v>
      </c>
      <c r="C33" s="76" t="s">
        <v>224</v>
      </c>
      <c r="D33" s="76" t="s">
        <v>230</v>
      </c>
      <c r="E33" s="76" t="s">
        <v>301</v>
      </c>
      <c r="F33" s="76" t="s">
        <v>200</v>
      </c>
      <c r="G33" s="76" t="s">
        <v>302</v>
      </c>
      <c r="H33" s="77" t="b">
        <f>TRUE()</f>
        <v>1</v>
      </c>
      <c r="I33" s="76" t="s">
        <v>28</v>
      </c>
      <c r="J33" s="76" t="s">
        <v>28</v>
      </c>
      <c r="K33" s="76" t="s">
        <v>28</v>
      </c>
      <c r="L33" s="76" t="s">
        <v>28</v>
      </c>
      <c r="M33" s="76" t="s">
        <v>28</v>
      </c>
      <c r="N33" s="76" t="s">
        <v>28</v>
      </c>
      <c r="O33" s="76" t="s">
        <v>28</v>
      </c>
      <c r="P33" s="76" t="s">
        <v>28</v>
      </c>
      <c r="Q33" s="76" t="s">
        <v>28</v>
      </c>
      <c r="R33" s="76" t="s">
        <v>28</v>
      </c>
      <c r="S33" s="76" t="s">
        <v>141</v>
      </c>
      <c r="T33" s="76" t="s">
        <v>143</v>
      </c>
      <c r="U33" s="78">
        <v>700</v>
      </c>
      <c r="V33" s="78">
        <v>1167.32</v>
      </c>
      <c r="W33" s="78">
        <v>0</v>
      </c>
      <c r="X33" s="78">
        <v>0</v>
      </c>
      <c r="Y33" s="78">
        <v>0</v>
      </c>
      <c r="Z33" s="78">
        <v>1867.32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  <c r="AF33" s="78">
        <v>0</v>
      </c>
      <c r="AG33" s="78">
        <v>0</v>
      </c>
      <c r="AH33" s="78">
        <v>0</v>
      </c>
      <c r="AI33" s="78">
        <v>0</v>
      </c>
      <c r="AJ33" s="76" t="s">
        <v>28</v>
      </c>
    </row>
    <row r="34" spans="1:36" x14ac:dyDescent="0.25">
      <c r="A34" s="76" t="s">
        <v>224</v>
      </c>
      <c r="B34" s="76" t="s">
        <v>225</v>
      </c>
      <c r="C34" s="76" t="s">
        <v>224</v>
      </c>
      <c r="D34" s="76" t="s">
        <v>230</v>
      </c>
      <c r="E34" s="76" t="s">
        <v>301</v>
      </c>
      <c r="F34" s="76" t="s">
        <v>200</v>
      </c>
      <c r="G34" s="76" t="s">
        <v>302</v>
      </c>
      <c r="H34" s="77" t="b">
        <f>TRUE()</f>
        <v>1</v>
      </c>
      <c r="I34" s="76" t="s">
        <v>28</v>
      </c>
      <c r="J34" s="76" t="s">
        <v>28</v>
      </c>
      <c r="K34" s="76" t="s">
        <v>28</v>
      </c>
      <c r="L34" s="76" t="s">
        <v>28</v>
      </c>
      <c r="M34" s="76" t="s">
        <v>28</v>
      </c>
      <c r="N34" s="76" t="s">
        <v>28</v>
      </c>
      <c r="O34" s="76" t="s">
        <v>28</v>
      </c>
      <c r="P34" s="76" t="s">
        <v>28</v>
      </c>
      <c r="Q34" s="76" t="s">
        <v>28</v>
      </c>
      <c r="R34" s="76" t="s">
        <v>28</v>
      </c>
      <c r="S34" s="76" t="s">
        <v>28</v>
      </c>
      <c r="T34" s="76" t="s">
        <v>227</v>
      </c>
      <c r="U34" s="78">
        <v>-54170.03</v>
      </c>
      <c r="V34" s="78">
        <v>-16531.18</v>
      </c>
      <c r="W34" s="78">
        <v>850.46</v>
      </c>
      <c r="X34" s="78">
        <v>-1101.92</v>
      </c>
      <c r="Y34" s="78">
        <v>-5953.65</v>
      </c>
      <c r="Z34" s="78">
        <v>-76906.320000000007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78">
        <v>0</v>
      </c>
      <c r="AJ34" s="76" t="s">
        <v>28</v>
      </c>
    </row>
    <row r="35" spans="1:36" x14ac:dyDescent="0.25"/>
    <row r="36" spans="1:36" x14ac:dyDescent="0.25"/>
    <row r="37" spans="1:36" x14ac:dyDescent="0.25"/>
    <row r="38" spans="1:36" x14ac:dyDescent="0.25"/>
    <row r="39" spans="1:36" x14ac:dyDescent="0.25"/>
    <row r="40" spans="1:36" x14ac:dyDescent="0.25"/>
    <row r="41" spans="1:36" x14ac:dyDescent="0.25"/>
    <row r="42" spans="1:36" x14ac:dyDescent="0.25"/>
    <row r="43" spans="1:36" x14ac:dyDescent="0.25"/>
    <row r="44" spans="1:36" x14ac:dyDescent="0.25"/>
    <row r="45" spans="1:36" x14ac:dyDescent="0.25"/>
    <row r="46" spans="1:36" x14ac:dyDescent="0.25"/>
    <row r="47" spans="1:36" x14ac:dyDescent="0.25"/>
    <row r="48" spans="1:36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AL1000"/>
  <sheetViews>
    <sheetView topLeftCell="S1" workbookViewId="0">
      <selection activeCell="A4" sqref="A4"/>
    </sheetView>
  </sheetViews>
  <sheetFormatPr defaultRowHeight="15" customHeight="1" x14ac:dyDescent="0.25"/>
  <cols>
    <col min="1" max="1" width="8" bestFit="1" customWidth="1"/>
    <col min="2" max="2" width="13.42578125" bestFit="1" customWidth="1"/>
    <col min="3" max="3" width="15.7109375" bestFit="1" customWidth="1"/>
    <col min="4" max="4" width="18.7109375" bestFit="1" customWidth="1"/>
    <col min="5" max="5" width="25" bestFit="1" customWidth="1"/>
    <col min="6" max="6" width="9.7109375" bestFit="1" customWidth="1"/>
    <col min="7" max="7" width="12" bestFit="1" customWidth="1"/>
    <col min="8" max="8" width="15.28515625" bestFit="1" customWidth="1"/>
    <col min="9" max="9" width="20.5703125" bestFit="1" customWidth="1"/>
    <col min="10" max="10" width="20.140625" bestFit="1" customWidth="1"/>
    <col min="11" max="11" width="22.85546875" bestFit="1" customWidth="1"/>
    <col min="12" max="12" width="14.7109375" bestFit="1" customWidth="1"/>
    <col min="13" max="13" width="18.42578125" bestFit="1" customWidth="1"/>
    <col min="14" max="14" width="19.7109375" bestFit="1" customWidth="1"/>
    <col min="15" max="16" width="18" bestFit="1" customWidth="1"/>
    <col min="17" max="17" width="17.85546875" bestFit="1" customWidth="1"/>
    <col min="18" max="18" width="16.5703125" bestFit="1" customWidth="1"/>
    <col min="19" max="19" width="17.5703125" bestFit="1" customWidth="1"/>
    <col min="20" max="20" width="18.42578125" bestFit="1" customWidth="1"/>
    <col min="21" max="21" width="10.140625" bestFit="1" customWidth="1"/>
    <col min="22" max="22" width="12.7109375" bestFit="1" customWidth="1"/>
    <col min="23" max="25" width="9.140625" bestFit="1" customWidth="1"/>
    <col min="26" max="26" width="6.5703125" bestFit="1" customWidth="1"/>
    <col min="27" max="27" width="10.85546875" bestFit="1" customWidth="1"/>
    <col min="28" max="28" width="17.7109375" bestFit="1" customWidth="1"/>
    <col min="29" max="29" width="4.5703125" bestFit="1" customWidth="1"/>
    <col min="30" max="37" width="4.28515625" bestFit="1" customWidth="1"/>
    <col min="38" max="38" width="18" bestFit="1" customWidth="1"/>
  </cols>
  <sheetData>
    <row r="1" spans="1:38" x14ac:dyDescent="0.25">
      <c r="A1" s="75" t="s">
        <v>165</v>
      </c>
      <c r="B1" s="75" t="s">
        <v>295</v>
      </c>
      <c r="C1" s="75" t="s">
        <v>167</v>
      </c>
      <c r="D1" s="75" t="s">
        <v>168</v>
      </c>
      <c r="E1" s="75" t="s">
        <v>296</v>
      </c>
      <c r="F1" s="75" t="s">
        <v>169</v>
      </c>
      <c r="G1" s="75" t="s">
        <v>170</v>
      </c>
      <c r="H1" s="75" t="s">
        <v>171</v>
      </c>
      <c r="I1" s="75" t="s">
        <v>297</v>
      </c>
      <c r="J1" s="75" t="s">
        <v>298</v>
      </c>
      <c r="K1" s="75" t="s">
        <v>299</v>
      </c>
      <c r="L1" s="75" t="s">
        <v>172</v>
      </c>
      <c r="M1" s="75" t="s">
        <v>173</v>
      </c>
      <c r="N1" s="75" t="s">
        <v>174</v>
      </c>
      <c r="O1" s="75" t="s">
        <v>175</v>
      </c>
      <c r="P1" s="75" t="s">
        <v>176</v>
      </c>
      <c r="Q1" s="75" t="s">
        <v>177</v>
      </c>
      <c r="R1" s="75" t="s">
        <v>178</v>
      </c>
      <c r="S1" s="75" t="s">
        <v>179</v>
      </c>
      <c r="T1" s="75" t="s">
        <v>180</v>
      </c>
      <c r="U1" s="75" t="s">
        <v>181</v>
      </c>
      <c r="V1" s="75" t="s">
        <v>166</v>
      </c>
      <c r="W1" s="75" t="s">
        <v>206</v>
      </c>
      <c r="X1" s="75" t="s">
        <v>207</v>
      </c>
      <c r="Y1" s="75" t="s">
        <v>208</v>
      </c>
      <c r="Z1" s="75" t="s">
        <v>209</v>
      </c>
      <c r="AA1" s="75" t="s">
        <v>210</v>
      </c>
      <c r="AB1" s="75" t="s">
        <v>211</v>
      </c>
      <c r="AC1" s="75" t="s">
        <v>187</v>
      </c>
      <c r="AD1" s="75" t="s">
        <v>188</v>
      </c>
      <c r="AE1" s="75" t="s">
        <v>189</v>
      </c>
      <c r="AF1" s="75" t="s">
        <v>190</v>
      </c>
      <c r="AG1" s="75" t="s">
        <v>191</v>
      </c>
      <c r="AH1" s="75" t="s">
        <v>192</v>
      </c>
      <c r="AI1" s="75" t="s">
        <v>193</v>
      </c>
      <c r="AJ1" s="75" t="s">
        <v>194</v>
      </c>
      <c r="AK1" s="75" t="s">
        <v>195</v>
      </c>
      <c r="AL1" s="75" t="s">
        <v>300</v>
      </c>
    </row>
    <row r="2" spans="1:38" x14ac:dyDescent="0.25">
      <c r="A2" s="76" t="s">
        <v>231</v>
      </c>
      <c r="B2" s="76" t="s">
        <v>232</v>
      </c>
      <c r="C2" s="76" t="s">
        <v>233</v>
      </c>
      <c r="D2" s="76" t="s">
        <v>230</v>
      </c>
      <c r="E2" s="76" t="s">
        <v>301</v>
      </c>
      <c r="F2" s="76" t="s">
        <v>303</v>
      </c>
      <c r="G2" s="76" t="s">
        <v>302</v>
      </c>
      <c r="H2" s="77" t="b">
        <f>FALSE()</f>
        <v>0</v>
      </c>
      <c r="I2" s="76" t="s">
        <v>28</v>
      </c>
      <c r="J2" s="76" t="s">
        <v>28</v>
      </c>
      <c r="K2" s="76" t="s">
        <v>28</v>
      </c>
      <c r="L2" s="76" t="s">
        <v>28</v>
      </c>
      <c r="M2" s="76" t="s">
        <v>28</v>
      </c>
      <c r="N2" s="76" t="s">
        <v>28</v>
      </c>
      <c r="O2" s="76" t="s">
        <v>28</v>
      </c>
      <c r="P2" s="76" t="s">
        <v>28</v>
      </c>
      <c r="Q2" s="76" t="s">
        <v>28</v>
      </c>
      <c r="R2" s="76" t="s">
        <v>28</v>
      </c>
      <c r="S2" s="76" t="s">
        <v>28</v>
      </c>
      <c r="T2" s="76" t="s">
        <v>28</v>
      </c>
      <c r="U2" s="76" t="s">
        <v>28</v>
      </c>
      <c r="V2" s="76" t="s">
        <v>234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  <c r="AI2" s="78">
        <v>0</v>
      </c>
      <c r="AJ2" s="78">
        <v>0</v>
      </c>
      <c r="AK2" s="78">
        <v>0</v>
      </c>
      <c r="AL2" s="76" t="s">
        <v>28</v>
      </c>
    </row>
    <row r="3" spans="1:38" x14ac:dyDescent="0.25">
      <c r="A3" s="76" t="s">
        <v>231</v>
      </c>
      <c r="B3" s="76" t="s">
        <v>232</v>
      </c>
      <c r="C3" s="76" t="s">
        <v>233</v>
      </c>
      <c r="D3" s="76" t="s">
        <v>230</v>
      </c>
      <c r="E3" s="76" t="s">
        <v>301</v>
      </c>
      <c r="F3" s="76" t="s">
        <v>303</v>
      </c>
      <c r="G3" s="76" t="s">
        <v>302</v>
      </c>
      <c r="H3" s="77" t="b">
        <f>FALSE()</f>
        <v>0</v>
      </c>
      <c r="I3" s="76" t="s">
        <v>28</v>
      </c>
      <c r="J3" s="76" t="s">
        <v>28</v>
      </c>
      <c r="K3" s="76" t="s">
        <v>28</v>
      </c>
      <c r="L3" s="76" t="s">
        <v>28</v>
      </c>
      <c r="M3" s="76" t="s">
        <v>28</v>
      </c>
      <c r="N3" s="76" t="s">
        <v>28</v>
      </c>
      <c r="O3" s="76" t="s">
        <v>28</v>
      </c>
      <c r="P3" s="76" t="s">
        <v>28</v>
      </c>
      <c r="Q3" s="76" t="s">
        <v>28</v>
      </c>
      <c r="R3" s="76" t="s">
        <v>28</v>
      </c>
      <c r="S3" s="76" t="s">
        <v>28</v>
      </c>
      <c r="T3" s="76" t="s">
        <v>28</v>
      </c>
      <c r="U3" s="76" t="s">
        <v>43</v>
      </c>
      <c r="V3" s="76" t="s">
        <v>235</v>
      </c>
      <c r="W3" s="78">
        <v>0</v>
      </c>
      <c r="X3" s="78">
        <v>24247.64</v>
      </c>
      <c r="Y3" s="78">
        <v>7522.36</v>
      </c>
      <c r="Z3" s="78">
        <v>0</v>
      </c>
      <c r="AA3" s="78">
        <v>4003.64</v>
      </c>
      <c r="AB3" s="78">
        <v>35773.64</v>
      </c>
      <c r="AC3" s="78">
        <v>0</v>
      </c>
      <c r="AD3" s="78">
        <v>0</v>
      </c>
      <c r="AE3" s="78">
        <v>0</v>
      </c>
      <c r="AF3" s="78">
        <v>0</v>
      </c>
      <c r="AG3" s="78">
        <v>0</v>
      </c>
      <c r="AH3" s="78">
        <v>0</v>
      </c>
      <c r="AI3" s="78">
        <v>0</v>
      </c>
      <c r="AJ3" s="78">
        <v>0</v>
      </c>
      <c r="AK3" s="78">
        <v>0</v>
      </c>
      <c r="AL3" s="76" t="s">
        <v>28</v>
      </c>
    </row>
    <row r="4" spans="1:38" x14ac:dyDescent="0.25">
      <c r="A4" s="76" t="s">
        <v>231</v>
      </c>
      <c r="B4" s="76" t="s">
        <v>232</v>
      </c>
      <c r="C4" s="76" t="s">
        <v>233</v>
      </c>
      <c r="D4" s="76" t="s">
        <v>230</v>
      </c>
      <c r="E4" s="76" t="s">
        <v>301</v>
      </c>
      <c r="F4" s="76" t="s">
        <v>303</v>
      </c>
      <c r="G4" s="76" t="s">
        <v>302</v>
      </c>
      <c r="H4" s="77" t="b">
        <f>FALSE()</f>
        <v>0</v>
      </c>
      <c r="I4" s="76" t="s">
        <v>28</v>
      </c>
      <c r="J4" s="76" t="s">
        <v>28</v>
      </c>
      <c r="K4" s="76" t="s">
        <v>28</v>
      </c>
      <c r="L4" s="76" t="s">
        <v>28</v>
      </c>
      <c r="M4" s="76" t="s">
        <v>28</v>
      </c>
      <c r="N4" s="76" t="s">
        <v>28</v>
      </c>
      <c r="O4" s="76" t="s">
        <v>28</v>
      </c>
      <c r="P4" s="76" t="s">
        <v>28</v>
      </c>
      <c r="Q4" s="76" t="s">
        <v>28</v>
      </c>
      <c r="R4" s="76" t="s">
        <v>28</v>
      </c>
      <c r="S4" s="76" t="s">
        <v>28</v>
      </c>
      <c r="T4" s="76" t="s">
        <v>28</v>
      </c>
      <c r="U4" s="76" t="s">
        <v>44</v>
      </c>
      <c r="V4" s="76" t="s">
        <v>236</v>
      </c>
      <c r="W4" s="78">
        <v>31994.75</v>
      </c>
      <c r="X4" s="78">
        <v>1818.21</v>
      </c>
      <c r="Y4" s="78">
        <v>0</v>
      </c>
      <c r="Z4" s="78">
        <v>1062.33</v>
      </c>
      <c r="AA4" s="78">
        <v>0</v>
      </c>
      <c r="AB4" s="78">
        <v>34875.29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  <c r="AI4" s="78">
        <v>0</v>
      </c>
      <c r="AJ4" s="78">
        <v>0</v>
      </c>
      <c r="AK4" s="78">
        <v>0</v>
      </c>
      <c r="AL4" s="76" t="s">
        <v>28</v>
      </c>
    </row>
    <row r="5" spans="1:38" x14ac:dyDescent="0.25">
      <c r="A5" s="76" t="s">
        <v>231</v>
      </c>
      <c r="B5" s="76" t="s">
        <v>232</v>
      </c>
      <c r="C5" s="76" t="s">
        <v>233</v>
      </c>
      <c r="D5" s="76" t="s">
        <v>230</v>
      </c>
      <c r="E5" s="76" t="s">
        <v>301</v>
      </c>
      <c r="F5" s="76" t="s">
        <v>303</v>
      </c>
      <c r="G5" s="76" t="s">
        <v>302</v>
      </c>
      <c r="H5" s="77" t="b">
        <f>FALSE()</f>
        <v>0</v>
      </c>
      <c r="I5" s="76" t="s">
        <v>28</v>
      </c>
      <c r="J5" s="76" t="s">
        <v>28</v>
      </c>
      <c r="K5" s="76" t="s">
        <v>28</v>
      </c>
      <c r="L5" s="76" t="s">
        <v>28</v>
      </c>
      <c r="M5" s="76" t="s">
        <v>28</v>
      </c>
      <c r="N5" s="76" t="s">
        <v>28</v>
      </c>
      <c r="O5" s="76" t="s">
        <v>28</v>
      </c>
      <c r="P5" s="76" t="s">
        <v>28</v>
      </c>
      <c r="Q5" s="76" t="s">
        <v>28</v>
      </c>
      <c r="R5" s="76" t="s">
        <v>28</v>
      </c>
      <c r="S5" s="76" t="s">
        <v>28</v>
      </c>
      <c r="T5" s="76" t="s">
        <v>28</v>
      </c>
      <c r="U5" s="76" t="s">
        <v>45</v>
      </c>
      <c r="V5" s="76" t="s">
        <v>237</v>
      </c>
      <c r="W5" s="78">
        <v>726.5</v>
      </c>
      <c r="X5" s="78">
        <v>12052.12</v>
      </c>
      <c r="Y5" s="78">
        <v>587.79999999999995</v>
      </c>
      <c r="Z5" s="78">
        <v>0</v>
      </c>
      <c r="AA5" s="78">
        <v>2689.27</v>
      </c>
      <c r="AB5" s="78">
        <v>16055.69</v>
      </c>
      <c r="AC5" s="78">
        <v>0</v>
      </c>
      <c r="AD5" s="78">
        <v>0</v>
      </c>
      <c r="AE5" s="78">
        <v>0</v>
      </c>
      <c r="AF5" s="78">
        <v>0</v>
      </c>
      <c r="AG5" s="78">
        <v>0</v>
      </c>
      <c r="AH5" s="78">
        <v>0</v>
      </c>
      <c r="AI5" s="78">
        <v>0</v>
      </c>
      <c r="AJ5" s="78">
        <v>0</v>
      </c>
      <c r="AK5" s="78">
        <v>0</v>
      </c>
      <c r="AL5" s="76" t="s">
        <v>28</v>
      </c>
    </row>
    <row r="6" spans="1:38" x14ac:dyDescent="0.25">
      <c r="A6" s="76" t="s">
        <v>231</v>
      </c>
      <c r="B6" s="76" t="s">
        <v>232</v>
      </c>
      <c r="C6" s="76" t="s">
        <v>233</v>
      </c>
      <c r="D6" s="76" t="s">
        <v>230</v>
      </c>
      <c r="E6" s="76" t="s">
        <v>301</v>
      </c>
      <c r="F6" s="76" t="s">
        <v>303</v>
      </c>
      <c r="G6" s="76" t="s">
        <v>302</v>
      </c>
      <c r="H6" s="77" t="b">
        <f>FALSE()</f>
        <v>0</v>
      </c>
      <c r="I6" s="76" t="s">
        <v>28</v>
      </c>
      <c r="J6" s="76" t="s">
        <v>28</v>
      </c>
      <c r="K6" s="76" t="s">
        <v>28</v>
      </c>
      <c r="L6" s="76" t="s">
        <v>28</v>
      </c>
      <c r="M6" s="76" t="s">
        <v>28</v>
      </c>
      <c r="N6" s="76" t="s">
        <v>28</v>
      </c>
      <c r="O6" s="76" t="s">
        <v>28</v>
      </c>
      <c r="P6" s="76" t="s">
        <v>28</v>
      </c>
      <c r="Q6" s="76" t="s">
        <v>28</v>
      </c>
      <c r="R6" s="76" t="s">
        <v>28</v>
      </c>
      <c r="S6" s="76" t="s">
        <v>28</v>
      </c>
      <c r="T6" s="76" t="s">
        <v>28</v>
      </c>
      <c r="U6" s="76" t="s">
        <v>56</v>
      </c>
      <c r="V6" s="76" t="s">
        <v>238</v>
      </c>
      <c r="W6" s="78">
        <v>12590.61</v>
      </c>
      <c r="X6" s="78">
        <v>1968.13</v>
      </c>
      <c r="Y6" s="78">
        <v>476.64</v>
      </c>
      <c r="Z6" s="78">
        <v>0</v>
      </c>
      <c r="AA6" s="78">
        <v>526.38</v>
      </c>
      <c r="AB6" s="78">
        <v>15561.76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8">
        <v>0</v>
      </c>
      <c r="AK6" s="78">
        <v>0</v>
      </c>
      <c r="AL6" s="76" t="s">
        <v>28</v>
      </c>
    </row>
    <row r="7" spans="1:38" x14ac:dyDescent="0.25">
      <c r="A7" s="76" t="s">
        <v>231</v>
      </c>
      <c r="B7" s="76" t="s">
        <v>232</v>
      </c>
      <c r="C7" s="76" t="s">
        <v>233</v>
      </c>
      <c r="D7" s="76" t="s">
        <v>230</v>
      </c>
      <c r="E7" s="76" t="s">
        <v>301</v>
      </c>
      <c r="F7" s="76" t="s">
        <v>303</v>
      </c>
      <c r="G7" s="76" t="s">
        <v>302</v>
      </c>
      <c r="H7" s="77" t="b">
        <f>FALSE()</f>
        <v>0</v>
      </c>
      <c r="I7" s="76" t="s">
        <v>28</v>
      </c>
      <c r="J7" s="76" t="s">
        <v>28</v>
      </c>
      <c r="K7" s="76" t="s">
        <v>28</v>
      </c>
      <c r="L7" s="76" t="s">
        <v>28</v>
      </c>
      <c r="M7" s="76" t="s">
        <v>28</v>
      </c>
      <c r="N7" s="76" t="s">
        <v>28</v>
      </c>
      <c r="O7" s="76" t="s">
        <v>28</v>
      </c>
      <c r="P7" s="76" t="s">
        <v>28</v>
      </c>
      <c r="Q7" s="76" t="s">
        <v>28</v>
      </c>
      <c r="R7" s="76" t="s">
        <v>28</v>
      </c>
      <c r="S7" s="76" t="s">
        <v>28</v>
      </c>
      <c r="T7" s="76" t="s">
        <v>28</v>
      </c>
      <c r="U7" s="76" t="s">
        <v>58</v>
      </c>
      <c r="V7" s="76" t="s">
        <v>239</v>
      </c>
      <c r="W7" s="78">
        <v>0</v>
      </c>
      <c r="X7" s="78">
        <v>132.6</v>
      </c>
      <c r="Y7" s="78">
        <v>0</v>
      </c>
      <c r="Z7" s="78">
        <v>0</v>
      </c>
      <c r="AA7" s="78">
        <v>62.38</v>
      </c>
      <c r="AB7" s="78">
        <v>194.98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  <c r="AJ7" s="78">
        <v>0</v>
      </c>
      <c r="AK7" s="78">
        <v>0</v>
      </c>
      <c r="AL7" s="76" t="s">
        <v>28</v>
      </c>
    </row>
    <row r="8" spans="1:38" x14ac:dyDescent="0.25">
      <c r="A8" s="76" t="s">
        <v>231</v>
      </c>
      <c r="B8" s="76" t="s">
        <v>232</v>
      </c>
      <c r="C8" s="76" t="s">
        <v>233</v>
      </c>
      <c r="D8" s="76" t="s">
        <v>230</v>
      </c>
      <c r="E8" s="76" t="s">
        <v>301</v>
      </c>
      <c r="F8" s="76" t="s">
        <v>303</v>
      </c>
      <c r="G8" s="76" t="s">
        <v>302</v>
      </c>
      <c r="H8" s="77" t="b">
        <f>FALSE()</f>
        <v>0</v>
      </c>
      <c r="I8" s="76" t="s">
        <v>28</v>
      </c>
      <c r="J8" s="76" t="s">
        <v>28</v>
      </c>
      <c r="K8" s="76" t="s">
        <v>28</v>
      </c>
      <c r="L8" s="76" t="s">
        <v>28</v>
      </c>
      <c r="M8" s="76" t="s">
        <v>28</v>
      </c>
      <c r="N8" s="76" t="s">
        <v>28</v>
      </c>
      <c r="O8" s="76" t="s">
        <v>28</v>
      </c>
      <c r="P8" s="76" t="s">
        <v>28</v>
      </c>
      <c r="Q8" s="76" t="s">
        <v>28</v>
      </c>
      <c r="R8" s="76" t="s">
        <v>28</v>
      </c>
      <c r="S8" s="76" t="s">
        <v>28</v>
      </c>
      <c r="T8" s="76" t="s">
        <v>28</v>
      </c>
      <c r="U8" s="76" t="s">
        <v>60</v>
      </c>
      <c r="V8" s="76" t="s">
        <v>240</v>
      </c>
      <c r="W8" s="78">
        <v>1456.23</v>
      </c>
      <c r="X8" s="78">
        <v>3209.13</v>
      </c>
      <c r="Y8" s="78">
        <v>3107.99</v>
      </c>
      <c r="Z8" s="78">
        <v>39.590000000000003</v>
      </c>
      <c r="AA8" s="78">
        <v>240.02</v>
      </c>
      <c r="AB8" s="78">
        <v>8052.96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  <c r="AJ8" s="78">
        <v>0</v>
      </c>
      <c r="AK8" s="78">
        <v>0</v>
      </c>
      <c r="AL8" s="76" t="s">
        <v>28</v>
      </c>
    </row>
    <row r="9" spans="1:38" x14ac:dyDescent="0.25">
      <c r="A9" s="76" t="s">
        <v>231</v>
      </c>
      <c r="B9" s="76" t="s">
        <v>232</v>
      </c>
      <c r="C9" s="76" t="s">
        <v>233</v>
      </c>
      <c r="D9" s="76" t="s">
        <v>230</v>
      </c>
      <c r="E9" s="76" t="s">
        <v>301</v>
      </c>
      <c r="F9" s="76" t="s">
        <v>303</v>
      </c>
      <c r="G9" s="76" t="s">
        <v>302</v>
      </c>
      <c r="H9" s="77" t="b">
        <f>FALSE()</f>
        <v>0</v>
      </c>
      <c r="I9" s="76" t="s">
        <v>28</v>
      </c>
      <c r="J9" s="76" t="s">
        <v>28</v>
      </c>
      <c r="K9" s="76" t="s">
        <v>28</v>
      </c>
      <c r="L9" s="76" t="s">
        <v>28</v>
      </c>
      <c r="M9" s="76" t="s">
        <v>28</v>
      </c>
      <c r="N9" s="76" t="s">
        <v>28</v>
      </c>
      <c r="O9" s="76" t="s">
        <v>28</v>
      </c>
      <c r="P9" s="76" t="s">
        <v>28</v>
      </c>
      <c r="Q9" s="76" t="s">
        <v>28</v>
      </c>
      <c r="R9" s="76" t="s">
        <v>28</v>
      </c>
      <c r="S9" s="76" t="s">
        <v>28</v>
      </c>
      <c r="T9" s="76" t="s">
        <v>28</v>
      </c>
      <c r="U9" s="76" t="s">
        <v>62</v>
      </c>
      <c r="V9" s="76" t="s">
        <v>241</v>
      </c>
      <c r="W9" s="78">
        <v>0</v>
      </c>
      <c r="X9" s="78">
        <v>230.66</v>
      </c>
      <c r="Y9" s="78">
        <v>0</v>
      </c>
      <c r="Z9" s="78">
        <v>0</v>
      </c>
      <c r="AA9" s="78">
        <v>144.76</v>
      </c>
      <c r="AB9" s="78">
        <v>375.42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  <c r="AJ9" s="78">
        <v>0</v>
      </c>
      <c r="AK9" s="78">
        <v>0</v>
      </c>
      <c r="AL9" s="76" t="s">
        <v>28</v>
      </c>
    </row>
    <row r="10" spans="1:38" x14ac:dyDescent="0.25">
      <c r="A10" s="76" t="s">
        <v>231</v>
      </c>
      <c r="B10" s="76" t="s">
        <v>232</v>
      </c>
      <c r="C10" s="76" t="s">
        <v>233</v>
      </c>
      <c r="D10" s="76" t="s">
        <v>230</v>
      </c>
      <c r="E10" s="76" t="s">
        <v>301</v>
      </c>
      <c r="F10" s="76" t="s">
        <v>303</v>
      </c>
      <c r="G10" s="76" t="s">
        <v>302</v>
      </c>
      <c r="H10" s="77" t="b">
        <f>FALSE()</f>
        <v>0</v>
      </c>
      <c r="I10" s="76" t="s">
        <v>28</v>
      </c>
      <c r="J10" s="76" t="s">
        <v>28</v>
      </c>
      <c r="K10" s="76" t="s">
        <v>28</v>
      </c>
      <c r="L10" s="76" t="s">
        <v>28</v>
      </c>
      <c r="M10" s="76" t="s">
        <v>28</v>
      </c>
      <c r="N10" s="76" t="s">
        <v>28</v>
      </c>
      <c r="O10" s="76" t="s">
        <v>28</v>
      </c>
      <c r="P10" s="76" t="s">
        <v>28</v>
      </c>
      <c r="Q10" s="76" t="s">
        <v>28</v>
      </c>
      <c r="R10" s="76" t="s">
        <v>28</v>
      </c>
      <c r="S10" s="76" t="s">
        <v>28</v>
      </c>
      <c r="T10" s="76" t="s">
        <v>28</v>
      </c>
      <c r="U10" s="76" t="s">
        <v>64</v>
      </c>
      <c r="V10" s="76" t="s">
        <v>242</v>
      </c>
      <c r="W10" s="78">
        <v>6534</v>
      </c>
      <c r="X10" s="78">
        <v>2753.55</v>
      </c>
      <c r="Y10" s="78">
        <v>0</v>
      </c>
      <c r="Z10" s="78">
        <v>0</v>
      </c>
      <c r="AA10" s="78">
        <v>202.68</v>
      </c>
      <c r="AB10" s="78">
        <v>9490.23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0</v>
      </c>
      <c r="AJ10" s="78">
        <v>0</v>
      </c>
      <c r="AK10" s="78">
        <v>0</v>
      </c>
      <c r="AL10" s="76" t="s">
        <v>28</v>
      </c>
    </row>
    <row r="11" spans="1:38" x14ac:dyDescent="0.25">
      <c r="A11" s="76" t="s">
        <v>231</v>
      </c>
      <c r="B11" s="76" t="s">
        <v>232</v>
      </c>
      <c r="C11" s="76" t="s">
        <v>233</v>
      </c>
      <c r="D11" s="76" t="s">
        <v>230</v>
      </c>
      <c r="E11" s="76" t="s">
        <v>301</v>
      </c>
      <c r="F11" s="76" t="s">
        <v>303</v>
      </c>
      <c r="G11" s="76" t="s">
        <v>302</v>
      </c>
      <c r="H11" s="77" t="b">
        <f>FALSE()</f>
        <v>0</v>
      </c>
      <c r="I11" s="76" t="s">
        <v>28</v>
      </c>
      <c r="J11" s="76" t="s">
        <v>28</v>
      </c>
      <c r="K11" s="76" t="s">
        <v>28</v>
      </c>
      <c r="L11" s="76" t="s">
        <v>28</v>
      </c>
      <c r="M11" s="76" t="s">
        <v>28</v>
      </c>
      <c r="N11" s="76" t="s">
        <v>28</v>
      </c>
      <c r="O11" s="76" t="s">
        <v>28</v>
      </c>
      <c r="P11" s="76" t="s">
        <v>28</v>
      </c>
      <c r="Q11" s="76" t="s">
        <v>28</v>
      </c>
      <c r="R11" s="76" t="s">
        <v>28</v>
      </c>
      <c r="S11" s="76" t="s">
        <v>28</v>
      </c>
      <c r="T11" s="76" t="s">
        <v>28</v>
      </c>
      <c r="U11" s="76" t="s">
        <v>243</v>
      </c>
      <c r="V11" s="76" t="s">
        <v>244</v>
      </c>
      <c r="W11" s="78">
        <v>0</v>
      </c>
      <c r="X11" s="78">
        <v>2546.0500000000002</v>
      </c>
      <c r="Y11" s="78">
        <v>0</v>
      </c>
      <c r="Z11" s="78">
        <v>0</v>
      </c>
      <c r="AA11" s="78">
        <v>122.01</v>
      </c>
      <c r="AB11" s="78">
        <v>2668.06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78">
        <v>0</v>
      </c>
      <c r="AJ11" s="78">
        <v>0</v>
      </c>
      <c r="AK11" s="78">
        <v>0</v>
      </c>
      <c r="AL11" s="76" t="s">
        <v>28</v>
      </c>
    </row>
    <row r="12" spans="1:38" x14ac:dyDescent="0.25">
      <c r="A12" s="76" t="s">
        <v>231</v>
      </c>
      <c r="B12" s="76" t="s">
        <v>232</v>
      </c>
      <c r="C12" s="76" t="s">
        <v>233</v>
      </c>
      <c r="D12" s="76" t="s">
        <v>230</v>
      </c>
      <c r="E12" s="76" t="s">
        <v>301</v>
      </c>
      <c r="F12" s="76" t="s">
        <v>303</v>
      </c>
      <c r="G12" s="76" t="s">
        <v>302</v>
      </c>
      <c r="H12" s="77" t="b">
        <f>FALSE()</f>
        <v>0</v>
      </c>
      <c r="I12" s="76" t="s">
        <v>28</v>
      </c>
      <c r="J12" s="76" t="s">
        <v>28</v>
      </c>
      <c r="K12" s="76" t="s">
        <v>28</v>
      </c>
      <c r="L12" s="76" t="s">
        <v>28</v>
      </c>
      <c r="M12" s="76" t="s">
        <v>28</v>
      </c>
      <c r="N12" s="76" t="s">
        <v>28</v>
      </c>
      <c r="O12" s="76" t="s">
        <v>28</v>
      </c>
      <c r="P12" s="76" t="s">
        <v>28</v>
      </c>
      <c r="Q12" s="76" t="s">
        <v>28</v>
      </c>
      <c r="R12" s="76" t="s">
        <v>28</v>
      </c>
      <c r="S12" s="76" t="s">
        <v>28</v>
      </c>
      <c r="T12" s="76" t="s">
        <v>28</v>
      </c>
      <c r="U12" s="76" t="s">
        <v>245</v>
      </c>
      <c r="V12" s="76" t="s">
        <v>246</v>
      </c>
      <c r="W12" s="78">
        <v>840</v>
      </c>
      <c r="X12" s="78">
        <v>0</v>
      </c>
      <c r="Y12" s="78">
        <v>0</v>
      </c>
      <c r="Z12" s="78">
        <v>0</v>
      </c>
      <c r="AA12" s="78">
        <v>0</v>
      </c>
      <c r="AB12" s="78">
        <v>840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78">
        <v>0</v>
      </c>
      <c r="AJ12" s="78">
        <v>0</v>
      </c>
      <c r="AK12" s="78">
        <v>0</v>
      </c>
      <c r="AL12" s="76" t="s">
        <v>28</v>
      </c>
    </row>
    <row r="13" spans="1:38" x14ac:dyDescent="0.25">
      <c r="A13" s="76" t="s">
        <v>231</v>
      </c>
      <c r="B13" s="76" t="s">
        <v>232</v>
      </c>
      <c r="C13" s="76" t="s">
        <v>233</v>
      </c>
      <c r="D13" s="76" t="s">
        <v>230</v>
      </c>
      <c r="E13" s="76" t="s">
        <v>301</v>
      </c>
      <c r="F13" s="76" t="s">
        <v>303</v>
      </c>
      <c r="G13" s="76" t="s">
        <v>302</v>
      </c>
      <c r="H13" s="77" t="b">
        <f>FALSE()</f>
        <v>0</v>
      </c>
      <c r="I13" s="76" t="s">
        <v>28</v>
      </c>
      <c r="J13" s="76" t="s">
        <v>28</v>
      </c>
      <c r="K13" s="76" t="s">
        <v>28</v>
      </c>
      <c r="L13" s="76" t="s">
        <v>28</v>
      </c>
      <c r="M13" s="76" t="s">
        <v>28</v>
      </c>
      <c r="N13" s="76" t="s">
        <v>28</v>
      </c>
      <c r="O13" s="76" t="s">
        <v>28</v>
      </c>
      <c r="P13" s="76" t="s">
        <v>28</v>
      </c>
      <c r="Q13" s="76" t="s">
        <v>28</v>
      </c>
      <c r="R13" s="76" t="s">
        <v>28</v>
      </c>
      <c r="S13" s="76" t="s">
        <v>28</v>
      </c>
      <c r="T13" s="76" t="s">
        <v>28</v>
      </c>
      <c r="U13" s="76" t="s">
        <v>247</v>
      </c>
      <c r="V13" s="76" t="s">
        <v>248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0</v>
      </c>
      <c r="AJ13" s="78">
        <v>0</v>
      </c>
      <c r="AK13" s="78">
        <v>0</v>
      </c>
      <c r="AL13" s="76" t="s">
        <v>28</v>
      </c>
    </row>
    <row r="14" spans="1:38" x14ac:dyDescent="0.25">
      <c r="A14" s="76" t="s">
        <v>231</v>
      </c>
      <c r="B14" s="76" t="s">
        <v>232</v>
      </c>
      <c r="C14" s="76" t="s">
        <v>233</v>
      </c>
      <c r="D14" s="76" t="s">
        <v>230</v>
      </c>
      <c r="E14" s="76" t="s">
        <v>301</v>
      </c>
      <c r="F14" s="76" t="s">
        <v>303</v>
      </c>
      <c r="G14" s="76" t="s">
        <v>302</v>
      </c>
      <c r="H14" s="77" t="b">
        <f>FALSE()</f>
        <v>0</v>
      </c>
      <c r="I14" s="76" t="s">
        <v>28</v>
      </c>
      <c r="J14" s="76" t="s">
        <v>28</v>
      </c>
      <c r="K14" s="76" t="s">
        <v>28</v>
      </c>
      <c r="L14" s="76" t="s">
        <v>28</v>
      </c>
      <c r="M14" s="76" t="s">
        <v>28</v>
      </c>
      <c r="N14" s="76" t="s">
        <v>28</v>
      </c>
      <c r="O14" s="76" t="s">
        <v>28</v>
      </c>
      <c r="P14" s="76" t="s">
        <v>28</v>
      </c>
      <c r="Q14" s="76" t="s">
        <v>28</v>
      </c>
      <c r="R14" s="76" t="s">
        <v>28</v>
      </c>
      <c r="S14" s="76" t="s">
        <v>28</v>
      </c>
      <c r="T14" s="76" t="s">
        <v>28</v>
      </c>
      <c r="U14" s="76" t="s">
        <v>66</v>
      </c>
      <c r="V14" s="76" t="s">
        <v>249</v>
      </c>
      <c r="W14" s="78">
        <v>0</v>
      </c>
      <c r="X14" s="78">
        <v>546.91999999999996</v>
      </c>
      <c r="Y14" s="78">
        <v>0</v>
      </c>
      <c r="Z14" s="78">
        <v>0</v>
      </c>
      <c r="AA14" s="78">
        <v>279.64</v>
      </c>
      <c r="AB14" s="78">
        <v>826.56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78">
        <v>0</v>
      </c>
      <c r="AJ14" s="78">
        <v>0</v>
      </c>
      <c r="AK14" s="78">
        <v>0</v>
      </c>
      <c r="AL14" s="76" t="s">
        <v>28</v>
      </c>
    </row>
    <row r="15" spans="1:38" x14ac:dyDescent="0.25">
      <c r="A15" s="76" t="s">
        <v>231</v>
      </c>
      <c r="B15" s="76" t="s">
        <v>232</v>
      </c>
      <c r="C15" s="76" t="s">
        <v>233</v>
      </c>
      <c r="D15" s="76" t="s">
        <v>230</v>
      </c>
      <c r="E15" s="76" t="s">
        <v>301</v>
      </c>
      <c r="F15" s="76" t="s">
        <v>303</v>
      </c>
      <c r="G15" s="76" t="s">
        <v>302</v>
      </c>
      <c r="H15" s="77" t="b">
        <f>FALSE()</f>
        <v>0</v>
      </c>
      <c r="I15" s="76" t="s">
        <v>28</v>
      </c>
      <c r="J15" s="76" t="s">
        <v>28</v>
      </c>
      <c r="K15" s="76" t="s">
        <v>28</v>
      </c>
      <c r="L15" s="76" t="s">
        <v>28</v>
      </c>
      <c r="M15" s="76" t="s">
        <v>28</v>
      </c>
      <c r="N15" s="76" t="s">
        <v>28</v>
      </c>
      <c r="O15" s="76" t="s">
        <v>28</v>
      </c>
      <c r="P15" s="76" t="s">
        <v>28</v>
      </c>
      <c r="Q15" s="76" t="s">
        <v>28</v>
      </c>
      <c r="R15" s="76" t="s">
        <v>28</v>
      </c>
      <c r="S15" s="76" t="s">
        <v>28</v>
      </c>
      <c r="T15" s="76" t="s">
        <v>28</v>
      </c>
      <c r="U15" s="76" t="s">
        <v>250</v>
      </c>
      <c r="V15" s="76" t="s">
        <v>251</v>
      </c>
      <c r="W15" s="78">
        <v>0</v>
      </c>
      <c r="X15" s="78">
        <v>268.57</v>
      </c>
      <c r="Y15" s="78">
        <v>0</v>
      </c>
      <c r="Z15" s="78">
        <v>0</v>
      </c>
      <c r="AA15" s="78">
        <v>0</v>
      </c>
      <c r="AB15" s="78">
        <v>268.57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  <c r="AI15" s="78">
        <v>0</v>
      </c>
      <c r="AJ15" s="78">
        <v>0</v>
      </c>
      <c r="AK15" s="78">
        <v>0</v>
      </c>
      <c r="AL15" s="76" t="s">
        <v>28</v>
      </c>
    </row>
    <row r="16" spans="1:38" x14ac:dyDescent="0.25">
      <c r="A16" s="76" t="s">
        <v>231</v>
      </c>
      <c r="B16" s="76" t="s">
        <v>232</v>
      </c>
      <c r="C16" s="76" t="s">
        <v>233</v>
      </c>
      <c r="D16" s="76" t="s">
        <v>230</v>
      </c>
      <c r="E16" s="76" t="s">
        <v>301</v>
      </c>
      <c r="F16" s="76" t="s">
        <v>303</v>
      </c>
      <c r="G16" s="76" t="s">
        <v>302</v>
      </c>
      <c r="H16" s="77" t="b">
        <f>FALSE()</f>
        <v>0</v>
      </c>
      <c r="I16" s="76" t="s">
        <v>28</v>
      </c>
      <c r="J16" s="76" t="s">
        <v>28</v>
      </c>
      <c r="K16" s="76" t="s">
        <v>28</v>
      </c>
      <c r="L16" s="76" t="s">
        <v>28</v>
      </c>
      <c r="M16" s="76" t="s">
        <v>28</v>
      </c>
      <c r="N16" s="76" t="s">
        <v>28</v>
      </c>
      <c r="O16" s="76" t="s">
        <v>28</v>
      </c>
      <c r="P16" s="76" t="s">
        <v>28</v>
      </c>
      <c r="Q16" s="76" t="s">
        <v>28</v>
      </c>
      <c r="R16" s="76" t="s">
        <v>28</v>
      </c>
      <c r="S16" s="76" t="s">
        <v>28</v>
      </c>
      <c r="T16" s="76" t="s">
        <v>28</v>
      </c>
      <c r="U16" s="76" t="s">
        <v>70</v>
      </c>
      <c r="V16" s="76" t="s">
        <v>252</v>
      </c>
      <c r="W16" s="78">
        <v>0</v>
      </c>
      <c r="X16" s="78">
        <v>2736.02</v>
      </c>
      <c r="Y16" s="78">
        <v>0</v>
      </c>
      <c r="Z16" s="78">
        <v>0</v>
      </c>
      <c r="AA16" s="78">
        <v>0</v>
      </c>
      <c r="AB16" s="78">
        <v>2736.02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78">
        <v>0</v>
      </c>
      <c r="AJ16" s="78">
        <v>0</v>
      </c>
      <c r="AK16" s="78">
        <v>0</v>
      </c>
      <c r="AL16" s="76" t="s">
        <v>28</v>
      </c>
    </row>
    <row r="17" spans="1:38" x14ac:dyDescent="0.25">
      <c r="A17" s="76" t="s">
        <v>231</v>
      </c>
      <c r="B17" s="76" t="s">
        <v>232</v>
      </c>
      <c r="C17" s="76" t="s">
        <v>233</v>
      </c>
      <c r="D17" s="76" t="s">
        <v>230</v>
      </c>
      <c r="E17" s="76" t="s">
        <v>301</v>
      </c>
      <c r="F17" s="76" t="s">
        <v>303</v>
      </c>
      <c r="G17" s="76" t="s">
        <v>302</v>
      </c>
      <c r="H17" s="77" t="b">
        <f>FALSE()</f>
        <v>0</v>
      </c>
      <c r="I17" s="76" t="s">
        <v>28</v>
      </c>
      <c r="J17" s="76" t="s">
        <v>28</v>
      </c>
      <c r="K17" s="76" t="s">
        <v>28</v>
      </c>
      <c r="L17" s="76" t="s">
        <v>28</v>
      </c>
      <c r="M17" s="76" t="s">
        <v>28</v>
      </c>
      <c r="N17" s="76" t="s">
        <v>28</v>
      </c>
      <c r="O17" s="76" t="s">
        <v>28</v>
      </c>
      <c r="P17" s="76" t="s">
        <v>28</v>
      </c>
      <c r="Q17" s="76" t="s">
        <v>28</v>
      </c>
      <c r="R17" s="76" t="s">
        <v>28</v>
      </c>
      <c r="S17" s="76" t="s">
        <v>28</v>
      </c>
      <c r="T17" s="76" t="s">
        <v>28</v>
      </c>
      <c r="U17" s="76" t="s">
        <v>72</v>
      </c>
      <c r="V17" s="76" t="s">
        <v>253</v>
      </c>
      <c r="W17" s="78">
        <v>100</v>
      </c>
      <c r="X17" s="78">
        <v>719.25</v>
      </c>
      <c r="Y17" s="78">
        <v>0</v>
      </c>
      <c r="Z17" s="78">
        <v>0</v>
      </c>
      <c r="AA17" s="78">
        <v>525.44000000000005</v>
      </c>
      <c r="AB17" s="78">
        <v>1344.69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  <c r="AI17" s="78">
        <v>0</v>
      </c>
      <c r="AJ17" s="78">
        <v>0</v>
      </c>
      <c r="AK17" s="78">
        <v>0</v>
      </c>
      <c r="AL17" s="76" t="s">
        <v>28</v>
      </c>
    </row>
    <row r="18" spans="1:38" x14ac:dyDescent="0.25">
      <c r="A18" s="76" t="s">
        <v>231</v>
      </c>
      <c r="B18" s="76" t="s">
        <v>232</v>
      </c>
      <c r="C18" s="76" t="s">
        <v>233</v>
      </c>
      <c r="D18" s="76" t="s">
        <v>230</v>
      </c>
      <c r="E18" s="76" t="s">
        <v>301</v>
      </c>
      <c r="F18" s="76" t="s">
        <v>303</v>
      </c>
      <c r="G18" s="76" t="s">
        <v>302</v>
      </c>
      <c r="H18" s="77" t="b">
        <f>FALSE()</f>
        <v>0</v>
      </c>
      <c r="I18" s="76" t="s">
        <v>28</v>
      </c>
      <c r="J18" s="76" t="s">
        <v>28</v>
      </c>
      <c r="K18" s="76" t="s">
        <v>28</v>
      </c>
      <c r="L18" s="76" t="s">
        <v>28</v>
      </c>
      <c r="M18" s="76" t="s">
        <v>28</v>
      </c>
      <c r="N18" s="76" t="s">
        <v>28</v>
      </c>
      <c r="O18" s="76" t="s">
        <v>28</v>
      </c>
      <c r="P18" s="76" t="s">
        <v>28</v>
      </c>
      <c r="Q18" s="76" t="s">
        <v>28</v>
      </c>
      <c r="R18" s="76" t="s">
        <v>28</v>
      </c>
      <c r="S18" s="76" t="s">
        <v>28</v>
      </c>
      <c r="T18" s="76" t="s">
        <v>28</v>
      </c>
      <c r="U18" s="76" t="s">
        <v>28</v>
      </c>
      <c r="V18" s="76" t="s">
        <v>28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8">
        <v>0</v>
      </c>
      <c r="AK18" s="78">
        <v>0</v>
      </c>
      <c r="AL18" s="76" t="s">
        <v>28</v>
      </c>
    </row>
    <row r="19" spans="1:38" x14ac:dyDescent="0.25">
      <c r="A19" s="76" t="s">
        <v>231</v>
      </c>
      <c r="B19" s="76" t="s">
        <v>232</v>
      </c>
      <c r="C19" s="76" t="s">
        <v>233</v>
      </c>
      <c r="D19" s="76" t="s">
        <v>230</v>
      </c>
      <c r="E19" s="76" t="s">
        <v>301</v>
      </c>
      <c r="F19" s="76" t="s">
        <v>303</v>
      </c>
      <c r="G19" s="76" t="s">
        <v>302</v>
      </c>
      <c r="H19" s="77" t="b">
        <f>FALSE()</f>
        <v>0</v>
      </c>
      <c r="I19" s="76" t="s">
        <v>28</v>
      </c>
      <c r="J19" s="76" t="s">
        <v>28</v>
      </c>
      <c r="K19" s="76" t="s">
        <v>28</v>
      </c>
      <c r="L19" s="76" t="s">
        <v>28</v>
      </c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76" t="s">
        <v>28</v>
      </c>
      <c r="S19" s="76" t="s">
        <v>28</v>
      </c>
      <c r="T19" s="76" t="s">
        <v>28</v>
      </c>
      <c r="U19" s="76" t="s">
        <v>51</v>
      </c>
      <c r="V19" s="76" t="s">
        <v>254</v>
      </c>
      <c r="W19" s="78">
        <v>54242.09</v>
      </c>
      <c r="X19" s="78">
        <v>53228.85</v>
      </c>
      <c r="Y19" s="78">
        <v>11694.79</v>
      </c>
      <c r="Z19" s="78">
        <v>1101.92</v>
      </c>
      <c r="AA19" s="78">
        <v>8796.2199999999993</v>
      </c>
      <c r="AB19" s="78">
        <v>129063.87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  <c r="AJ19" s="78">
        <v>0</v>
      </c>
      <c r="AK19" s="78">
        <v>0</v>
      </c>
      <c r="AL19" s="76" t="s">
        <v>28</v>
      </c>
    </row>
    <row r="21" spans="1:38" x14ac:dyDescent="0.25"/>
    <row r="22" spans="1:38" x14ac:dyDescent="0.25"/>
    <row r="23" spans="1:38" x14ac:dyDescent="0.25"/>
    <row r="24" spans="1:38" x14ac:dyDescent="0.25"/>
    <row r="25" spans="1:38" x14ac:dyDescent="0.25"/>
    <row r="26" spans="1:38" x14ac:dyDescent="0.25"/>
    <row r="27" spans="1:38" x14ac:dyDescent="0.25"/>
    <row r="28" spans="1:38" x14ac:dyDescent="0.25"/>
    <row r="29" spans="1:38" x14ac:dyDescent="0.25"/>
    <row r="30" spans="1:38" x14ac:dyDescent="0.25"/>
    <row r="31" spans="1:38" x14ac:dyDescent="0.25"/>
    <row r="32" spans="1:3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honeticPr fontId="19" type="noConversion"/>
  <pageMargins left="0.7" right="0.7" top="0.75" bottom="0.75" header="0" footer="0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AL1000"/>
  <sheetViews>
    <sheetView topLeftCell="Q1" workbookViewId="0">
      <selection activeCell="A4" sqref="A4"/>
    </sheetView>
  </sheetViews>
  <sheetFormatPr defaultRowHeight="15" customHeight="1" x14ac:dyDescent="0.25"/>
  <cols>
    <col min="1" max="1" width="8" bestFit="1" customWidth="1"/>
    <col min="2" max="2" width="13.42578125" bestFit="1" customWidth="1"/>
    <col min="3" max="3" width="15.7109375" bestFit="1" customWidth="1"/>
    <col min="4" max="4" width="18.7109375" bestFit="1" customWidth="1"/>
    <col min="5" max="5" width="25" bestFit="1" customWidth="1"/>
    <col min="6" max="6" width="9.7109375" bestFit="1" customWidth="1"/>
    <col min="7" max="7" width="12" bestFit="1" customWidth="1"/>
    <col min="8" max="8" width="15.28515625" bestFit="1" customWidth="1"/>
    <col min="9" max="9" width="20.5703125" bestFit="1" customWidth="1"/>
    <col min="10" max="10" width="20.140625" bestFit="1" customWidth="1"/>
    <col min="11" max="11" width="22.85546875" bestFit="1" customWidth="1"/>
    <col min="12" max="12" width="14.7109375" bestFit="1" customWidth="1"/>
    <col min="13" max="13" width="18.42578125" bestFit="1" customWidth="1"/>
    <col min="14" max="14" width="19.7109375" bestFit="1" customWidth="1"/>
    <col min="15" max="16" width="18" bestFit="1" customWidth="1"/>
    <col min="17" max="17" width="17.85546875" bestFit="1" customWidth="1"/>
    <col min="18" max="18" width="16.5703125" bestFit="1" customWidth="1"/>
    <col min="19" max="19" width="17.5703125" bestFit="1" customWidth="1"/>
    <col min="20" max="20" width="18.42578125" bestFit="1" customWidth="1"/>
    <col min="21" max="21" width="10.140625" bestFit="1" customWidth="1"/>
    <col min="22" max="22" width="12.7109375" bestFit="1" customWidth="1"/>
    <col min="23" max="23" width="9.42578125" bestFit="1" customWidth="1"/>
    <col min="24" max="24" width="10.5703125" bestFit="1" customWidth="1"/>
    <col min="25" max="25" width="8.42578125" bestFit="1" customWidth="1"/>
    <col min="26" max="26" width="6.85546875" bestFit="1" customWidth="1"/>
    <col min="27" max="27" width="6.5703125" bestFit="1" customWidth="1"/>
    <col min="28" max="28" width="6.7109375" bestFit="1" customWidth="1"/>
    <col min="29" max="30" width="10.140625" bestFit="1" customWidth="1"/>
    <col min="31" max="31" width="12.42578125" bestFit="1" customWidth="1"/>
    <col min="32" max="32" width="9.85546875" bestFit="1" customWidth="1"/>
    <col min="33" max="33" width="12" bestFit="1" customWidth="1"/>
    <col min="34" max="34" width="11.85546875" bestFit="1" customWidth="1"/>
    <col min="35" max="35" width="7.140625" bestFit="1" customWidth="1"/>
    <col min="36" max="36" width="3.28515625" bestFit="1" customWidth="1"/>
    <col min="37" max="37" width="4.28515625" bestFit="1" customWidth="1"/>
    <col min="38" max="38" width="18" bestFit="1" customWidth="1"/>
  </cols>
  <sheetData>
    <row r="1" spans="1:38" x14ac:dyDescent="0.25">
      <c r="A1" s="75" t="s">
        <v>165</v>
      </c>
      <c r="B1" s="75" t="s">
        <v>295</v>
      </c>
      <c r="C1" s="75" t="s">
        <v>167</v>
      </c>
      <c r="D1" s="75" t="s">
        <v>168</v>
      </c>
      <c r="E1" s="75" t="s">
        <v>296</v>
      </c>
      <c r="F1" s="75" t="s">
        <v>169</v>
      </c>
      <c r="G1" s="75" t="s">
        <v>170</v>
      </c>
      <c r="H1" s="75" t="s">
        <v>171</v>
      </c>
      <c r="I1" s="75" t="s">
        <v>297</v>
      </c>
      <c r="J1" s="75" t="s">
        <v>298</v>
      </c>
      <c r="K1" s="75" t="s">
        <v>299</v>
      </c>
      <c r="L1" s="75" t="s">
        <v>172</v>
      </c>
      <c r="M1" s="75" t="s">
        <v>173</v>
      </c>
      <c r="N1" s="75" t="s">
        <v>174</v>
      </c>
      <c r="O1" s="75" t="s">
        <v>175</v>
      </c>
      <c r="P1" s="75" t="s">
        <v>176</v>
      </c>
      <c r="Q1" s="75" t="s">
        <v>177</v>
      </c>
      <c r="R1" s="75" t="s">
        <v>178</v>
      </c>
      <c r="S1" s="75" t="s">
        <v>179</v>
      </c>
      <c r="T1" s="75" t="s">
        <v>180</v>
      </c>
      <c r="U1" s="75" t="s">
        <v>181</v>
      </c>
      <c r="V1" s="75" t="s">
        <v>166</v>
      </c>
      <c r="W1" s="75" t="s">
        <v>212</v>
      </c>
      <c r="X1" s="75" t="s">
        <v>213</v>
      </c>
      <c r="Y1" s="75" t="s">
        <v>214</v>
      </c>
      <c r="Z1" s="75" t="s">
        <v>215</v>
      </c>
      <c r="AA1" s="75" t="s">
        <v>24</v>
      </c>
      <c r="AB1" s="75" t="s">
        <v>216</v>
      </c>
      <c r="AC1" s="75" t="s">
        <v>217</v>
      </c>
      <c r="AD1" s="75" t="s">
        <v>218</v>
      </c>
      <c r="AE1" s="75" t="s">
        <v>219</v>
      </c>
      <c r="AF1" s="75" t="s">
        <v>220</v>
      </c>
      <c r="AG1" s="75" t="s">
        <v>221</v>
      </c>
      <c r="AH1" s="75" t="s">
        <v>222</v>
      </c>
      <c r="AI1" s="75" t="s">
        <v>123</v>
      </c>
      <c r="AJ1" s="75" t="s">
        <v>187</v>
      </c>
      <c r="AK1" s="75" t="s">
        <v>188</v>
      </c>
      <c r="AL1" s="75" t="s">
        <v>300</v>
      </c>
    </row>
    <row r="2" spans="1:38" x14ac:dyDescent="0.25">
      <c r="A2" s="76" t="s">
        <v>231</v>
      </c>
      <c r="B2" s="76" t="s">
        <v>232</v>
      </c>
      <c r="C2" s="76" t="s">
        <v>233</v>
      </c>
      <c r="D2" s="76" t="s">
        <v>228</v>
      </c>
      <c r="E2" s="76" t="s">
        <v>301</v>
      </c>
      <c r="F2" s="76" t="s">
        <v>303</v>
      </c>
      <c r="G2" s="76" t="s">
        <v>302</v>
      </c>
      <c r="H2" s="77" t="b">
        <f>FALSE()</f>
        <v>0</v>
      </c>
      <c r="I2" s="76" t="s">
        <v>28</v>
      </c>
      <c r="J2" s="76" t="s">
        <v>28</v>
      </c>
      <c r="K2" s="76" t="s">
        <v>28</v>
      </c>
      <c r="L2" s="76" t="s">
        <v>28</v>
      </c>
      <c r="M2" s="76" t="s">
        <v>28</v>
      </c>
      <c r="N2" s="76" t="s">
        <v>28</v>
      </c>
      <c r="O2" s="76" t="s">
        <v>28</v>
      </c>
      <c r="P2" s="76" t="s">
        <v>28</v>
      </c>
      <c r="Q2" s="76" t="s">
        <v>28</v>
      </c>
      <c r="R2" s="76" t="s">
        <v>28</v>
      </c>
      <c r="S2" s="76" t="s">
        <v>28</v>
      </c>
      <c r="T2" s="76" t="s">
        <v>28</v>
      </c>
      <c r="U2" s="76" t="s">
        <v>28</v>
      </c>
      <c r="V2" s="76" t="s">
        <v>234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  <c r="AI2" s="78">
        <v>0</v>
      </c>
      <c r="AJ2" s="78">
        <v>0</v>
      </c>
      <c r="AK2" s="78">
        <v>0</v>
      </c>
      <c r="AL2" s="76" t="s">
        <v>28</v>
      </c>
    </row>
    <row r="3" spans="1:38" x14ac:dyDescent="0.25">
      <c r="A3" s="76" t="s">
        <v>231</v>
      </c>
      <c r="B3" s="76" t="s">
        <v>232</v>
      </c>
      <c r="C3" s="76" t="s">
        <v>233</v>
      </c>
      <c r="D3" s="76" t="s">
        <v>228</v>
      </c>
      <c r="E3" s="76" t="s">
        <v>301</v>
      </c>
      <c r="F3" s="76" t="s">
        <v>303</v>
      </c>
      <c r="G3" s="76" t="s">
        <v>302</v>
      </c>
      <c r="H3" s="77" t="b">
        <f>FALSE()</f>
        <v>0</v>
      </c>
      <c r="I3" s="76" t="s">
        <v>28</v>
      </c>
      <c r="J3" s="76" t="s">
        <v>28</v>
      </c>
      <c r="K3" s="76" t="s">
        <v>28</v>
      </c>
      <c r="L3" s="76" t="s">
        <v>28</v>
      </c>
      <c r="M3" s="76" t="s">
        <v>28</v>
      </c>
      <c r="N3" s="76" t="s">
        <v>28</v>
      </c>
      <c r="O3" s="76" t="s">
        <v>28</v>
      </c>
      <c r="P3" s="76" t="s">
        <v>28</v>
      </c>
      <c r="Q3" s="76" t="s">
        <v>28</v>
      </c>
      <c r="R3" s="76" t="s">
        <v>28</v>
      </c>
      <c r="S3" s="76" t="s">
        <v>28</v>
      </c>
      <c r="T3" s="76" t="s">
        <v>28</v>
      </c>
      <c r="U3" s="76" t="s">
        <v>43</v>
      </c>
      <c r="V3" s="76" t="s">
        <v>235</v>
      </c>
      <c r="W3" s="78">
        <v>23081.07</v>
      </c>
      <c r="X3" s="78">
        <v>25959.19</v>
      </c>
      <c r="Y3" s="78">
        <v>25780.560000000001</v>
      </c>
      <c r="Z3" s="78">
        <v>26373.439999999999</v>
      </c>
      <c r="AA3" s="78">
        <v>30280.34</v>
      </c>
      <c r="AB3" s="78">
        <v>31906.57</v>
      </c>
      <c r="AC3" s="78">
        <v>24218.22</v>
      </c>
      <c r="AD3" s="78">
        <v>33761.760000000002</v>
      </c>
      <c r="AE3" s="78">
        <v>35773.64</v>
      </c>
      <c r="AF3" s="78">
        <v>0</v>
      </c>
      <c r="AG3" s="78">
        <v>0</v>
      </c>
      <c r="AH3" s="78">
        <v>0</v>
      </c>
      <c r="AI3" s="78">
        <v>186907.97</v>
      </c>
      <c r="AJ3" s="78">
        <v>0</v>
      </c>
      <c r="AK3" s="78">
        <v>0</v>
      </c>
      <c r="AL3" s="76" t="s">
        <v>28</v>
      </c>
    </row>
    <row r="4" spans="1:38" x14ac:dyDescent="0.25">
      <c r="A4" s="76" t="s">
        <v>231</v>
      </c>
      <c r="B4" s="76" t="s">
        <v>232</v>
      </c>
      <c r="C4" s="76" t="s">
        <v>233</v>
      </c>
      <c r="D4" s="76" t="s">
        <v>228</v>
      </c>
      <c r="E4" s="76" t="s">
        <v>301</v>
      </c>
      <c r="F4" s="76" t="s">
        <v>303</v>
      </c>
      <c r="G4" s="76" t="s">
        <v>302</v>
      </c>
      <c r="H4" s="77" t="b">
        <f>FALSE()</f>
        <v>0</v>
      </c>
      <c r="I4" s="76" t="s">
        <v>28</v>
      </c>
      <c r="J4" s="76" t="s">
        <v>28</v>
      </c>
      <c r="K4" s="76" t="s">
        <v>28</v>
      </c>
      <c r="L4" s="76" t="s">
        <v>28</v>
      </c>
      <c r="M4" s="76" t="s">
        <v>28</v>
      </c>
      <c r="N4" s="76" t="s">
        <v>28</v>
      </c>
      <c r="O4" s="76" t="s">
        <v>28</v>
      </c>
      <c r="P4" s="76" t="s">
        <v>28</v>
      </c>
      <c r="Q4" s="76" t="s">
        <v>28</v>
      </c>
      <c r="R4" s="76" t="s">
        <v>28</v>
      </c>
      <c r="S4" s="76" t="s">
        <v>28</v>
      </c>
      <c r="T4" s="76" t="s">
        <v>28</v>
      </c>
      <c r="U4" s="76" t="s">
        <v>44</v>
      </c>
      <c r="V4" s="76" t="s">
        <v>236</v>
      </c>
      <c r="W4" s="78">
        <v>28217.15</v>
      </c>
      <c r="X4" s="78">
        <v>29883.99</v>
      </c>
      <c r="Y4" s="78">
        <v>29584.99</v>
      </c>
      <c r="Z4" s="78">
        <v>35157.69</v>
      </c>
      <c r="AA4" s="78">
        <v>29945.29</v>
      </c>
      <c r="AB4" s="78">
        <v>34621.65</v>
      </c>
      <c r="AC4" s="78">
        <v>32262.39</v>
      </c>
      <c r="AD4" s="78">
        <v>32397.4</v>
      </c>
      <c r="AE4" s="78">
        <v>34875.29</v>
      </c>
      <c r="AF4" s="78">
        <v>0</v>
      </c>
      <c r="AG4" s="78">
        <v>0</v>
      </c>
      <c r="AH4" s="78">
        <v>0</v>
      </c>
      <c r="AI4" s="78">
        <v>219735.32</v>
      </c>
      <c r="AJ4" s="78">
        <v>0</v>
      </c>
      <c r="AK4" s="78">
        <v>0</v>
      </c>
      <c r="AL4" s="76" t="s">
        <v>28</v>
      </c>
    </row>
    <row r="5" spans="1:38" x14ac:dyDescent="0.25">
      <c r="A5" s="76" t="s">
        <v>231</v>
      </c>
      <c r="B5" s="76" t="s">
        <v>232</v>
      </c>
      <c r="C5" s="76" t="s">
        <v>233</v>
      </c>
      <c r="D5" s="76" t="s">
        <v>228</v>
      </c>
      <c r="E5" s="76" t="s">
        <v>301</v>
      </c>
      <c r="F5" s="76" t="s">
        <v>303</v>
      </c>
      <c r="G5" s="76" t="s">
        <v>302</v>
      </c>
      <c r="H5" s="77" t="b">
        <f>FALSE()</f>
        <v>0</v>
      </c>
      <c r="I5" s="76" t="s">
        <v>28</v>
      </c>
      <c r="J5" s="76" t="s">
        <v>28</v>
      </c>
      <c r="K5" s="76" t="s">
        <v>28</v>
      </c>
      <c r="L5" s="76" t="s">
        <v>28</v>
      </c>
      <c r="M5" s="76" t="s">
        <v>28</v>
      </c>
      <c r="N5" s="76" t="s">
        <v>28</v>
      </c>
      <c r="O5" s="76" t="s">
        <v>28</v>
      </c>
      <c r="P5" s="76" t="s">
        <v>28</v>
      </c>
      <c r="Q5" s="76" t="s">
        <v>28</v>
      </c>
      <c r="R5" s="76" t="s">
        <v>28</v>
      </c>
      <c r="S5" s="76" t="s">
        <v>28</v>
      </c>
      <c r="T5" s="76" t="s">
        <v>28</v>
      </c>
      <c r="U5" s="76" t="s">
        <v>45</v>
      </c>
      <c r="V5" s="76" t="s">
        <v>237</v>
      </c>
      <c r="W5" s="78">
        <v>7303.02</v>
      </c>
      <c r="X5" s="78">
        <v>8712.94</v>
      </c>
      <c r="Y5" s="78">
        <v>10141.19</v>
      </c>
      <c r="Z5" s="78">
        <v>10237.780000000001</v>
      </c>
      <c r="AA5" s="78">
        <v>11557.12</v>
      </c>
      <c r="AB5" s="78">
        <v>12790.85</v>
      </c>
      <c r="AC5" s="78">
        <v>13077.82</v>
      </c>
      <c r="AD5" s="78">
        <v>13610.19</v>
      </c>
      <c r="AE5" s="78">
        <v>16055.69</v>
      </c>
      <c r="AF5" s="78">
        <v>0</v>
      </c>
      <c r="AG5" s="78">
        <v>0</v>
      </c>
      <c r="AH5" s="78">
        <v>0</v>
      </c>
      <c r="AI5" s="78">
        <v>73747.75</v>
      </c>
      <c r="AJ5" s="78">
        <v>0</v>
      </c>
      <c r="AK5" s="78">
        <v>0</v>
      </c>
      <c r="AL5" s="76" t="s">
        <v>28</v>
      </c>
    </row>
    <row r="6" spans="1:38" x14ac:dyDescent="0.25">
      <c r="A6" s="76" t="s">
        <v>231</v>
      </c>
      <c r="B6" s="76" t="s">
        <v>232</v>
      </c>
      <c r="C6" s="76" t="s">
        <v>233</v>
      </c>
      <c r="D6" s="76" t="s">
        <v>228</v>
      </c>
      <c r="E6" s="76" t="s">
        <v>301</v>
      </c>
      <c r="F6" s="76" t="s">
        <v>303</v>
      </c>
      <c r="G6" s="76" t="s">
        <v>302</v>
      </c>
      <c r="H6" s="77" t="b">
        <f>FALSE()</f>
        <v>0</v>
      </c>
      <c r="I6" s="76" t="s">
        <v>28</v>
      </c>
      <c r="J6" s="76" t="s">
        <v>28</v>
      </c>
      <c r="K6" s="76" t="s">
        <v>28</v>
      </c>
      <c r="L6" s="76" t="s">
        <v>28</v>
      </c>
      <c r="M6" s="76" t="s">
        <v>28</v>
      </c>
      <c r="N6" s="76" t="s">
        <v>28</v>
      </c>
      <c r="O6" s="76" t="s">
        <v>28</v>
      </c>
      <c r="P6" s="76" t="s">
        <v>28</v>
      </c>
      <c r="Q6" s="76" t="s">
        <v>28</v>
      </c>
      <c r="R6" s="76" t="s">
        <v>28</v>
      </c>
      <c r="S6" s="76" t="s">
        <v>28</v>
      </c>
      <c r="T6" s="76" t="s">
        <v>28</v>
      </c>
      <c r="U6" s="76" t="s">
        <v>56</v>
      </c>
      <c r="V6" s="76" t="s">
        <v>238</v>
      </c>
      <c r="W6" s="78">
        <v>11039.74</v>
      </c>
      <c r="X6" s="78">
        <v>12261.63</v>
      </c>
      <c r="Y6" s="78">
        <v>11821.84</v>
      </c>
      <c r="Z6" s="78">
        <v>12830.96</v>
      </c>
      <c r="AA6" s="78">
        <v>14956.29</v>
      </c>
      <c r="AB6" s="78">
        <v>15446.32</v>
      </c>
      <c r="AC6" s="78">
        <v>14744.41</v>
      </c>
      <c r="AD6" s="78">
        <v>15311.32</v>
      </c>
      <c r="AE6" s="78">
        <v>15561.76</v>
      </c>
      <c r="AF6" s="78">
        <v>0</v>
      </c>
      <c r="AG6" s="78">
        <v>0</v>
      </c>
      <c r="AH6" s="78">
        <v>0</v>
      </c>
      <c r="AI6" s="78">
        <v>93072.92</v>
      </c>
      <c r="AJ6" s="78">
        <v>0</v>
      </c>
      <c r="AK6" s="78">
        <v>0</v>
      </c>
      <c r="AL6" s="76" t="s">
        <v>28</v>
      </c>
    </row>
    <row r="7" spans="1:38" x14ac:dyDescent="0.25">
      <c r="A7" s="76" t="s">
        <v>231</v>
      </c>
      <c r="B7" s="76" t="s">
        <v>232</v>
      </c>
      <c r="C7" s="76" t="s">
        <v>233</v>
      </c>
      <c r="D7" s="76" t="s">
        <v>228</v>
      </c>
      <c r="E7" s="76" t="s">
        <v>301</v>
      </c>
      <c r="F7" s="76" t="s">
        <v>303</v>
      </c>
      <c r="G7" s="76" t="s">
        <v>302</v>
      </c>
      <c r="H7" s="77" t="b">
        <f>FALSE()</f>
        <v>0</v>
      </c>
      <c r="I7" s="76" t="s">
        <v>28</v>
      </c>
      <c r="J7" s="76" t="s">
        <v>28</v>
      </c>
      <c r="K7" s="76" t="s">
        <v>28</v>
      </c>
      <c r="L7" s="76" t="s">
        <v>28</v>
      </c>
      <c r="M7" s="76" t="s">
        <v>28</v>
      </c>
      <c r="N7" s="76" t="s">
        <v>28</v>
      </c>
      <c r="O7" s="76" t="s">
        <v>28</v>
      </c>
      <c r="P7" s="76" t="s">
        <v>28</v>
      </c>
      <c r="Q7" s="76" t="s">
        <v>28</v>
      </c>
      <c r="R7" s="76" t="s">
        <v>28</v>
      </c>
      <c r="S7" s="76" t="s">
        <v>28</v>
      </c>
      <c r="T7" s="76" t="s">
        <v>28</v>
      </c>
      <c r="U7" s="76" t="s">
        <v>58</v>
      </c>
      <c r="V7" s="76" t="s">
        <v>239</v>
      </c>
      <c r="W7" s="78">
        <v>232.59</v>
      </c>
      <c r="X7" s="78">
        <v>175.64</v>
      </c>
      <c r="Y7" s="78">
        <v>182.03</v>
      </c>
      <c r="Z7" s="78">
        <v>184.27</v>
      </c>
      <c r="AA7" s="78">
        <v>283.41000000000003</v>
      </c>
      <c r="AB7" s="78">
        <v>186.35</v>
      </c>
      <c r="AC7" s="78">
        <v>212.93</v>
      </c>
      <c r="AD7" s="78">
        <v>275.39999999999998</v>
      </c>
      <c r="AE7" s="78">
        <v>194.98</v>
      </c>
      <c r="AF7" s="78">
        <v>0</v>
      </c>
      <c r="AG7" s="78">
        <v>0</v>
      </c>
      <c r="AH7" s="78">
        <v>0</v>
      </c>
      <c r="AI7" s="78">
        <v>1454.45</v>
      </c>
      <c r="AJ7" s="78">
        <v>0</v>
      </c>
      <c r="AK7" s="78">
        <v>0</v>
      </c>
      <c r="AL7" s="76" t="s">
        <v>28</v>
      </c>
    </row>
    <row r="8" spans="1:38" x14ac:dyDescent="0.25">
      <c r="A8" s="76" t="s">
        <v>231</v>
      </c>
      <c r="B8" s="76" t="s">
        <v>232</v>
      </c>
      <c r="C8" s="76" t="s">
        <v>233</v>
      </c>
      <c r="D8" s="76" t="s">
        <v>228</v>
      </c>
      <c r="E8" s="76" t="s">
        <v>301</v>
      </c>
      <c r="F8" s="76" t="s">
        <v>303</v>
      </c>
      <c r="G8" s="76" t="s">
        <v>302</v>
      </c>
      <c r="H8" s="77" t="b">
        <f>FALSE()</f>
        <v>0</v>
      </c>
      <c r="I8" s="76" t="s">
        <v>28</v>
      </c>
      <c r="J8" s="76" t="s">
        <v>28</v>
      </c>
      <c r="K8" s="76" t="s">
        <v>28</v>
      </c>
      <c r="L8" s="76" t="s">
        <v>28</v>
      </c>
      <c r="M8" s="76" t="s">
        <v>28</v>
      </c>
      <c r="N8" s="76" t="s">
        <v>28</v>
      </c>
      <c r="O8" s="76" t="s">
        <v>28</v>
      </c>
      <c r="P8" s="76" t="s">
        <v>28</v>
      </c>
      <c r="Q8" s="76" t="s">
        <v>28</v>
      </c>
      <c r="R8" s="76" t="s">
        <v>28</v>
      </c>
      <c r="S8" s="76" t="s">
        <v>28</v>
      </c>
      <c r="T8" s="76" t="s">
        <v>28</v>
      </c>
      <c r="U8" s="76" t="s">
        <v>60</v>
      </c>
      <c r="V8" s="76" t="s">
        <v>240</v>
      </c>
      <c r="W8" s="78">
        <v>7138.49</v>
      </c>
      <c r="X8" s="78">
        <v>6587.16</v>
      </c>
      <c r="Y8" s="78">
        <v>9142.57</v>
      </c>
      <c r="Z8" s="78">
        <v>4262.4399999999996</v>
      </c>
      <c r="AA8" s="78">
        <v>10260.18</v>
      </c>
      <c r="AB8" s="78">
        <v>6198.06</v>
      </c>
      <c r="AC8" s="78">
        <v>10255.68</v>
      </c>
      <c r="AD8" s="78">
        <v>6945.5</v>
      </c>
      <c r="AE8" s="78">
        <v>8052.96</v>
      </c>
      <c r="AF8" s="78">
        <v>0</v>
      </c>
      <c r="AG8" s="78">
        <v>0</v>
      </c>
      <c r="AH8" s="78">
        <v>0</v>
      </c>
      <c r="AI8" s="78">
        <v>54758.78</v>
      </c>
      <c r="AJ8" s="78">
        <v>0</v>
      </c>
      <c r="AK8" s="78">
        <v>0</v>
      </c>
      <c r="AL8" s="76" t="s">
        <v>28</v>
      </c>
    </row>
    <row r="9" spans="1:38" x14ac:dyDescent="0.25">
      <c r="A9" s="76" t="s">
        <v>231</v>
      </c>
      <c r="B9" s="76" t="s">
        <v>232</v>
      </c>
      <c r="C9" s="76" t="s">
        <v>233</v>
      </c>
      <c r="D9" s="76" t="s">
        <v>228</v>
      </c>
      <c r="E9" s="76" t="s">
        <v>301</v>
      </c>
      <c r="F9" s="76" t="s">
        <v>303</v>
      </c>
      <c r="G9" s="76" t="s">
        <v>302</v>
      </c>
      <c r="H9" s="77" t="b">
        <f>FALSE()</f>
        <v>0</v>
      </c>
      <c r="I9" s="76" t="s">
        <v>28</v>
      </c>
      <c r="J9" s="76" t="s">
        <v>28</v>
      </c>
      <c r="K9" s="76" t="s">
        <v>28</v>
      </c>
      <c r="L9" s="76" t="s">
        <v>28</v>
      </c>
      <c r="M9" s="76" t="s">
        <v>28</v>
      </c>
      <c r="N9" s="76" t="s">
        <v>28</v>
      </c>
      <c r="O9" s="76" t="s">
        <v>28</v>
      </c>
      <c r="P9" s="76" t="s">
        <v>28</v>
      </c>
      <c r="Q9" s="76" t="s">
        <v>28</v>
      </c>
      <c r="R9" s="76" t="s">
        <v>28</v>
      </c>
      <c r="S9" s="76" t="s">
        <v>28</v>
      </c>
      <c r="T9" s="76" t="s">
        <v>28</v>
      </c>
      <c r="U9" s="76" t="s">
        <v>62</v>
      </c>
      <c r="V9" s="76" t="s">
        <v>241</v>
      </c>
      <c r="W9" s="78">
        <v>273.94</v>
      </c>
      <c r="X9" s="78">
        <v>279.7</v>
      </c>
      <c r="Y9" s="78">
        <v>290.95</v>
      </c>
      <c r="Z9" s="78">
        <v>506.86</v>
      </c>
      <c r="AA9" s="78">
        <v>337.33</v>
      </c>
      <c r="AB9" s="78">
        <v>151.81</v>
      </c>
      <c r="AC9" s="78">
        <v>292.92</v>
      </c>
      <c r="AD9" s="78">
        <v>477.69</v>
      </c>
      <c r="AE9" s="78">
        <v>375.42</v>
      </c>
      <c r="AF9" s="78">
        <v>0</v>
      </c>
      <c r="AG9" s="78">
        <v>0</v>
      </c>
      <c r="AH9" s="78">
        <v>0</v>
      </c>
      <c r="AI9" s="78">
        <v>2131.54</v>
      </c>
      <c r="AJ9" s="78">
        <v>0</v>
      </c>
      <c r="AK9" s="78">
        <v>0</v>
      </c>
      <c r="AL9" s="76" t="s">
        <v>28</v>
      </c>
    </row>
    <row r="10" spans="1:38" x14ac:dyDescent="0.25">
      <c r="A10" s="76" t="s">
        <v>231</v>
      </c>
      <c r="B10" s="76" t="s">
        <v>232</v>
      </c>
      <c r="C10" s="76" t="s">
        <v>233</v>
      </c>
      <c r="D10" s="76" t="s">
        <v>228</v>
      </c>
      <c r="E10" s="76" t="s">
        <v>301</v>
      </c>
      <c r="F10" s="76" t="s">
        <v>303</v>
      </c>
      <c r="G10" s="76" t="s">
        <v>302</v>
      </c>
      <c r="H10" s="77" t="b">
        <f>FALSE()</f>
        <v>0</v>
      </c>
      <c r="I10" s="76" t="s">
        <v>28</v>
      </c>
      <c r="J10" s="76" t="s">
        <v>28</v>
      </c>
      <c r="K10" s="76" t="s">
        <v>28</v>
      </c>
      <c r="L10" s="76" t="s">
        <v>28</v>
      </c>
      <c r="M10" s="76" t="s">
        <v>28</v>
      </c>
      <c r="N10" s="76" t="s">
        <v>28</v>
      </c>
      <c r="O10" s="76" t="s">
        <v>28</v>
      </c>
      <c r="P10" s="76" t="s">
        <v>28</v>
      </c>
      <c r="Q10" s="76" t="s">
        <v>28</v>
      </c>
      <c r="R10" s="76" t="s">
        <v>28</v>
      </c>
      <c r="S10" s="76" t="s">
        <v>28</v>
      </c>
      <c r="T10" s="76" t="s">
        <v>28</v>
      </c>
      <c r="U10" s="76" t="s">
        <v>64</v>
      </c>
      <c r="V10" s="76" t="s">
        <v>242</v>
      </c>
      <c r="W10" s="78">
        <v>3654.74</v>
      </c>
      <c r="X10" s="78">
        <v>2371.4499999999998</v>
      </c>
      <c r="Y10" s="78">
        <v>3434.75</v>
      </c>
      <c r="Z10" s="78">
        <v>12533.8</v>
      </c>
      <c r="AA10" s="78">
        <v>3982.42</v>
      </c>
      <c r="AB10" s="78">
        <v>4942.2700000000004</v>
      </c>
      <c r="AC10" s="78">
        <v>4913.1099999999997</v>
      </c>
      <c r="AD10" s="78">
        <v>2462.7399999999998</v>
      </c>
      <c r="AE10" s="78">
        <v>9490.23</v>
      </c>
      <c r="AF10" s="78">
        <v>0</v>
      </c>
      <c r="AG10" s="78">
        <v>0</v>
      </c>
      <c r="AH10" s="78">
        <v>0</v>
      </c>
      <c r="AI10" s="78">
        <v>35791.300000000003</v>
      </c>
      <c r="AJ10" s="78">
        <v>0</v>
      </c>
      <c r="AK10" s="78">
        <v>0</v>
      </c>
      <c r="AL10" s="76" t="s">
        <v>28</v>
      </c>
    </row>
    <row r="11" spans="1:38" x14ac:dyDescent="0.25">
      <c r="A11" s="76" t="s">
        <v>231</v>
      </c>
      <c r="B11" s="76" t="s">
        <v>232</v>
      </c>
      <c r="C11" s="76" t="s">
        <v>233</v>
      </c>
      <c r="D11" s="76" t="s">
        <v>228</v>
      </c>
      <c r="E11" s="76" t="s">
        <v>301</v>
      </c>
      <c r="F11" s="76" t="s">
        <v>303</v>
      </c>
      <c r="G11" s="76" t="s">
        <v>302</v>
      </c>
      <c r="H11" s="77" t="b">
        <f>FALSE()</f>
        <v>0</v>
      </c>
      <c r="I11" s="76" t="s">
        <v>28</v>
      </c>
      <c r="J11" s="76" t="s">
        <v>28</v>
      </c>
      <c r="K11" s="76" t="s">
        <v>28</v>
      </c>
      <c r="L11" s="76" t="s">
        <v>28</v>
      </c>
      <c r="M11" s="76" t="s">
        <v>28</v>
      </c>
      <c r="N11" s="76" t="s">
        <v>28</v>
      </c>
      <c r="O11" s="76" t="s">
        <v>28</v>
      </c>
      <c r="P11" s="76" t="s">
        <v>28</v>
      </c>
      <c r="Q11" s="76" t="s">
        <v>28</v>
      </c>
      <c r="R11" s="76" t="s">
        <v>28</v>
      </c>
      <c r="S11" s="76" t="s">
        <v>28</v>
      </c>
      <c r="T11" s="76" t="s">
        <v>28</v>
      </c>
      <c r="U11" s="76" t="s">
        <v>243</v>
      </c>
      <c r="V11" s="76" t="s">
        <v>244</v>
      </c>
      <c r="W11" s="78">
        <v>2396.58</v>
      </c>
      <c r="X11" s="78">
        <v>1175.31</v>
      </c>
      <c r="Y11" s="78">
        <v>3332.11</v>
      </c>
      <c r="Z11" s="78">
        <v>3376.45</v>
      </c>
      <c r="AA11" s="78">
        <v>6493.16</v>
      </c>
      <c r="AB11" s="78">
        <v>2413.92</v>
      </c>
      <c r="AC11" s="78">
        <v>3630.66</v>
      </c>
      <c r="AD11" s="78">
        <v>2732.12</v>
      </c>
      <c r="AE11" s="78">
        <v>2668.06</v>
      </c>
      <c r="AF11" s="78">
        <v>0</v>
      </c>
      <c r="AG11" s="78">
        <v>0</v>
      </c>
      <c r="AH11" s="78">
        <v>0</v>
      </c>
      <c r="AI11" s="78">
        <v>21939.85</v>
      </c>
      <c r="AJ11" s="78">
        <v>0</v>
      </c>
      <c r="AK11" s="78">
        <v>0</v>
      </c>
      <c r="AL11" s="76" t="s">
        <v>28</v>
      </c>
    </row>
    <row r="12" spans="1:38" x14ac:dyDescent="0.25">
      <c r="A12" s="76" t="s">
        <v>231</v>
      </c>
      <c r="B12" s="76" t="s">
        <v>232</v>
      </c>
      <c r="C12" s="76" t="s">
        <v>233</v>
      </c>
      <c r="D12" s="76" t="s">
        <v>228</v>
      </c>
      <c r="E12" s="76" t="s">
        <v>301</v>
      </c>
      <c r="F12" s="76" t="s">
        <v>303</v>
      </c>
      <c r="G12" s="76" t="s">
        <v>302</v>
      </c>
      <c r="H12" s="77" t="b">
        <f>FALSE()</f>
        <v>0</v>
      </c>
      <c r="I12" s="76" t="s">
        <v>28</v>
      </c>
      <c r="J12" s="76" t="s">
        <v>28</v>
      </c>
      <c r="K12" s="76" t="s">
        <v>28</v>
      </c>
      <c r="L12" s="76" t="s">
        <v>28</v>
      </c>
      <c r="M12" s="76" t="s">
        <v>28</v>
      </c>
      <c r="N12" s="76" t="s">
        <v>28</v>
      </c>
      <c r="O12" s="76" t="s">
        <v>28</v>
      </c>
      <c r="P12" s="76" t="s">
        <v>28</v>
      </c>
      <c r="Q12" s="76" t="s">
        <v>28</v>
      </c>
      <c r="R12" s="76" t="s">
        <v>28</v>
      </c>
      <c r="S12" s="76" t="s">
        <v>28</v>
      </c>
      <c r="T12" s="76" t="s">
        <v>28</v>
      </c>
      <c r="U12" s="76" t="s">
        <v>245</v>
      </c>
      <c r="V12" s="76" t="s">
        <v>246</v>
      </c>
      <c r="W12" s="78">
        <v>397.26</v>
      </c>
      <c r="X12" s="78">
        <v>135.06</v>
      </c>
      <c r="Y12" s="78">
        <v>902.64</v>
      </c>
      <c r="Z12" s="78">
        <v>0</v>
      </c>
      <c r="AA12" s="78">
        <v>2378.75</v>
      </c>
      <c r="AB12" s="78">
        <v>536.77</v>
      </c>
      <c r="AC12" s="78">
        <v>1770.32</v>
      </c>
      <c r="AD12" s="78">
        <v>4595.04</v>
      </c>
      <c r="AE12" s="78">
        <v>840</v>
      </c>
      <c r="AF12" s="78">
        <v>0</v>
      </c>
      <c r="AG12" s="78">
        <v>0</v>
      </c>
      <c r="AH12" s="78">
        <v>0</v>
      </c>
      <c r="AI12" s="78">
        <v>6074.14</v>
      </c>
      <c r="AJ12" s="78">
        <v>0</v>
      </c>
      <c r="AK12" s="78">
        <v>0</v>
      </c>
      <c r="AL12" s="76" t="s">
        <v>28</v>
      </c>
    </row>
    <row r="13" spans="1:38" x14ac:dyDescent="0.25">
      <c r="A13" s="76" t="s">
        <v>231</v>
      </c>
      <c r="B13" s="76" t="s">
        <v>232</v>
      </c>
      <c r="C13" s="76" t="s">
        <v>233</v>
      </c>
      <c r="D13" s="76" t="s">
        <v>228</v>
      </c>
      <c r="E13" s="76" t="s">
        <v>301</v>
      </c>
      <c r="F13" s="76" t="s">
        <v>303</v>
      </c>
      <c r="G13" s="76" t="s">
        <v>302</v>
      </c>
      <c r="H13" s="77" t="b">
        <f>FALSE()</f>
        <v>0</v>
      </c>
      <c r="I13" s="76" t="s">
        <v>28</v>
      </c>
      <c r="J13" s="76" t="s">
        <v>28</v>
      </c>
      <c r="K13" s="76" t="s">
        <v>28</v>
      </c>
      <c r="L13" s="76" t="s">
        <v>28</v>
      </c>
      <c r="M13" s="76" t="s">
        <v>28</v>
      </c>
      <c r="N13" s="76" t="s">
        <v>28</v>
      </c>
      <c r="O13" s="76" t="s">
        <v>28</v>
      </c>
      <c r="P13" s="76" t="s">
        <v>28</v>
      </c>
      <c r="Q13" s="76" t="s">
        <v>28</v>
      </c>
      <c r="R13" s="76" t="s">
        <v>28</v>
      </c>
      <c r="S13" s="76" t="s">
        <v>28</v>
      </c>
      <c r="T13" s="76" t="s">
        <v>28</v>
      </c>
      <c r="U13" s="76" t="s">
        <v>247</v>
      </c>
      <c r="V13" s="76" t="s">
        <v>248</v>
      </c>
      <c r="W13" s="78">
        <v>34.01</v>
      </c>
      <c r="X13" s="78">
        <v>1.55</v>
      </c>
      <c r="Y13" s="78">
        <v>71.7</v>
      </c>
      <c r="Z13" s="78">
        <v>23.19</v>
      </c>
      <c r="AA13" s="78">
        <v>269.95999999999998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400.41</v>
      </c>
      <c r="AJ13" s="78">
        <v>0</v>
      </c>
      <c r="AK13" s="78">
        <v>0</v>
      </c>
      <c r="AL13" s="76" t="s">
        <v>28</v>
      </c>
    </row>
    <row r="14" spans="1:38" x14ac:dyDescent="0.25">
      <c r="A14" s="76" t="s">
        <v>231</v>
      </c>
      <c r="B14" s="76" t="s">
        <v>232</v>
      </c>
      <c r="C14" s="76" t="s">
        <v>233</v>
      </c>
      <c r="D14" s="76" t="s">
        <v>228</v>
      </c>
      <c r="E14" s="76" t="s">
        <v>301</v>
      </c>
      <c r="F14" s="76" t="s">
        <v>303</v>
      </c>
      <c r="G14" s="76" t="s">
        <v>302</v>
      </c>
      <c r="H14" s="77" t="b">
        <f>FALSE()</f>
        <v>0</v>
      </c>
      <c r="I14" s="76" t="s">
        <v>28</v>
      </c>
      <c r="J14" s="76" t="s">
        <v>28</v>
      </c>
      <c r="K14" s="76" t="s">
        <v>28</v>
      </c>
      <c r="L14" s="76" t="s">
        <v>28</v>
      </c>
      <c r="M14" s="76" t="s">
        <v>28</v>
      </c>
      <c r="N14" s="76" t="s">
        <v>28</v>
      </c>
      <c r="O14" s="76" t="s">
        <v>28</v>
      </c>
      <c r="P14" s="76" t="s">
        <v>28</v>
      </c>
      <c r="Q14" s="76" t="s">
        <v>28</v>
      </c>
      <c r="R14" s="76" t="s">
        <v>28</v>
      </c>
      <c r="S14" s="76" t="s">
        <v>28</v>
      </c>
      <c r="T14" s="76" t="s">
        <v>28</v>
      </c>
      <c r="U14" s="76" t="s">
        <v>66</v>
      </c>
      <c r="V14" s="76" t="s">
        <v>249</v>
      </c>
      <c r="W14" s="78">
        <v>507.7</v>
      </c>
      <c r="X14" s="78">
        <v>853.25</v>
      </c>
      <c r="Y14" s="78">
        <v>1046.94</v>
      </c>
      <c r="Z14" s="78">
        <v>504.12</v>
      </c>
      <c r="AA14" s="78">
        <v>926.61</v>
      </c>
      <c r="AB14" s="78">
        <v>1659.25</v>
      </c>
      <c r="AC14" s="78">
        <v>965.23</v>
      </c>
      <c r="AD14" s="78">
        <v>899.24</v>
      </c>
      <c r="AE14" s="78">
        <v>826.56</v>
      </c>
      <c r="AF14" s="78">
        <v>0</v>
      </c>
      <c r="AG14" s="78">
        <v>0</v>
      </c>
      <c r="AH14" s="78">
        <v>0</v>
      </c>
      <c r="AI14" s="78">
        <v>6447.42</v>
      </c>
      <c r="AJ14" s="78">
        <v>0</v>
      </c>
      <c r="AK14" s="78">
        <v>0</v>
      </c>
      <c r="AL14" s="76" t="s">
        <v>28</v>
      </c>
    </row>
    <row r="15" spans="1:38" x14ac:dyDescent="0.25">
      <c r="A15" s="76" t="s">
        <v>231</v>
      </c>
      <c r="B15" s="76" t="s">
        <v>232</v>
      </c>
      <c r="C15" s="76" t="s">
        <v>233</v>
      </c>
      <c r="D15" s="76" t="s">
        <v>228</v>
      </c>
      <c r="E15" s="76" t="s">
        <v>301</v>
      </c>
      <c r="F15" s="76" t="s">
        <v>303</v>
      </c>
      <c r="G15" s="76" t="s">
        <v>302</v>
      </c>
      <c r="H15" s="77" t="b">
        <f>FALSE()</f>
        <v>0</v>
      </c>
      <c r="I15" s="76" t="s">
        <v>28</v>
      </c>
      <c r="J15" s="76" t="s">
        <v>28</v>
      </c>
      <c r="K15" s="76" t="s">
        <v>28</v>
      </c>
      <c r="L15" s="76" t="s">
        <v>28</v>
      </c>
      <c r="M15" s="76" t="s">
        <v>28</v>
      </c>
      <c r="N15" s="76" t="s">
        <v>28</v>
      </c>
      <c r="O15" s="76" t="s">
        <v>28</v>
      </c>
      <c r="P15" s="76" t="s">
        <v>28</v>
      </c>
      <c r="Q15" s="76" t="s">
        <v>28</v>
      </c>
      <c r="R15" s="76" t="s">
        <v>28</v>
      </c>
      <c r="S15" s="76" t="s">
        <v>28</v>
      </c>
      <c r="T15" s="76" t="s">
        <v>28</v>
      </c>
      <c r="U15" s="76" t="s">
        <v>250</v>
      </c>
      <c r="V15" s="76" t="s">
        <v>251</v>
      </c>
      <c r="W15" s="78">
        <v>266.75</v>
      </c>
      <c r="X15" s="78">
        <v>266.75</v>
      </c>
      <c r="Y15" s="78">
        <v>266.75</v>
      </c>
      <c r="Z15" s="78">
        <v>266.75</v>
      </c>
      <c r="AA15" s="78">
        <v>266.75</v>
      </c>
      <c r="AB15" s="78">
        <v>266.75</v>
      </c>
      <c r="AC15" s="78">
        <v>268.57</v>
      </c>
      <c r="AD15" s="78">
        <v>268.57</v>
      </c>
      <c r="AE15" s="78">
        <v>268.57</v>
      </c>
      <c r="AF15" s="78">
        <v>0</v>
      </c>
      <c r="AG15" s="78">
        <v>0</v>
      </c>
      <c r="AH15" s="78">
        <v>0</v>
      </c>
      <c r="AI15" s="78">
        <v>1867.25</v>
      </c>
      <c r="AJ15" s="78">
        <v>0</v>
      </c>
      <c r="AK15" s="78">
        <v>0</v>
      </c>
      <c r="AL15" s="76" t="s">
        <v>28</v>
      </c>
    </row>
    <row r="16" spans="1:38" x14ac:dyDescent="0.25">
      <c r="A16" s="76" t="s">
        <v>231</v>
      </c>
      <c r="B16" s="76" t="s">
        <v>232</v>
      </c>
      <c r="C16" s="76" t="s">
        <v>233</v>
      </c>
      <c r="D16" s="76" t="s">
        <v>228</v>
      </c>
      <c r="E16" s="76" t="s">
        <v>301</v>
      </c>
      <c r="F16" s="76" t="s">
        <v>303</v>
      </c>
      <c r="G16" s="76" t="s">
        <v>302</v>
      </c>
      <c r="H16" s="77" t="b">
        <f>FALSE()</f>
        <v>0</v>
      </c>
      <c r="I16" s="76" t="s">
        <v>28</v>
      </c>
      <c r="J16" s="76" t="s">
        <v>28</v>
      </c>
      <c r="K16" s="76" t="s">
        <v>28</v>
      </c>
      <c r="L16" s="76" t="s">
        <v>28</v>
      </c>
      <c r="M16" s="76" t="s">
        <v>28</v>
      </c>
      <c r="N16" s="76" t="s">
        <v>28</v>
      </c>
      <c r="O16" s="76" t="s">
        <v>28</v>
      </c>
      <c r="P16" s="76" t="s">
        <v>28</v>
      </c>
      <c r="Q16" s="76" t="s">
        <v>28</v>
      </c>
      <c r="R16" s="76" t="s">
        <v>28</v>
      </c>
      <c r="S16" s="76" t="s">
        <v>28</v>
      </c>
      <c r="T16" s="76" t="s">
        <v>28</v>
      </c>
      <c r="U16" s="76" t="s">
        <v>70</v>
      </c>
      <c r="V16" s="76" t="s">
        <v>252</v>
      </c>
      <c r="W16" s="78">
        <v>2717.62</v>
      </c>
      <c r="X16" s="78">
        <v>2717.62</v>
      </c>
      <c r="Y16" s="78">
        <v>2717.62</v>
      </c>
      <c r="Z16" s="78">
        <v>2717.62</v>
      </c>
      <c r="AA16" s="78">
        <v>2717.62</v>
      </c>
      <c r="AB16" s="78">
        <v>2717.62</v>
      </c>
      <c r="AC16" s="78">
        <v>2736.02</v>
      </c>
      <c r="AD16" s="78">
        <v>2736.02</v>
      </c>
      <c r="AE16" s="78">
        <v>2736.02</v>
      </c>
      <c r="AF16" s="78">
        <v>0</v>
      </c>
      <c r="AG16" s="78">
        <v>0</v>
      </c>
      <c r="AH16" s="78">
        <v>0</v>
      </c>
      <c r="AI16" s="78">
        <v>19023.34</v>
      </c>
      <c r="AJ16" s="78">
        <v>0</v>
      </c>
      <c r="AK16" s="78">
        <v>0</v>
      </c>
      <c r="AL16" s="76" t="s">
        <v>28</v>
      </c>
    </row>
    <row r="17" spans="1:38" x14ac:dyDescent="0.25">
      <c r="A17" s="76" t="s">
        <v>231</v>
      </c>
      <c r="B17" s="76" t="s">
        <v>232</v>
      </c>
      <c r="C17" s="76" t="s">
        <v>233</v>
      </c>
      <c r="D17" s="76" t="s">
        <v>228</v>
      </c>
      <c r="E17" s="76" t="s">
        <v>301</v>
      </c>
      <c r="F17" s="76" t="s">
        <v>303</v>
      </c>
      <c r="G17" s="76" t="s">
        <v>302</v>
      </c>
      <c r="H17" s="77" t="b">
        <f>FALSE()</f>
        <v>0</v>
      </c>
      <c r="I17" s="76" t="s">
        <v>28</v>
      </c>
      <c r="J17" s="76" t="s">
        <v>28</v>
      </c>
      <c r="K17" s="76" t="s">
        <v>28</v>
      </c>
      <c r="L17" s="76" t="s">
        <v>28</v>
      </c>
      <c r="M17" s="76" t="s">
        <v>28</v>
      </c>
      <c r="N17" s="76" t="s">
        <v>28</v>
      </c>
      <c r="O17" s="76" t="s">
        <v>28</v>
      </c>
      <c r="P17" s="76" t="s">
        <v>28</v>
      </c>
      <c r="Q17" s="76" t="s">
        <v>28</v>
      </c>
      <c r="R17" s="76" t="s">
        <v>28</v>
      </c>
      <c r="S17" s="76" t="s">
        <v>28</v>
      </c>
      <c r="T17" s="76" t="s">
        <v>28</v>
      </c>
      <c r="U17" s="76" t="s">
        <v>72</v>
      </c>
      <c r="V17" s="76" t="s">
        <v>253</v>
      </c>
      <c r="W17" s="78">
        <v>559.41999999999996</v>
      </c>
      <c r="X17" s="78">
        <v>1303.5</v>
      </c>
      <c r="Y17" s="78">
        <v>456.18</v>
      </c>
      <c r="Z17" s="78">
        <v>3670.99</v>
      </c>
      <c r="AA17" s="78">
        <v>5805.59</v>
      </c>
      <c r="AB17" s="78">
        <v>4170.46</v>
      </c>
      <c r="AC17" s="78">
        <v>4342.1000000000004</v>
      </c>
      <c r="AD17" s="78">
        <v>-3690.55</v>
      </c>
      <c r="AE17" s="78">
        <v>1344.69</v>
      </c>
      <c r="AF17" s="78">
        <v>0</v>
      </c>
      <c r="AG17" s="78">
        <v>0</v>
      </c>
      <c r="AH17" s="78">
        <v>0</v>
      </c>
      <c r="AI17" s="78">
        <v>20271.349999999999</v>
      </c>
      <c r="AJ17" s="78">
        <v>0</v>
      </c>
      <c r="AK17" s="78">
        <v>0</v>
      </c>
      <c r="AL17" s="76" t="s">
        <v>28</v>
      </c>
    </row>
    <row r="18" spans="1:38" x14ac:dyDescent="0.25">
      <c r="A18" s="76" t="s">
        <v>231</v>
      </c>
      <c r="B18" s="76" t="s">
        <v>232</v>
      </c>
      <c r="C18" s="76" t="s">
        <v>233</v>
      </c>
      <c r="D18" s="76" t="s">
        <v>228</v>
      </c>
      <c r="E18" s="76" t="s">
        <v>301</v>
      </c>
      <c r="F18" s="76" t="s">
        <v>303</v>
      </c>
      <c r="G18" s="76" t="s">
        <v>302</v>
      </c>
      <c r="H18" s="77" t="b">
        <f>FALSE()</f>
        <v>0</v>
      </c>
      <c r="I18" s="76" t="s">
        <v>28</v>
      </c>
      <c r="J18" s="76" t="s">
        <v>28</v>
      </c>
      <c r="K18" s="76" t="s">
        <v>28</v>
      </c>
      <c r="L18" s="76" t="s">
        <v>28</v>
      </c>
      <c r="M18" s="76" t="s">
        <v>28</v>
      </c>
      <c r="N18" s="76" t="s">
        <v>28</v>
      </c>
      <c r="O18" s="76" t="s">
        <v>28</v>
      </c>
      <c r="P18" s="76" t="s">
        <v>28</v>
      </c>
      <c r="Q18" s="76" t="s">
        <v>28</v>
      </c>
      <c r="R18" s="76" t="s">
        <v>28</v>
      </c>
      <c r="S18" s="76" t="s">
        <v>28</v>
      </c>
      <c r="T18" s="76" t="s">
        <v>28</v>
      </c>
      <c r="U18" s="76" t="s">
        <v>28</v>
      </c>
      <c r="V18" s="76" t="s">
        <v>28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8">
        <v>0</v>
      </c>
      <c r="AK18" s="78">
        <v>0</v>
      </c>
      <c r="AL18" s="76" t="s">
        <v>28</v>
      </c>
    </row>
    <row r="19" spans="1:38" x14ac:dyDescent="0.25">
      <c r="A19" s="76" t="s">
        <v>231</v>
      </c>
      <c r="B19" s="76" t="s">
        <v>232</v>
      </c>
      <c r="C19" s="76" t="s">
        <v>233</v>
      </c>
      <c r="D19" s="76" t="s">
        <v>228</v>
      </c>
      <c r="E19" s="76" t="s">
        <v>301</v>
      </c>
      <c r="F19" s="76" t="s">
        <v>303</v>
      </c>
      <c r="G19" s="76" t="s">
        <v>302</v>
      </c>
      <c r="H19" s="77" t="b">
        <f>FALSE()</f>
        <v>0</v>
      </c>
      <c r="I19" s="76" t="s">
        <v>28</v>
      </c>
      <c r="J19" s="76" t="s">
        <v>28</v>
      </c>
      <c r="K19" s="76" t="s">
        <v>28</v>
      </c>
      <c r="L19" s="76" t="s">
        <v>28</v>
      </c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76" t="s">
        <v>28</v>
      </c>
      <c r="S19" s="76" t="s">
        <v>28</v>
      </c>
      <c r="T19" s="76" t="s">
        <v>28</v>
      </c>
      <c r="U19" s="76" t="s">
        <v>51</v>
      </c>
      <c r="V19" s="76" t="s">
        <v>254</v>
      </c>
      <c r="W19" s="78">
        <v>87820.08</v>
      </c>
      <c r="X19" s="78">
        <v>92684.74</v>
      </c>
      <c r="Y19" s="78">
        <v>99172.82</v>
      </c>
      <c r="Z19" s="78">
        <v>112646.36</v>
      </c>
      <c r="AA19" s="78">
        <v>120460.82</v>
      </c>
      <c r="AB19" s="78">
        <v>118008.65</v>
      </c>
      <c r="AC19" s="78">
        <v>113690.38</v>
      </c>
      <c r="AD19" s="78">
        <v>112782.44</v>
      </c>
      <c r="AE19" s="78">
        <v>129063.87</v>
      </c>
      <c r="AF19" s="78">
        <v>0</v>
      </c>
      <c r="AG19" s="78">
        <v>0</v>
      </c>
      <c r="AH19" s="78">
        <v>0</v>
      </c>
      <c r="AI19" s="78">
        <v>743623.79</v>
      </c>
      <c r="AJ19" s="78">
        <v>0</v>
      </c>
      <c r="AK19" s="78">
        <v>0</v>
      </c>
      <c r="AL19" s="76" t="s">
        <v>28</v>
      </c>
    </row>
    <row r="21" spans="1:38" x14ac:dyDescent="0.25"/>
    <row r="22" spans="1:38" x14ac:dyDescent="0.25"/>
    <row r="23" spans="1:38" x14ac:dyDescent="0.25"/>
    <row r="24" spans="1:38" x14ac:dyDescent="0.25"/>
    <row r="25" spans="1:38" x14ac:dyDescent="0.25"/>
    <row r="26" spans="1:38" x14ac:dyDescent="0.25"/>
    <row r="27" spans="1:38" x14ac:dyDescent="0.25"/>
    <row r="28" spans="1:38" x14ac:dyDescent="0.25"/>
    <row r="29" spans="1:38" x14ac:dyDescent="0.25"/>
    <row r="30" spans="1:38" x14ac:dyDescent="0.25"/>
    <row r="31" spans="1:38" x14ac:dyDescent="0.25"/>
    <row r="32" spans="1:38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9" type="noConversion"/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TableofContent</vt:lpstr>
      <vt:lpstr>BS_Qrtly</vt:lpstr>
      <vt:lpstr>BS_12MoM</vt:lpstr>
      <vt:lpstr>IS_Qrtly</vt:lpstr>
      <vt:lpstr>IS_12MoM</vt:lpstr>
      <vt:lpstr>IS_12Entity_MoM</vt:lpstr>
      <vt:lpstr>Summary</vt:lpstr>
      <vt:lpstr>CF_12Months</vt:lpstr>
      <vt:lpstr>CBurn ENtity</vt:lpstr>
      <vt:lpstr>Cburn YTD</vt:lpstr>
      <vt:lpstr>Data ---&gt;</vt:lpstr>
      <vt:lpstr>BS(Qrtly(</vt:lpstr>
      <vt:lpstr>IS_QRT</vt:lpstr>
      <vt:lpstr>BS (MoM)</vt:lpstr>
      <vt:lpstr>IS_MOM</vt:lpstr>
      <vt:lpstr>IS_BU(MoM)</vt:lpstr>
      <vt:lpstr>Cburn_Entity</vt:lpstr>
      <vt:lpstr>CBurn_12Months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Moses Kigo</cp:lastModifiedBy>
  <dcterms:created xsi:type="dcterms:W3CDTF">2024-03-11T13:30:37Z</dcterms:created>
  <dcterms:modified xsi:type="dcterms:W3CDTF">2025-10-15T13:03:53Z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2024-09-12T21:26:10Z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19287db1-a732-4cbb-8685-8fb44ee908fd</vt:lpwstr>
  </property>
  <property fmtid="{D5CDD505-2E9C-101B-9397-08002B2CF9AE}" pid="7" name="MSIP_Label_defa4170-0d19-0005-0004-bc88714345d2_ActionId">
    <vt:lpwstr>1068df9a-5a8f-4861-a51c-0fdffa1c5ffd</vt:lpwstr>
  </property>
  <property fmtid="{D5CDD505-2E9C-101B-9397-08002B2CF9AE}" pid="8" name="MSIP_Label_defa4170-0d19-0005-0004-bc88714345d2_ContentBits">
    <vt:lpwstr>0</vt:lpwstr>
  </property>
</Properties>
</file>