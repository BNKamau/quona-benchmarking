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rienne Henderson\Box\01 Quona Drive\04 Fund III (QAF)\04 Fund III - Portfolio Companies\43 Enza\02 Management Accounts\2026\26 03\"/>
    </mc:Choice>
  </mc:AlternateContent>
  <xr:revisionPtr revIDLastSave="0" documentId="8_{7C679329-B6B6-4A76-823C-B0FA900DE1C6}" xr6:coauthVersionLast="47" xr6:coauthVersionMax="47" xr10:uidLastSave="{00000000-0000-0000-0000-000000000000}"/>
  <bookViews>
    <workbookView xWindow="43080" yWindow="-120" windowWidth="29040" windowHeight="15720" xr2:uid="{D5414339-09B9-42B7-8D68-D5971F4A99F0}"/>
  </bookViews>
  <sheets>
    <sheet name="KPIs" sheetId="1" r:id="rId1"/>
    <sheet name="P&amp;L" sheetId="5" r:id="rId2"/>
    <sheet name="Balance Sheet" sheetId="6" r:id="rId3"/>
    <sheet name="CFS" sheetId="4" r:id="rId4"/>
  </sheets>
  <externalReferences>
    <externalReference r:id="rId5"/>
    <externalReference r:id="rId6"/>
    <externalReference r:id="rId7"/>
  </externalReferences>
  <calcPr calcId="191028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6" l="1"/>
  <c r="T20" i="1"/>
  <c r="T19" i="1"/>
  <c r="S20" i="1"/>
  <c r="S19" i="1"/>
  <c r="R20" i="1"/>
  <c r="R19" i="1"/>
  <c r="T26" i="1"/>
  <c r="T29" i="1"/>
  <c r="U11" i="5"/>
  <c r="U12" i="5"/>
  <c r="U13" i="5"/>
  <c r="U15" i="5"/>
  <c r="U20" i="5"/>
  <c r="U25" i="5"/>
  <c r="U32" i="5"/>
  <c r="U33" i="5"/>
  <c r="U34" i="5"/>
  <c r="U31" i="5" s="1"/>
  <c r="U36" i="5"/>
  <c r="U41" i="5"/>
  <c r="U46" i="5"/>
  <c r="U53" i="5"/>
  <c r="U54" i="5"/>
  <c r="U55" i="5"/>
  <c r="U52" i="5" s="1"/>
  <c r="U57" i="5"/>
  <c r="U62" i="5"/>
  <c r="U67" i="5"/>
  <c r="U72" i="5"/>
  <c r="U77" i="5"/>
  <c r="U84" i="5"/>
  <c r="U85" i="5"/>
  <c r="U86" i="5"/>
  <c r="U83" i="5" s="1"/>
  <c r="U91" i="5"/>
  <c r="U92" i="5"/>
  <c r="U93" i="5"/>
  <c r="U90" i="5" s="1"/>
  <c r="U95" i="5"/>
  <c r="U100" i="5"/>
  <c r="U105" i="5"/>
  <c r="U110" i="5"/>
  <c r="U115" i="5"/>
  <c r="U122" i="5"/>
  <c r="U123" i="5"/>
  <c r="U124" i="5"/>
  <c r="U121" i="5" s="1"/>
  <c r="T6" i="1"/>
  <c r="T9" i="1"/>
  <c r="O6" i="1"/>
  <c r="N6" i="1"/>
  <c r="M6" i="1"/>
  <c r="L6" i="1"/>
  <c r="K6" i="1"/>
  <c r="J6" i="1"/>
  <c r="I6" i="1"/>
  <c r="H6" i="1"/>
  <c r="G6" i="1"/>
  <c r="F6" i="1"/>
  <c r="E6" i="1"/>
  <c r="P6" i="1"/>
  <c r="R6" i="1"/>
  <c r="S6" i="1"/>
  <c r="S29" i="1"/>
  <c r="R29" i="1"/>
  <c r="S26" i="1"/>
  <c r="R26" i="1"/>
  <c r="S9" i="1"/>
  <c r="P26" i="1"/>
  <c r="AE2" i="6"/>
  <c r="AD2" i="6"/>
  <c r="AC2" i="6"/>
  <c r="AB2" i="6"/>
  <c r="AA2" i="6"/>
  <c r="Z2" i="6"/>
  <c r="Y2" i="6"/>
  <c r="X2" i="6"/>
  <c r="W2" i="6"/>
  <c r="V2" i="6"/>
  <c r="U2" i="6"/>
  <c r="T2" i="6"/>
  <c r="R2" i="6"/>
  <c r="Q2" i="6"/>
  <c r="P2" i="6"/>
  <c r="O2" i="6"/>
  <c r="N2" i="6"/>
  <c r="M2" i="6"/>
  <c r="L2" i="6"/>
  <c r="K2" i="6"/>
  <c r="J2" i="6"/>
  <c r="I2" i="6"/>
  <c r="H2" i="6"/>
  <c r="G2" i="6"/>
  <c r="O29" i="1"/>
  <c r="T11" i="5"/>
  <c r="T12" i="5"/>
  <c r="T13" i="5"/>
  <c r="T15" i="5"/>
  <c r="T20" i="5"/>
  <c r="T25" i="5"/>
  <c r="T32" i="5"/>
  <c r="T33" i="5"/>
  <c r="T34" i="5"/>
  <c r="T31" i="5" s="1"/>
  <c r="T36" i="5"/>
  <c r="T41" i="5"/>
  <c r="T46" i="5"/>
  <c r="T53" i="5"/>
  <c r="T54" i="5"/>
  <c r="T55" i="5"/>
  <c r="T52" i="5" s="1"/>
  <c r="T57" i="5"/>
  <c r="T62" i="5"/>
  <c r="T67" i="5"/>
  <c r="T72" i="5"/>
  <c r="T77" i="5"/>
  <c r="T84" i="5"/>
  <c r="T85" i="5"/>
  <c r="T86" i="5"/>
  <c r="T83" i="5" s="1"/>
  <c r="T91" i="5"/>
  <c r="T92" i="5"/>
  <c r="T93" i="5"/>
  <c r="T90" i="5" s="1"/>
  <c r="T95" i="5"/>
  <c r="T100" i="5"/>
  <c r="T105" i="5"/>
  <c r="T110" i="5"/>
  <c r="T115" i="5"/>
  <c r="T122" i="5"/>
  <c r="T123" i="5"/>
  <c r="T124" i="5"/>
  <c r="T121" i="5" s="1"/>
  <c r="R2" i="4"/>
  <c r="S2" i="4" s="1"/>
  <c r="T2" i="4" s="1"/>
  <c r="U2" i="4" s="1"/>
  <c r="V2" i="4" s="1"/>
  <c r="W2" i="4" s="1"/>
  <c r="X2" i="4" s="1"/>
  <c r="Y2" i="4" s="1"/>
  <c r="Z2" i="4" s="1"/>
  <c r="AA2" i="4" s="1"/>
  <c r="Q2" i="4"/>
  <c r="S115" i="5"/>
  <c r="S110" i="5"/>
  <c r="S105" i="5"/>
  <c r="S100" i="5"/>
  <c r="S95" i="5"/>
  <c r="S93" i="5"/>
  <c r="S92" i="5"/>
  <c r="S91" i="5"/>
  <c r="S90" i="5"/>
  <c r="S77" i="5"/>
  <c r="S72" i="5"/>
  <c r="S67" i="5"/>
  <c r="S62" i="5"/>
  <c r="S57" i="5"/>
  <c r="S55" i="5"/>
  <c r="S52" i="5" s="1"/>
  <c r="S54" i="5"/>
  <c r="S53" i="5"/>
  <c r="S46" i="5"/>
  <c r="S41" i="5"/>
  <c r="S36" i="5"/>
  <c r="S34" i="5"/>
  <c r="S86" i="5" s="1"/>
  <c r="S33" i="5"/>
  <c r="S85" i="5" s="1"/>
  <c r="S123" i="5" s="1"/>
  <c r="S32" i="5"/>
  <c r="S84" i="5" s="1"/>
  <c r="S122" i="5" s="1"/>
  <c r="S31" i="5"/>
  <c r="S25" i="5"/>
  <c r="S20" i="5"/>
  <c r="S15" i="5"/>
  <c r="S13" i="5"/>
  <c r="S12" i="5"/>
  <c r="S11" i="5"/>
  <c r="R9" i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P9" i="1"/>
  <c r="P90" i="5"/>
  <c r="P91" i="5"/>
  <c r="P92" i="5"/>
  <c r="P93" i="5"/>
  <c r="P95" i="5"/>
  <c r="P100" i="5"/>
  <c r="P105" i="5"/>
  <c r="P110" i="5"/>
  <c r="P115" i="5"/>
  <c r="P52" i="5"/>
  <c r="P53" i="5"/>
  <c r="P54" i="5"/>
  <c r="P55" i="5"/>
  <c r="P57" i="5"/>
  <c r="P62" i="5"/>
  <c r="P67" i="5"/>
  <c r="P72" i="5"/>
  <c r="P77" i="5"/>
  <c r="P84" i="5"/>
  <c r="P85" i="5"/>
  <c r="P86" i="5"/>
  <c r="P83" i="5" s="1"/>
  <c r="P122" i="5"/>
  <c r="P123" i="5"/>
  <c r="P124" i="5"/>
  <c r="P121" i="5" s="1"/>
  <c r="P11" i="5"/>
  <c r="P12" i="5"/>
  <c r="P13" i="5"/>
  <c r="P15" i="5"/>
  <c r="P20" i="5"/>
  <c r="P25" i="5"/>
  <c r="P31" i="5"/>
  <c r="P32" i="5"/>
  <c r="P33" i="5"/>
  <c r="P34" i="5"/>
  <c r="P36" i="5"/>
  <c r="P41" i="5"/>
  <c r="P46" i="5"/>
  <c r="O91" i="5"/>
  <c r="O92" i="5"/>
  <c r="O93" i="5"/>
  <c r="O90" i="5" s="1"/>
  <c r="O95" i="5"/>
  <c r="O100" i="5"/>
  <c r="O105" i="5"/>
  <c r="O110" i="5"/>
  <c r="O115" i="5"/>
  <c r="O77" i="5"/>
  <c r="O72" i="5"/>
  <c r="O67" i="5"/>
  <c r="O62" i="5"/>
  <c r="O57" i="5"/>
  <c r="O53" i="5"/>
  <c r="O54" i="5"/>
  <c r="O55" i="5"/>
  <c r="O52" i="5" s="1"/>
  <c r="O46" i="5"/>
  <c r="O41" i="5"/>
  <c r="O32" i="5"/>
  <c r="O84" i="5" s="1"/>
  <c r="O122" i="5" s="1"/>
  <c r="O33" i="5"/>
  <c r="O85" i="5" s="1"/>
  <c r="O123" i="5" s="1"/>
  <c r="O34" i="5"/>
  <c r="O36" i="5"/>
  <c r="O25" i="5"/>
  <c r="O20" i="5"/>
  <c r="O11" i="5"/>
  <c r="O12" i="5"/>
  <c r="O13" i="5"/>
  <c r="O15" i="5"/>
  <c r="O9" i="1"/>
  <c r="N11" i="5"/>
  <c r="N12" i="5"/>
  <c r="N13" i="5"/>
  <c r="N15" i="5"/>
  <c r="N20" i="5"/>
  <c r="N25" i="5"/>
  <c r="N32" i="5"/>
  <c r="N33" i="5"/>
  <c r="N34" i="5"/>
  <c r="N31" i="5" s="1"/>
  <c r="N36" i="5"/>
  <c r="N41" i="5"/>
  <c r="N46" i="5"/>
  <c r="N53" i="5"/>
  <c r="N84" i="5" s="1"/>
  <c r="N122" i="5" s="1"/>
  <c r="N54" i="5"/>
  <c r="N55" i="5"/>
  <c r="N52" i="5" s="1"/>
  <c r="N57" i="5"/>
  <c r="N62" i="5"/>
  <c r="N67" i="5"/>
  <c r="N72" i="5"/>
  <c r="N77" i="5"/>
  <c r="N85" i="5"/>
  <c r="N91" i="5"/>
  <c r="N92" i="5"/>
  <c r="N93" i="5"/>
  <c r="N90" i="5" s="1"/>
  <c r="N95" i="5"/>
  <c r="N100" i="5"/>
  <c r="N105" i="5"/>
  <c r="N110" i="5"/>
  <c r="N115" i="5"/>
  <c r="N123" i="5"/>
  <c r="N9" i="1"/>
  <c r="M11" i="5"/>
  <c r="M12" i="5"/>
  <c r="M13" i="5"/>
  <c r="M15" i="5"/>
  <c r="M20" i="5"/>
  <c r="M25" i="5"/>
  <c r="M31" i="5"/>
  <c r="M32" i="5"/>
  <c r="M84" i="5" s="1"/>
  <c r="M122" i="5" s="1"/>
  <c r="M33" i="5"/>
  <c r="M34" i="5"/>
  <c r="M36" i="5"/>
  <c r="M41" i="5"/>
  <c r="M46" i="5"/>
  <c r="M53" i="5"/>
  <c r="M54" i="5"/>
  <c r="M85" i="5" s="1"/>
  <c r="M123" i="5" s="1"/>
  <c r="M55" i="5"/>
  <c r="M52" i="5" s="1"/>
  <c r="M57" i="5"/>
  <c r="M62" i="5"/>
  <c r="M67" i="5"/>
  <c r="M72" i="5"/>
  <c r="M77" i="5"/>
  <c r="M86" i="5"/>
  <c r="M83" i="5" s="1"/>
  <c r="M91" i="5"/>
  <c r="M92" i="5"/>
  <c r="M93" i="5"/>
  <c r="M90" i="5" s="1"/>
  <c r="M95" i="5"/>
  <c r="M100" i="5"/>
  <c r="M105" i="5"/>
  <c r="M110" i="5"/>
  <c r="M115" i="5"/>
  <c r="M9" i="1"/>
  <c r="S124" i="5" l="1"/>
  <c r="S121" i="5" s="1"/>
  <c r="S83" i="5"/>
  <c r="O86" i="5"/>
  <c r="O31" i="5"/>
  <c r="N86" i="5"/>
  <c r="M124" i="5"/>
  <c r="M121" i="5" s="1"/>
  <c r="L11" i="5"/>
  <c r="L12" i="5"/>
  <c r="L13" i="5"/>
  <c r="L15" i="5"/>
  <c r="L20" i="5"/>
  <c r="L25" i="5"/>
  <c r="L32" i="5"/>
  <c r="L33" i="5"/>
  <c r="L85" i="5" s="1"/>
  <c r="L123" i="5" s="1"/>
  <c r="L34" i="5"/>
  <c r="L31" i="5" s="1"/>
  <c r="L36" i="5"/>
  <c r="L41" i="5"/>
  <c r="L46" i="5"/>
  <c r="L53" i="5"/>
  <c r="L54" i="5"/>
  <c r="L55" i="5"/>
  <c r="L86" i="5" s="1"/>
  <c r="L57" i="5"/>
  <c r="L62" i="5"/>
  <c r="L67" i="5"/>
  <c r="L72" i="5"/>
  <c r="L77" i="5"/>
  <c r="L84" i="5"/>
  <c r="L91" i="5"/>
  <c r="L92" i="5"/>
  <c r="L93" i="5"/>
  <c r="L90" i="5" s="1"/>
  <c r="L95" i="5"/>
  <c r="L100" i="5"/>
  <c r="L105" i="5"/>
  <c r="L110" i="5"/>
  <c r="L115" i="5"/>
  <c r="L122" i="5"/>
  <c r="O83" i="5" l="1"/>
  <c r="O124" i="5"/>
  <c r="O121" i="5" s="1"/>
  <c r="N83" i="5"/>
  <c r="N124" i="5"/>
  <c r="N121" i="5" s="1"/>
  <c r="L83" i="5"/>
  <c r="L124" i="5"/>
  <c r="L121" i="5" s="1"/>
  <c r="L52" i="5"/>
  <c r="N29" i="1"/>
  <c r="L9" i="1" l="1"/>
  <c r="K11" i="5" l="1"/>
  <c r="K12" i="5"/>
  <c r="K13" i="5"/>
  <c r="K15" i="5"/>
  <c r="K20" i="5"/>
  <c r="K25" i="5"/>
  <c r="K32" i="5"/>
  <c r="K84" i="5" s="1"/>
  <c r="K122" i="5" s="1"/>
  <c r="K33" i="5"/>
  <c r="K85" i="5" s="1"/>
  <c r="K123" i="5" s="1"/>
  <c r="K34" i="5"/>
  <c r="K31" i="5" s="1"/>
  <c r="K36" i="5"/>
  <c r="K41" i="5"/>
  <c r="K46" i="5"/>
  <c r="K53" i="5"/>
  <c r="K54" i="5"/>
  <c r="K55" i="5"/>
  <c r="K86" i="5" s="1"/>
  <c r="K57" i="5"/>
  <c r="K62" i="5"/>
  <c r="K67" i="5"/>
  <c r="K72" i="5"/>
  <c r="K77" i="5"/>
  <c r="K90" i="5"/>
  <c r="K91" i="5"/>
  <c r="K92" i="5"/>
  <c r="K93" i="5"/>
  <c r="K95" i="5"/>
  <c r="K100" i="5"/>
  <c r="K105" i="5"/>
  <c r="K110" i="5"/>
  <c r="K115" i="5"/>
  <c r="K9" i="1"/>
  <c r="J9" i="1"/>
  <c r="J11" i="5"/>
  <c r="J12" i="5"/>
  <c r="J13" i="5"/>
  <c r="J15" i="5"/>
  <c r="J20" i="5"/>
  <c r="J25" i="5"/>
  <c r="J31" i="5"/>
  <c r="J32" i="5"/>
  <c r="J33" i="5"/>
  <c r="J34" i="5"/>
  <c r="J36" i="5"/>
  <c r="J41" i="5"/>
  <c r="J46" i="5"/>
  <c r="J53" i="5"/>
  <c r="J54" i="5"/>
  <c r="J55" i="5"/>
  <c r="J52" i="5" s="1"/>
  <c r="J57" i="5"/>
  <c r="J62" i="5"/>
  <c r="J67" i="5"/>
  <c r="J72" i="5"/>
  <c r="J77" i="5"/>
  <c r="J84" i="5"/>
  <c r="J85" i="5"/>
  <c r="J86" i="5"/>
  <c r="J83" i="5" s="1"/>
  <c r="J91" i="5"/>
  <c r="J92" i="5"/>
  <c r="J93" i="5"/>
  <c r="J90" i="5" s="1"/>
  <c r="J95" i="5"/>
  <c r="J100" i="5"/>
  <c r="J105" i="5"/>
  <c r="J110" i="5"/>
  <c r="J115" i="5"/>
  <c r="J122" i="5"/>
  <c r="J123" i="5"/>
  <c r="J124" i="5"/>
  <c r="J121" i="5" s="1"/>
  <c r="I11" i="5"/>
  <c r="I12" i="5"/>
  <c r="I13" i="5"/>
  <c r="I15" i="5"/>
  <c r="I20" i="5"/>
  <c r="I25" i="5"/>
  <c r="I32" i="5"/>
  <c r="I33" i="5"/>
  <c r="I34" i="5"/>
  <c r="I31" i="5" s="1"/>
  <c r="I36" i="5"/>
  <c r="I41" i="5"/>
  <c r="I46" i="5"/>
  <c r="I52" i="5"/>
  <c r="I53" i="5"/>
  <c r="I54" i="5"/>
  <c r="I55" i="5"/>
  <c r="I57" i="5"/>
  <c r="I62" i="5"/>
  <c r="I67" i="5"/>
  <c r="I72" i="5"/>
  <c r="I77" i="5"/>
  <c r="I84" i="5"/>
  <c r="I85" i="5"/>
  <c r="I91" i="5"/>
  <c r="I92" i="5"/>
  <c r="I93" i="5"/>
  <c r="I90" i="5" s="1"/>
  <c r="I95" i="5"/>
  <c r="I100" i="5"/>
  <c r="I105" i="5"/>
  <c r="I110" i="5"/>
  <c r="I115" i="5"/>
  <c r="I122" i="5"/>
  <c r="I123" i="5"/>
  <c r="I9" i="1"/>
  <c r="F9" i="1"/>
  <c r="G9" i="1"/>
  <c r="H9" i="1"/>
  <c r="E9" i="1"/>
  <c r="AE16" i="6"/>
  <c r="AD16" i="6"/>
  <c r="AC16" i="6"/>
  <c r="AB16" i="6"/>
  <c r="AA16" i="6"/>
  <c r="Z16" i="6"/>
  <c r="Y16" i="6"/>
  <c r="X16" i="6"/>
  <c r="W16" i="6"/>
  <c r="AE15" i="6"/>
  <c r="AD15" i="6"/>
  <c r="AC15" i="6"/>
  <c r="AB15" i="6"/>
  <c r="AA15" i="6"/>
  <c r="Z15" i="6"/>
  <c r="Y15" i="6"/>
  <c r="X15" i="6"/>
  <c r="W15" i="6"/>
  <c r="AE4" i="6"/>
  <c r="AD4" i="6"/>
  <c r="AC4" i="6"/>
  <c r="AB4" i="6"/>
  <c r="AA4" i="6"/>
  <c r="Z4" i="6"/>
  <c r="Y4" i="6"/>
  <c r="X4" i="6"/>
  <c r="W4" i="6"/>
  <c r="AF126" i="5"/>
  <c r="AF132" i="5" s="1"/>
  <c r="AD126" i="5"/>
  <c r="AC126" i="5"/>
  <c r="AB126" i="5"/>
  <c r="AA126" i="5"/>
  <c r="Z126" i="5"/>
  <c r="Y126" i="5"/>
  <c r="X126" i="5"/>
  <c r="W126" i="5"/>
  <c r="V126" i="5"/>
  <c r="R126" i="5"/>
  <c r="R132" i="5" s="1"/>
  <c r="D126" i="5"/>
  <c r="D132" i="5" s="1"/>
  <c r="C121" i="5"/>
  <c r="AE118" i="5"/>
  <c r="Q118" i="5"/>
  <c r="AE117" i="5"/>
  <c r="Q117" i="5"/>
  <c r="AE116" i="5"/>
  <c r="Q116" i="5"/>
  <c r="AD115" i="5"/>
  <c r="AC115" i="5"/>
  <c r="AB115" i="5"/>
  <c r="AA115" i="5"/>
  <c r="Z115" i="5"/>
  <c r="Y115" i="5"/>
  <c r="X115" i="5"/>
  <c r="W115" i="5"/>
  <c r="V115" i="5"/>
  <c r="AE115" i="5"/>
  <c r="H115" i="5"/>
  <c r="G115" i="5"/>
  <c r="F115" i="5"/>
  <c r="E115" i="5"/>
  <c r="C115" i="5"/>
  <c r="AE113" i="5"/>
  <c r="Q113" i="5"/>
  <c r="AE112" i="5"/>
  <c r="Q112" i="5"/>
  <c r="AE111" i="5"/>
  <c r="Q111" i="5"/>
  <c r="AD110" i="5"/>
  <c r="AC110" i="5"/>
  <c r="AB110" i="5"/>
  <c r="AA110" i="5"/>
  <c r="Z110" i="5"/>
  <c r="Y110" i="5"/>
  <c r="X110" i="5"/>
  <c r="W110" i="5"/>
  <c r="V110" i="5"/>
  <c r="AE110" i="5" s="1"/>
  <c r="H110" i="5"/>
  <c r="G110" i="5"/>
  <c r="F110" i="5"/>
  <c r="E110" i="5"/>
  <c r="C110" i="5"/>
  <c r="AE108" i="5"/>
  <c r="Q108" i="5"/>
  <c r="AE107" i="5"/>
  <c r="Q107" i="5"/>
  <c r="AE106" i="5"/>
  <c r="Q106" i="5"/>
  <c r="AD105" i="5"/>
  <c r="AC105" i="5"/>
  <c r="AB105" i="5"/>
  <c r="AA105" i="5"/>
  <c r="Z105" i="5"/>
  <c r="Y105" i="5"/>
  <c r="X105" i="5"/>
  <c r="W105" i="5"/>
  <c r="V105" i="5"/>
  <c r="AE105" i="5"/>
  <c r="H105" i="5"/>
  <c r="G105" i="5"/>
  <c r="F105" i="5"/>
  <c r="E105" i="5"/>
  <c r="C105" i="5"/>
  <c r="AE103" i="5"/>
  <c r="Q103" i="5"/>
  <c r="AE102" i="5"/>
  <c r="Q102" i="5"/>
  <c r="AE101" i="5"/>
  <c r="Q101" i="5"/>
  <c r="AD100" i="5"/>
  <c r="AC100" i="5"/>
  <c r="AB100" i="5"/>
  <c r="AA100" i="5"/>
  <c r="Z100" i="5"/>
  <c r="Y100" i="5"/>
  <c r="X100" i="5"/>
  <c r="W100" i="5"/>
  <c r="V100" i="5"/>
  <c r="H100" i="5"/>
  <c r="G100" i="5"/>
  <c r="F100" i="5"/>
  <c r="E100" i="5"/>
  <c r="C100" i="5"/>
  <c r="AE98" i="5"/>
  <c r="Q98" i="5"/>
  <c r="AE97" i="5"/>
  <c r="Q97" i="5"/>
  <c r="AE96" i="5"/>
  <c r="Q96" i="5"/>
  <c r="AD95" i="5"/>
  <c r="AC95" i="5"/>
  <c r="AB95" i="5"/>
  <c r="AA95" i="5"/>
  <c r="Z95" i="5"/>
  <c r="Y95" i="5"/>
  <c r="X95" i="5"/>
  <c r="W95" i="5"/>
  <c r="V95" i="5"/>
  <c r="AE95" i="5" s="1"/>
  <c r="H95" i="5"/>
  <c r="G95" i="5"/>
  <c r="F95" i="5"/>
  <c r="E95" i="5"/>
  <c r="C95" i="5"/>
  <c r="AD93" i="5"/>
  <c r="AC93" i="5"/>
  <c r="AB93" i="5"/>
  <c r="AE93" i="5" s="1"/>
  <c r="AA93" i="5"/>
  <c r="Z93" i="5"/>
  <c r="Y93" i="5"/>
  <c r="X93" i="5"/>
  <c r="W93" i="5"/>
  <c r="V93" i="5"/>
  <c r="H93" i="5"/>
  <c r="G93" i="5"/>
  <c r="F93" i="5"/>
  <c r="E93" i="5"/>
  <c r="AD92" i="5"/>
  <c r="AC92" i="5"/>
  <c r="AB92" i="5"/>
  <c r="AA92" i="5"/>
  <c r="Z92" i="5"/>
  <c r="Y92" i="5"/>
  <c r="X92" i="5"/>
  <c r="W92" i="5"/>
  <c r="V92" i="5"/>
  <c r="AE92" i="5"/>
  <c r="H92" i="5"/>
  <c r="G92" i="5"/>
  <c r="F92" i="5"/>
  <c r="E92" i="5"/>
  <c r="AD91" i="5"/>
  <c r="AC91" i="5"/>
  <c r="AB91" i="5"/>
  <c r="AA91" i="5"/>
  <c r="Z91" i="5"/>
  <c r="Y91" i="5"/>
  <c r="X91" i="5"/>
  <c r="W91" i="5"/>
  <c r="V91" i="5"/>
  <c r="AE91" i="5"/>
  <c r="H91" i="5"/>
  <c r="G91" i="5"/>
  <c r="F91" i="5"/>
  <c r="E91" i="5"/>
  <c r="AD90" i="5"/>
  <c r="AC90" i="5"/>
  <c r="AB90" i="5"/>
  <c r="AA90" i="5"/>
  <c r="Z90" i="5"/>
  <c r="Y90" i="5"/>
  <c r="X90" i="5"/>
  <c r="W90" i="5"/>
  <c r="V90" i="5"/>
  <c r="AE90" i="5"/>
  <c r="H90" i="5"/>
  <c r="G90" i="5"/>
  <c r="F90" i="5"/>
  <c r="E90" i="5"/>
  <c r="C90" i="5"/>
  <c r="AD89" i="5"/>
  <c r="AC89" i="5"/>
  <c r="AB89" i="5"/>
  <c r="AA89" i="5"/>
  <c r="Z89" i="5"/>
  <c r="Y89" i="5"/>
  <c r="X89" i="5"/>
  <c r="W89" i="5"/>
  <c r="V89" i="5"/>
  <c r="C83" i="5"/>
  <c r="AE80" i="5"/>
  <c r="Q80" i="5"/>
  <c r="AE79" i="5"/>
  <c r="Q79" i="5"/>
  <c r="AE78" i="5"/>
  <c r="Q78" i="5"/>
  <c r="AD77" i="5"/>
  <c r="AC77" i="5"/>
  <c r="AB77" i="5"/>
  <c r="AA77" i="5"/>
  <c r="Z77" i="5"/>
  <c r="Y77" i="5"/>
  <c r="X77" i="5"/>
  <c r="W77" i="5"/>
  <c r="V77" i="5"/>
  <c r="AE77" i="5"/>
  <c r="H77" i="5"/>
  <c r="G77" i="5"/>
  <c r="F77" i="5"/>
  <c r="E77" i="5"/>
  <c r="C77" i="5"/>
  <c r="AE76" i="5"/>
  <c r="Q76" i="5"/>
  <c r="AE75" i="5"/>
  <c r="Q75" i="5"/>
  <c r="AE74" i="5"/>
  <c r="Q74" i="5"/>
  <c r="AE73" i="5"/>
  <c r="Q73" i="5"/>
  <c r="AD72" i="5"/>
  <c r="AC72" i="5"/>
  <c r="AB72" i="5"/>
  <c r="AA72" i="5"/>
  <c r="Z72" i="5"/>
  <c r="Y72" i="5"/>
  <c r="X72" i="5"/>
  <c r="W72" i="5"/>
  <c r="AE72" i="5" s="1"/>
  <c r="V72" i="5"/>
  <c r="H72" i="5"/>
  <c r="G72" i="5"/>
  <c r="F72" i="5"/>
  <c r="E72" i="5"/>
  <c r="C72" i="5"/>
  <c r="AE70" i="5"/>
  <c r="Q70" i="5"/>
  <c r="AE69" i="5"/>
  <c r="Q69" i="5"/>
  <c r="AE68" i="5"/>
  <c r="Q68" i="5"/>
  <c r="AD67" i="5"/>
  <c r="AC67" i="5"/>
  <c r="AB67" i="5"/>
  <c r="AA67" i="5"/>
  <c r="Z67" i="5"/>
  <c r="Y67" i="5"/>
  <c r="X67" i="5"/>
  <c r="W67" i="5"/>
  <c r="V67" i="5"/>
  <c r="AE67" i="5"/>
  <c r="H67" i="5"/>
  <c r="G67" i="5"/>
  <c r="F67" i="5"/>
  <c r="E67" i="5"/>
  <c r="C67" i="5"/>
  <c r="AE66" i="5"/>
  <c r="Q66" i="5"/>
  <c r="AE65" i="5"/>
  <c r="Q65" i="5"/>
  <c r="AE64" i="5"/>
  <c r="Q64" i="5"/>
  <c r="AE63" i="5"/>
  <c r="Q63" i="5"/>
  <c r="AD62" i="5"/>
  <c r="AC62" i="5"/>
  <c r="AB62" i="5"/>
  <c r="AA62" i="5"/>
  <c r="Z62" i="5"/>
  <c r="Y62" i="5"/>
  <c r="X62" i="5"/>
  <c r="W62" i="5"/>
  <c r="V62" i="5"/>
  <c r="AE62" i="5"/>
  <c r="H62" i="5"/>
  <c r="G62" i="5"/>
  <c r="F62" i="5"/>
  <c r="E62" i="5"/>
  <c r="C62" i="5"/>
  <c r="AE61" i="5"/>
  <c r="Q61" i="5"/>
  <c r="AE60" i="5"/>
  <c r="Q60" i="5"/>
  <c r="AE59" i="5"/>
  <c r="Q59" i="5"/>
  <c r="AE58" i="5"/>
  <c r="Q58" i="5"/>
  <c r="AD57" i="5"/>
  <c r="AC57" i="5"/>
  <c r="AB57" i="5"/>
  <c r="AA57" i="5"/>
  <c r="Z57" i="5"/>
  <c r="Y57" i="5"/>
  <c r="X57" i="5"/>
  <c r="W57" i="5"/>
  <c r="V57" i="5"/>
  <c r="AE57" i="5"/>
  <c r="H57" i="5"/>
  <c r="G57" i="5"/>
  <c r="F57" i="5"/>
  <c r="E57" i="5"/>
  <c r="C57" i="5"/>
  <c r="AD55" i="5"/>
  <c r="AC55" i="5"/>
  <c r="AB55" i="5"/>
  <c r="AB52" i="5" s="1"/>
  <c r="AA55" i="5"/>
  <c r="AA52" i="5" s="1"/>
  <c r="Z55" i="5"/>
  <c r="Z52" i="5" s="1"/>
  <c r="Y55" i="5"/>
  <c r="Y52" i="5" s="1"/>
  <c r="X55" i="5"/>
  <c r="X52" i="5" s="1"/>
  <c r="W55" i="5"/>
  <c r="W52" i="5" s="1"/>
  <c r="V55" i="5"/>
  <c r="V52" i="5" s="1"/>
  <c r="H55" i="5"/>
  <c r="H52" i="5" s="1"/>
  <c r="G55" i="5"/>
  <c r="G52" i="5" s="1"/>
  <c r="F55" i="5"/>
  <c r="F52" i="5" s="1"/>
  <c r="E55" i="5"/>
  <c r="AD54" i="5"/>
  <c r="AC54" i="5"/>
  <c r="AB54" i="5"/>
  <c r="AA54" i="5"/>
  <c r="Z54" i="5"/>
  <c r="Y54" i="5"/>
  <c r="X54" i="5"/>
  <c r="W54" i="5"/>
  <c r="V54" i="5"/>
  <c r="AE54" i="5"/>
  <c r="H54" i="5"/>
  <c r="G54" i="5"/>
  <c r="F54" i="5"/>
  <c r="E54" i="5"/>
  <c r="AD53" i="5"/>
  <c r="AC53" i="5"/>
  <c r="AB53" i="5"/>
  <c r="AA53" i="5"/>
  <c r="Z53" i="5"/>
  <c r="Y53" i="5"/>
  <c r="X53" i="5"/>
  <c r="W53" i="5"/>
  <c r="V53" i="5"/>
  <c r="AE53" i="5"/>
  <c r="H53" i="5"/>
  <c r="G53" i="5"/>
  <c r="F53" i="5"/>
  <c r="E53" i="5"/>
  <c r="AD52" i="5"/>
  <c r="AC52" i="5"/>
  <c r="C52" i="5"/>
  <c r="AD51" i="5"/>
  <c r="AC51" i="5"/>
  <c r="AB51" i="5"/>
  <c r="AA51" i="5"/>
  <c r="Z51" i="5"/>
  <c r="Y51" i="5"/>
  <c r="X51" i="5"/>
  <c r="W51" i="5"/>
  <c r="V51" i="5"/>
  <c r="AE49" i="5"/>
  <c r="Q49" i="5"/>
  <c r="AE48" i="5"/>
  <c r="Q48" i="5"/>
  <c r="AE47" i="5"/>
  <c r="Q47" i="5"/>
  <c r="AD46" i="5"/>
  <c r="AC46" i="5"/>
  <c r="AB46" i="5"/>
  <c r="AA46" i="5"/>
  <c r="Z46" i="5"/>
  <c r="Y46" i="5"/>
  <c r="X46" i="5"/>
  <c r="W46" i="5"/>
  <c r="V46" i="5"/>
  <c r="AE46" i="5"/>
  <c r="H46" i="5"/>
  <c r="G46" i="5"/>
  <c r="F46" i="5"/>
  <c r="E46" i="5"/>
  <c r="C46" i="5"/>
  <c r="AE45" i="5"/>
  <c r="Q45" i="5"/>
  <c r="AE44" i="5"/>
  <c r="Q44" i="5"/>
  <c r="AE43" i="5"/>
  <c r="Q43" i="5"/>
  <c r="AE42" i="5"/>
  <c r="Q42" i="5"/>
  <c r="AD41" i="5"/>
  <c r="AC41" i="5"/>
  <c r="AB41" i="5"/>
  <c r="AA41" i="5"/>
  <c r="Z41" i="5"/>
  <c r="Y41" i="5"/>
  <c r="X41" i="5"/>
  <c r="W41" i="5"/>
  <c r="V41" i="5"/>
  <c r="AE41" i="5"/>
  <c r="H41" i="5"/>
  <c r="G41" i="5"/>
  <c r="F41" i="5"/>
  <c r="E41" i="5"/>
  <c r="C41" i="5"/>
  <c r="AE39" i="5"/>
  <c r="Q39" i="5"/>
  <c r="AE38" i="5"/>
  <c r="Q38" i="5"/>
  <c r="AE37" i="5"/>
  <c r="Q37" i="5"/>
  <c r="AD36" i="5"/>
  <c r="AC36" i="5"/>
  <c r="AB36" i="5"/>
  <c r="AA36" i="5"/>
  <c r="Y36" i="5"/>
  <c r="X36" i="5"/>
  <c r="W36" i="5"/>
  <c r="V36" i="5"/>
  <c r="AE36" i="5"/>
  <c r="H36" i="5"/>
  <c r="G36" i="5"/>
  <c r="F36" i="5"/>
  <c r="E36" i="5"/>
  <c r="C36" i="5"/>
  <c r="AD34" i="5"/>
  <c r="AC34" i="5"/>
  <c r="AB34" i="5"/>
  <c r="AA34" i="5"/>
  <c r="Z34" i="5"/>
  <c r="Y34" i="5"/>
  <c r="X34" i="5"/>
  <c r="W34" i="5"/>
  <c r="V34" i="5"/>
  <c r="H34" i="5"/>
  <c r="G34" i="5"/>
  <c r="F34" i="5"/>
  <c r="E34" i="5"/>
  <c r="AD33" i="5"/>
  <c r="AC33" i="5"/>
  <c r="AB33" i="5"/>
  <c r="AA33" i="5"/>
  <c r="Z33" i="5"/>
  <c r="Y33" i="5"/>
  <c r="X33" i="5"/>
  <c r="W33" i="5"/>
  <c r="V33" i="5"/>
  <c r="H33" i="5"/>
  <c r="G33" i="5"/>
  <c r="F33" i="5"/>
  <c r="E33" i="5"/>
  <c r="AD32" i="5"/>
  <c r="AC32" i="5"/>
  <c r="AB32" i="5"/>
  <c r="AA32" i="5"/>
  <c r="Z32" i="5"/>
  <c r="Y32" i="5"/>
  <c r="X32" i="5"/>
  <c r="W32" i="5"/>
  <c r="V32" i="5"/>
  <c r="H32" i="5"/>
  <c r="G32" i="5"/>
  <c r="F32" i="5"/>
  <c r="E32" i="5"/>
  <c r="E31" i="5"/>
  <c r="C31" i="5"/>
  <c r="AD30" i="5"/>
  <c r="AC30" i="5"/>
  <c r="AB30" i="5"/>
  <c r="AA30" i="5"/>
  <c r="Z30" i="5"/>
  <c r="Y30" i="5"/>
  <c r="X30" i="5"/>
  <c r="W30" i="5"/>
  <c r="V30" i="5"/>
  <c r="AE28" i="5"/>
  <c r="Q28" i="5"/>
  <c r="AE27" i="5"/>
  <c r="Q27" i="5"/>
  <c r="AE26" i="5"/>
  <c r="Q26" i="5"/>
  <c r="AD25" i="5"/>
  <c r="AC25" i="5"/>
  <c r="AB25" i="5"/>
  <c r="AA25" i="5"/>
  <c r="Z25" i="5"/>
  <c r="Y25" i="5"/>
  <c r="X25" i="5"/>
  <c r="W25" i="5"/>
  <c r="V25" i="5"/>
  <c r="H25" i="5"/>
  <c r="G25" i="5"/>
  <c r="F25" i="5"/>
  <c r="E25" i="5"/>
  <c r="C25" i="5"/>
  <c r="AE24" i="5"/>
  <c r="Q24" i="5"/>
  <c r="AE23" i="5"/>
  <c r="Q23" i="5"/>
  <c r="AE22" i="5"/>
  <c r="Q22" i="5"/>
  <c r="AE21" i="5"/>
  <c r="Q21" i="5"/>
  <c r="AD20" i="5"/>
  <c r="AC20" i="5"/>
  <c r="AB20" i="5"/>
  <c r="AA20" i="5"/>
  <c r="Z20" i="5"/>
  <c r="Y20" i="5"/>
  <c r="X20" i="5"/>
  <c r="W20" i="5"/>
  <c r="V20" i="5"/>
  <c r="AE20" i="5"/>
  <c r="H20" i="5"/>
  <c r="G20" i="5"/>
  <c r="F20" i="5"/>
  <c r="E20" i="5"/>
  <c r="C20" i="5"/>
  <c r="AE18" i="5"/>
  <c r="Q18" i="5"/>
  <c r="AE17" i="5"/>
  <c r="Q17" i="5"/>
  <c r="AE16" i="5"/>
  <c r="Q16" i="5"/>
  <c r="AD15" i="5"/>
  <c r="AC15" i="5"/>
  <c r="AB15" i="5"/>
  <c r="AA15" i="5"/>
  <c r="Y15" i="5"/>
  <c r="X15" i="5"/>
  <c r="W15" i="5"/>
  <c r="V15" i="5"/>
  <c r="AE15" i="5"/>
  <c r="H15" i="5"/>
  <c r="G15" i="5"/>
  <c r="F15" i="5"/>
  <c r="E15" i="5"/>
  <c r="C15" i="5"/>
  <c r="AD13" i="5"/>
  <c r="AC13" i="5"/>
  <c r="AB13" i="5"/>
  <c r="AA13" i="5"/>
  <c r="Z13" i="5"/>
  <c r="Y13" i="5"/>
  <c r="X13" i="5"/>
  <c r="W13" i="5"/>
  <c r="V13" i="5"/>
  <c r="AE13" i="5"/>
  <c r="H13" i="5"/>
  <c r="G13" i="5"/>
  <c r="F13" i="5"/>
  <c r="E13" i="5"/>
  <c r="Q13" i="5" s="1"/>
  <c r="AD12" i="5"/>
  <c r="AC12" i="5"/>
  <c r="AB12" i="5"/>
  <c r="AA12" i="5"/>
  <c r="Z12" i="5"/>
  <c r="Y12" i="5"/>
  <c r="X12" i="5"/>
  <c r="W12" i="5"/>
  <c r="V12" i="5"/>
  <c r="AE12" i="5"/>
  <c r="H12" i="5"/>
  <c r="G12" i="5"/>
  <c r="F12" i="5"/>
  <c r="E12" i="5"/>
  <c r="Q12" i="5" s="1"/>
  <c r="AD11" i="5"/>
  <c r="AC11" i="5"/>
  <c r="AB11" i="5"/>
  <c r="AA11" i="5"/>
  <c r="Z11" i="5"/>
  <c r="Y11" i="5"/>
  <c r="X11" i="5"/>
  <c r="W11" i="5"/>
  <c r="V11" i="5"/>
  <c r="AE11" i="5"/>
  <c r="H11" i="5"/>
  <c r="G11" i="5"/>
  <c r="F11" i="5"/>
  <c r="E11" i="5"/>
  <c r="Q11" i="5" s="1"/>
  <c r="AD10" i="5"/>
  <c r="AC10" i="5"/>
  <c r="AB10" i="5"/>
  <c r="AA10" i="5"/>
  <c r="Z10" i="5"/>
  <c r="Y10" i="5"/>
  <c r="X10" i="5"/>
  <c r="W10" i="5"/>
  <c r="V10" i="5"/>
  <c r="Q10" i="5"/>
  <c r="C10" i="5"/>
  <c r="AD9" i="5"/>
  <c r="AC9" i="5"/>
  <c r="AB9" i="5"/>
  <c r="AA9" i="5"/>
  <c r="Z9" i="5"/>
  <c r="Y9" i="5"/>
  <c r="X9" i="5"/>
  <c r="W9" i="5"/>
  <c r="V9" i="5"/>
  <c r="AH7" i="5"/>
  <c r="F7" i="5"/>
  <c r="E6" i="5"/>
  <c r="E5" i="5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K83" i="5" l="1"/>
  <c r="K124" i="5"/>
  <c r="K121" i="5" s="1"/>
  <c r="K52" i="5"/>
  <c r="Q110" i="5"/>
  <c r="Q105" i="5"/>
  <c r="Q100" i="5"/>
  <c r="Q115" i="5"/>
  <c r="Q93" i="5"/>
  <c r="Q92" i="5"/>
  <c r="Q91" i="5"/>
  <c r="Q77" i="5"/>
  <c r="Q67" i="5"/>
  <c r="Q62" i="5"/>
  <c r="Q54" i="5"/>
  <c r="Q53" i="5"/>
  <c r="Q46" i="5"/>
  <c r="Q36" i="5"/>
  <c r="Q25" i="5"/>
  <c r="Q20" i="5"/>
  <c r="Q90" i="5"/>
  <c r="I86" i="5"/>
  <c r="Q15" i="5"/>
  <c r="Q41" i="5"/>
  <c r="AD82" i="5"/>
  <c r="AC82" i="5"/>
  <c r="AB82" i="5"/>
  <c r="AA82" i="5"/>
  <c r="Z82" i="5"/>
  <c r="Y82" i="5"/>
  <c r="X82" i="5"/>
  <c r="W82" i="5"/>
  <c r="V82" i="5"/>
  <c r="AE25" i="5"/>
  <c r="AE100" i="5"/>
  <c r="AE10" i="5"/>
  <c r="Q57" i="5"/>
  <c r="Q95" i="5"/>
  <c r="Q72" i="5"/>
  <c r="AD85" i="5"/>
  <c r="AD123" i="5" s="1"/>
  <c r="AC85" i="5"/>
  <c r="AC123" i="5" s="1"/>
  <c r="AB85" i="5"/>
  <c r="AB123" i="5" s="1"/>
  <c r="AA85" i="5"/>
  <c r="AA123" i="5" s="1"/>
  <c r="Z85" i="5"/>
  <c r="Z123" i="5" s="1"/>
  <c r="Y85" i="5"/>
  <c r="Y123" i="5" s="1"/>
  <c r="X85" i="5"/>
  <c r="X123" i="5" s="1"/>
  <c r="W85" i="5"/>
  <c r="W123" i="5" s="1"/>
  <c r="V85" i="5"/>
  <c r="V123" i="5" s="1"/>
  <c r="H85" i="5"/>
  <c r="H123" i="5" s="1"/>
  <c r="G85" i="5"/>
  <c r="G123" i="5" s="1"/>
  <c r="F85" i="5"/>
  <c r="F123" i="5" s="1"/>
  <c r="AD84" i="5"/>
  <c r="AD122" i="5" s="1"/>
  <c r="AC84" i="5"/>
  <c r="AC122" i="5" s="1"/>
  <c r="AB84" i="5"/>
  <c r="AB122" i="5" s="1"/>
  <c r="AA84" i="5"/>
  <c r="AA122" i="5" s="1"/>
  <c r="Z84" i="5"/>
  <c r="Z122" i="5" s="1"/>
  <c r="Y84" i="5"/>
  <c r="Y122" i="5" s="1"/>
  <c r="X84" i="5"/>
  <c r="X122" i="5" s="1"/>
  <c r="W84" i="5"/>
  <c r="W122" i="5" s="1"/>
  <c r="V84" i="5"/>
  <c r="V122" i="5" s="1"/>
  <c r="H84" i="5"/>
  <c r="H122" i="5" s="1"/>
  <c r="G84" i="5"/>
  <c r="G122" i="5" s="1"/>
  <c r="F84" i="5"/>
  <c r="F122" i="5" s="1"/>
  <c r="AE55" i="5"/>
  <c r="AE52" i="5"/>
  <c r="Q55" i="5"/>
  <c r="E52" i="5"/>
  <c r="Q52" i="5" s="1"/>
  <c r="AD86" i="5"/>
  <c r="AD31" i="5"/>
  <c r="AC86" i="5"/>
  <c r="AC31" i="5"/>
  <c r="AB86" i="5"/>
  <c r="AB31" i="5"/>
  <c r="AA86" i="5"/>
  <c r="AA31" i="5"/>
  <c r="Z86" i="5"/>
  <c r="Z31" i="5"/>
  <c r="Y86" i="5"/>
  <c r="Y31" i="5"/>
  <c r="X86" i="5"/>
  <c r="X31" i="5"/>
  <c r="W86" i="5"/>
  <c r="W31" i="5"/>
  <c r="V86" i="5"/>
  <c r="V31" i="5"/>
  <c r="AE31" i="5"/>
  <c r="H86" i="5"/>
  <c r="H31" i="5"/>
  <c r="G86" i="5"/>
  <c r="G31" i="5"/>
  <c r="F86" i="5"/>
  <c r="F31" i="5"/>
  <c r="Q31" i="5" s="1"/>
  <c r="AD124" i="5"/>
  <c r="AD121" i="5" s="1"/>
  <c r="AD83" i="5"/>
  <c r="AC124" i="5"/>
  <c r="AC121" i="5" s="1"/>
  <c r="AC83" i="5"/>
  <c r="AB124" i="5"/>
  <c r="AB121" i="5" s="1"/>
  <c r="AB83" i="5"/>
  <c r="AA124" i="5"/>
  <c r="AA121" i="5" s="1"/>
  <c r="AA83" i="5"/>
  <c r="Z124" i="5"/>
  <c r="Z121" i="5" s="1"/>
  <c r="Z83" i="5"/>
  <c r="Y124" i="5"/>
  <c r="Y121" i="5" s="1"/>
  <c r="Y83" i="5"/>
  <c r="X124" i="5"/>
  <c r="X121" i="5" s="1"/>
  <c r="X83" i="5"/>
  <c r="W124" i="5"/>
  <c r="W121" i="5" s="1"/>
  <c r="W83" i="5"/>
  <c r="V124" i="5"/>
  <c r="V121" i="5" s="1"/>
  <c r="V83" i="5"/>
  <c r="AE34" i="5"/>
  <c r="H124" i="5"/>
  <c r="H121" i="5" s="1"/>
  <c r="H83" i="5"/>
  <c r="G124" i="5"/>
  <c r="G121" i="5" s="1"/>
  <c r="G83" i="5"/>
  <c r="F124" i="5"/>
  <c r="F121" i="5" s="1"/>
  <c r="F83" i="5"/>
  <c r="E86" i="5"/>
  <c r="Q34" i="5"/>
  <c r="AE33" i="5"/>
  <c r="E85" i="5"/>
  <c r="Q33" i="5"/>
  <c r="AE32" i="5"/>
  <c r="E84" i="5"/>
  <c r="Q32" i="5"/>
  <c r="AD87" i="5"/>
  <c r="AD120" i="5"/>
  <c r="AD132" i="5" s="1"/>
  <c r="AD136" i="5" s="1"/>
  <c r="AC87" i="5"/>
  <c r="AC120" i="5"/>
  <c r="AC132" i="5" s="1"/>
  <c r="AC136" i="5" s="1"/>
  <c r="AB87" i="5"/>
  <c r="AB120" i="5"/>
  <c r="AB132" i="5" s="1"/>
  <c r="AB136" i="5" s="1"/>
  <c r="AA87" i="5"/>
  <c r="AA120" i="5"/>
  <c r="AA132" i="5" s="1"/>
  <c r="AA136" i="5" s="1"/>
  <c r="Z87" i="5"/>
  <c r="Z120" i="5"/>
  <c r="Z132" i="5" s="1"/>
  <c r="Z136" i="5" s="1"/>
  <c r="Y87" i="5"/>
  <c r="Y120" i="5"/>
  <c r="Y132" i="5" s="1"/>
  <c r="Y136" i="5" s="1"/>
  <c r="X87" i="5"/>
  <c r="X120" i="5"/>
  <c r="X132" i="5" s="1"/>
  <c r="X136" i="5" s="1"/>
  <c r="W87" i="5"/>
  <c r="W120" i="5"/>
  <c r="W132" i="5" s="1"/>
  <c r="W136" i="5" s="1"/>
  <c r="V87" i="5"/>
  <c r="V120" i="5"/>
  <c r="V132" i="5" s="1"/>
  <c r="V136" i="5" s="1"/>
  <c r="G7" i="5"/>
  <c r="F5" i="5"/>
  <c r="F6" i="5"/>
  <c r="M29" i="1"/>
  <c r="L29" i="1"/>
  <c r="K29" i="1"/>
  <c r="J29" i="1"/>
  <c r="I83" i="5" l="1"/>
  <c r="I124" i="5"/>
  <c r="I121" i="5" s="1"/>
  <c r="AE86" i="5"/>
  <c r="AE83" i="5"/>
  <c r="Q86" i="5"/>
  <c r="E124" i="5"/>
  <c r="E83" i="5"/>
  <c r="Q83" i="5" s="1"/>
  <c r="AE85" i="5"/>
  <c r="AE123" i="5"/>
  <c r="Q85" i="5"/>
  <c r="E123" i="5"/>
  <c r="Q123" i="5" s="1"/>
  <c r="AE84" i="5"/>
  <c r="AE122" i="5"/>
  <c r="Q84" i="5"/>
  <c r="E122" i="5"/>
  <c r="Q122" i="5" s="1"/>
  <c r="G5" i="5"/>
  <c r="G6" i="5"/>
  <c r="H7" i="5"/>
  <c r="I29" i="1"/>
  <c r="H29" i="1"/>
  <c r="G29" i="1"/>
  <c r="F29" i="1"/>
  <c r="E29" i="1"/>
  <c r="AE124" i="5" l="1"/>
  <c r="AE121" i="5"/>
  <c r="Q124" i="5"/>
  <c r="E121" i="5"/>
  <c r="Q121" i="5" s="1"/>
  <c r="H5" i="5"/>
  <c r="H6" i="5"/>
  <c r="I7" i="5"/>
  <c r="I5" i="5" l="1"/>
  <c r="I6" i="5"/>
  <c r="J7" i="5"/>
  <c r="K7" i="5" l="1"/>
  <c r="J6" i="5"/>
  <c r="J5" i="5"/>
  <c r="K5" i="5" l="1"/>
  <c r="K6" i="5"/>
  <c r="L7" i="5"/>
  <c r="L6" i="5" l="1"/>
  <c r="L5" i="5"/>
  <c r="M7" i="5"/>
  <c r="M5" i="5" l="1"/>
  <c r="M6" i="5"/>
  <c r="N7" i="5"/>
  <c r="N5" i="5" l="1"/>
  <c r="O7" i="5"/>
  <c r="N6" i="5"/>
  <c r="O6" i="5" l="1"/>
  <c r="P7" i="5"/>
  <c r="O5" i="5"/>
  <c r="S7" i="5" l="1"/>
  <c r="Q7" i="5"/>
  <c r="P5" i="5"/>
  <c r="P6" i="5"/>
  <c r="S5" i="5" l="1"/>
  <c r="S6" i="5"/>
  <c r="T7" i="5"/>
  <c r="T5" i="5" l="1"/>
  <c r="T6" i="5"/>
  <c r="U7" i="5"/>
  <c r="V7" i="5" l="1"/>
  <c r="U6" i="5"/>
  <c r="U5" i="5"/>
  <c r="V5" i="5" l="1"/>
  <c r="W7" i="5"/>
  <c r="V6" i="5"/>
  <c r="W5" i="5" l="1"/>
  <c r="W6" i="5"/>
  <c r="X7" i="5"/>
  <c r="X6" i="5" l="1"/>
  <c r="X5" i="5"/>
  <c r="Y7" i="5"/>
  <c r="Y5" i="5" l="1"/>
  <c r="Z7" i="5"/>
  <c r="Y6" i="5"/>
  <c r="Z5" i="5" l="1"/>
  <c r="Z6" i="5"/>
  <c r="AA7" i="5"/>
  <c r="AA6" i="5" l="1"/>
  <c r="AB7" i="5"/>
  <c r="AA5" i="5"/>
  <c r="AB6" i="5" l="1"/>
  <c r="AC7" i="5"/>
  <c r="AB5" i="5"/>
  <c r="AC5" i="5" l="1"/>
  <c r="AC6" i="5"/>
  <c r="AD7" i="5"/>
  <c r="AD6" i="5" l="1"/>
  <c r="AD5" i="5"/>
  <c r="AE7" i="5"/>
  <c r="AH25" i="5"/>
  <c r="AH72" i="5"/>
  <c r="AH81" i="5"/>
  <c r="AH10" i="5"/>
  <c r="AH102" i="5"/>
  <c r="AH31" i="5"/>
  <c r="AH15" i="5"/>
  <c r="AH97" i="5"/>
  <c r="AH112" i="5"/>
  <c r="AH121" i="5"/>
  <c r="AH54" i="5"/>
  <c r="AH84" i="5"/>
  <c r="AH123" i="5"/>
  <c r="AH98" i="5"/>
  <c r="AH101" i="5"/>
  <c r="AH27" i="5"/>
  <c r="AH125" i="5"/>
  <c r="AH118" i="5"/>
  <c r="AH73" i="5"/>
  <c r="AH93" i="5" l="1"/>
  <c r="AI91" i="5"/>
  <c r="AI81" i="5"/>
  <c r="AI24" i="5"/>
  <c r="AI22" i="5"/>
  <c r="AI135" i="5"/>
  <c r="AI49" i="5"/>
  <c r="AI31" i="5"/>
  <c r="AH20" i="5"/>
  <c r="AH75" i="5"/>
  <c r="AH111" i="5"/>
  <c r="AH79" i="5"/>
  <c r="AH12" i="5"/>
  <c r="AH22" i="5"/>
  <c r="AH90" i="5"/>
  <c r="AH38" i="5"/>
  <c r="AH39" i="5"/>
  <c r="AH13" i="5"/>
  <c r="AH59" i="5"/>
  <c r="AH116" i="5"/>
  <c r="AH29" i="5"/>
  <c r="AH100" i="5"/>
  <c r="AH63" i="5"/>
  <c r="AH105" i="5"/>
  <c r="AH77" i="5"/>
  <c r="AH85" i="5"/>
  <c r="AH113" i="5"/>
  <c r="AH80" i="5"/>
  <c r="AH34" i="5"/>
  <c r="AH61" i="5"/>
  <c r="AH33" i="5"/>
  <c r="AH42" i="5"/>
  <c r="AH78" i="5"/>
  <c r="AH108" i="5"/>
  <c r="AH49" i="5"/>
  <c r="AH60" i="5"/>
  <c r="AH110" i="5"/>
  <c r="AH69" i="5"/>
  <c r="AH68" i="5"/>
  <c r="AH70" i="5"/>
  <c r="AH53" i="5"/>
  <c r="AH86" i="5"/>
  <c r="AH43" i="5"/>
  <c r="AH83" i="5"/>
  <c r="AH45" i="5"/>
  <c r="AH122" i="5"/>
  <c r="AH74" i="5"/>
  <c r="AH47" i="5"/>
  <c r="AH95" i="5"/>
  <c r="AH135" i="5"/>
  <c r="AH124" i="5"/>
  <c r="AH48" i="5"/>
  <c r="AH32" i="5"/>
  <c r="AH24" i="5"/>
  <c r="AH26" i="5"/>
  <c r="AH16" i="5"/>
  <c r="AH55" i="5"/>
  <c r="AH41" i="5"/>
  <c r="AH115" i="5"/>
  <c r="AH66" i="5"/>
  <c r="AH58" i="5"/>
  <c r="AH28" i="5"/>
  <c r="AH57" i="5"/>
  <c r="AH103" i="5"/>
  <c r="AH11" i="5"/>
  <c r="AH117" i="5"/>
  <c r="AH107" i="5"/>
  <c r="AH106" i="5"/>
  <c r="AI18" i="5"/>
  <c r="AI17" i="5"/>
  <c r="AI98" i="5"/>
  <c r="AI111" i="5"/>
  <c r="AI102" i="5"/>
  <c r="AI44" i="5"/>
  <c r="AI38" i="5"/>
  <c r="AI36" i="5"/>
  <c r="AI121" i="5"/>
  <c r="AI80" i="5"/>
  <c r="AI65" i="5"/>
  <c r="AI52" i="5"/>
  <c r="AI54" i="5"/>
  <c r="AI72" i="5"/>
  <c r="AI85" i="5"/>
  <c r="AI110" i="5"/>
  <c r="AI77" i="5"/>
  <c r="AI57" i="5"/>
  <c r="AI43" i="5"/>
  <c r="AI118" i="5"/>
  <c r="AI67" i="5"/>
  <c r="AI45" i="5"/>
  <c r="AI122" i="5"/>
  <c r="AI93" i="5"/>
  <c r="AI96" i="5"/>
  <c r="AI42" i="5"/>
  <c r="AI11" i="5"/>
  <c r="AI107" i="5"/>
  <c r="AI60" i="5"/>
  <c r="AI64" i="5"/>
  <c r="AI26" i="5"/>
  <c r="AI21" i="5"/>
  <c r="AI68" i="5"/>
  <c r="AI90" i="5"/>
  <c r="AI133" i="5"/>
  <c r="AI69" i="5"/>
  <c r="AI20" i="5"/>
  <c r="AI25" i="5"/>
  <c r="AI12" i="5"/>
  <c r="AI48" i="5"/>
  <c r="AI105" i="5"/>
  <c r="AI115" i="5"/>
  <c r="AI15" i="5"/>
  <c r="AI27" i="5"/>
  <c r="AI83" i="5"/>
  <c r="AI106" i="5"/>
  <c r="AI123" i="5"/>
  <c r="AI63" i="5"/>
  <c r="AI124" i="5"/>
  <c r="AI108" i="5"/>
  <c r="AI73" i="5"/>
  <c r="AI62" i="5"/>
  <c r="AI95" i="5"/>
  <c r="AI10" i="5"/>
  <c r="AI33" i="5"/>
  <c r="AI78" i="5"/>
  <c r="AI23" i="5"/>
  <c r="AI103" i="5"/>
  <c r="AI92" i="5"/>
  <c r="AI76" i="5"/>
  <c r="AI97" i="5"/>
  <c r="AI13" i="5"/>
  <c r="AI32" i="5"/>
  <c r="AI75" i="5"/>
  <c r="AI29" i="5"/>
  <c r="AI79" i="5"/>
  <c r="AI61" i="5"/>
  <c r="AI112" i="5"/>
  <c r="AI116" i="5"/>
  <c r="AI46" i="5"/>
  <c r="AI84" i="5"/>
  <c r="AI41" i="5"/>
  <c r="AI74" i="5"/>
  <c r="AI53" i="5"/>
  <c r="AI58" i="5"/>
  <c r="AI16" i="5"/>
  <c r="AI117" i="5"/>
  <c r="AI59" i="5"/>
  <c r="AH96" i="5"/>
  <c r="AH44" i="5"/>
  <c r="AH23" i="5"/>
  <c r="AH67" i="5"/>
  <c r="AH65" i="5"/>
  <c r="AH17" i="5"/>
  <c r="AH76" i="5"/>
  <c r="AH62" i="5"/>
  <c r="AH52" i="5"/>
  <c r="AH37" i="5"/>
  <c r="AH133" i="5"/>
  <c r="AH18" i="5"/>
  <c r="AH36" i="5"/>
  <c r="AH92" i="5"/>
  <c r="AH21" i="5"/>
  <c r="AH91" i="5"/>
  <c r="AH46" i="5"/>
  <c r="AH64" i="5"/>
  <c r="AI37" i="5"/>
  <c r="AI125" i="5"/>
  <c r="AI34" i="5"/>
  <c r="AI66" i="5"/>
  <c r="AI86" i="5"/>
  <c r="AI113" i="5"/>
  <c r="AI101" i="5"/>
  <c r="AI100" i="5"/>
  <c r="AI70" i="5"/>
  <c r="AI39" i="5"/>
  <c r="AI55" i="5"/>
  <c r="AI28" i="5"/>
  <c r="AI47" i="5"/>
  <c r="T71" i="5" l="1"/>
  <c r="U71" i="5"/>
  <c r="S128" i="5" l="1"/>
  <c r="P4" i="4" s="1"/>
  <c r="R11" i="1"/>
  <c r="S71" i="5"/>
  <c r="T109" i="5"/>
  <c r="AE71" i="5" l="1"/>
  <c r="T130" i="5"/>
  <c r="T134" i="5"/>
  <c r="T129" i="5"/>
  <c r="Q6" i="4" s="1"/>
  <c r="S14" i="5"/>
  <c r="S19" i="5"/>
  <c r="T99" i="5"/>
  <c r="S127" i="5"/>
  <c r="P7" i="4" s="1"/>
  <c r="S129" i="5"/>
  <c r="P6" i="4" s="1"/>
  <c r="S56" i="5"/>
  <c r="S51" i="5" s="1"/>
  <c r="S109" i="5"/>
  <c r="T56" i="5"/>
  <c r="T51" i="5" s="1"/>
  <c r="S12" i="1" s="1"/>
  <c r="T14" i="5"/>
  <c r="U99" i="5"/>
  <c r="U127" i="5"/>
  <c r="U14" i="5"/>
  <c r="U19" i="5"/>
  <c r="U129" i="5"/>
  <c r="U56" i="5"/>
  <c r="U134" i="5"/>
  <c r="U130" i="5"/>
  <c r="U128" i="5"/>
  <c r="R4" i="4" s="1"/>
  <c r="T11" i="1"/>
  <c r="S11" i="1"/>
  <c r="T19" i="5"/>
  <c r="T127" i="5"/>
  <c r="T128" i="5"/>
  <c r="Q4" i="4" s="1"/>
  <c r="T104" i="5" l="1"/>
  <c r="T114" i="5"/>
  <c r="S99" i="5"/>
  <c r="AE99" i="5" s="1"/>
  <c r="S9" i="5"/>
  <c r="R8" i="1"/>
  <c r="S35" i="5"/>
  <c r="R10" i="1"/>
  <c r="S40" i="5"/>
  <c r="S8" i="1"/>
  <c r="T35" i="5"/>
  <c r="T9" i="5"/>
  <c r="S134" i="5"/>
  <c r="S130" i="5"/>
  <c r="U109" i="5"/>
  <c r="AE109" i="5" s="1"/>
  <c r="U126" i="5"/>
  <c r="R7" i="4"/>
  <c r="T8" i="1"/>
  <c r="U35" i="5"/>
  <c r="U9" i="5"/>
  <c r="T10" i="1"/>
  <c r="U40" i="5"/>
  <c r="U114" i="5"/>
  <c r="AE127" i="5"/>
  <c r="AE14" i="5"/>
  <c r="AE19" i="5"/>
  <c r="R6" i="4"/>
  <c r="AE129" i="5"/>
  <c r="U51" i="5"/>
  <c r="AE56" i="5"/>
  <c r="S10" i="1"/>
  <c r="T40" i="5"/>
  <c r="Q7" i="4"/>
  <c r="T126" i="5"/>
  <c r="R12" i="1"/>
  <c r="S30" i="5" l="1"/>
  <c r="R7" i="1"/>
  <c r="R13" i="1" s="1"/>
  <c r="R14" i="1" s="1"/>
  <c r="T94" i="5"/>
  <c r="T89" i="5" s="1"/>
  <c r="T88" i="5" s="1"/>
  <c r="S114" i="5"/>
  <c r="AE114" i="5" s="1"/>
  <c r="T30" i="5"/>
  <c r="T82" i="5" s="1"/>
  <c r="S7" i="1"/>
  <c r="S13" i="1" s="1"/>
  <c r="S14" i="1" s="1"/>
  <c r="P5" i="4"/>
  <c r="AE134" i="5"/>
  <c r="S126" i="5"/>
  <c r="AE130" i="5"/>
  <c r="T12" i="1"/>
  <c r="AE51" i="5"/>
  <c r="U94" i="5"/>
  <c r="U104" i="5"/>
  <c r="U30" i="5"/>
  <c r="T7" i="1"/>
  <c r="T13" i="1" s="1"/>
  <c r="T14" i="1" s="1"/>
  <c r="AE35" i="5"/>
  <c r="AE9" i="5"/>
  <c r="AH9" i="5"/>
  <c r="AI9" i="5"/>
  <c r="AE40" i="5"/>
  <c r="S82" i="5"/>
  <c r="T120" i="5" l="1"/>
  <c r="T87" i="5"/>
  <c r="S94" i="5"/>
  <c r="S104" i="5"/>
  <c r="AE104" i="5" s="1"/>
  <c r="AE126" i="5"/>
  <c r="AE94" i="5"/>
  <c r="U89" i="5"/>
  <c r="U82" i="5"/>
  <c r="AE30" i="5"/>
  <c r="S87" i="5"/>
  <c r="T132" i="5" l="1"/>
  <c r="T136" i="5" s="1"/>
  <c r="S15" i="1"/>
  <c r="Q3" i="4"/>
  <c r="S89" i="5"/>
  <c r="AE89" i="5" s="1"/>
  <c r="AE82" i="5"/>
  <c r="AE87" i="5" s="1"/>
  <c r="U88" i="5"/>
  <c r="U120" i="5"/>
  <c r="U87" i="5"/>
  <c r="S120" i="5" l="1"/>
  <c r="S88" i="5"/>
  <c r="AI88" i="5" s="1"/>
  <c r="U132" i="5"/>
  <c r="T15" i="1"/>
  <c r="R3" i="4"/>
  <c r="AE120" i="5" l="1"/>
  <c r="P3" i="4"/>
  <c r="R15" i="1"/>
  <c r="S132" i="5"/>
  <c r="U136" i="5"/>
  <c r="S136" i="5" l="1"/>
  <c r="AE136" i="5" s="1"/>
  <c r="AE132" i="5"/>
  <c r="E11" i="1" l="1"/>
  <c r="E128" i="5"/>
  <c r="C4" i="4" s="1"/>
  <c r="F109" i="5" l="1"/>
  <c r="F19" i="5"/>
  <c r="E71" i="5"/>
  <c r="E127" i="5"/>
  <c r="E19" i="5"/>
  <c r="E14" i="5"/>
  <c r="E129" i="5"/>
  <c r="F127" i="5"/>
  <c r="F129" i="5"/>
  <c r="D6" i="4" s="1"/>
  <c r="G11" i="1"/>
  <c r="F10" i="1" l="1"/>
  <c r="F40" i="5"/>
  <c r="E51" i="5"/>
  <c r="C7" i="4"/>
  <c r="E40" i="5"/>
  <c r="E10" i="1"/>
  <c r="E99" i="5"/>
  <c r="E9" i="5"/>
  <c r="E8" i="1"/>
  <c r="E7" i="1" s="1"/>
  <c r="E35" i="5"/>
  <c r="E109" i="5"/>
  <c r="C6" i="4"/>
  <c r="D7" i="4"/>
  <c r="F99" i="5"/>
  <c r="F71" i="5"/>
  <c r="F11" i="1"/>
  <c r="F14" i="5"/>
  <c r="E130" i="5"/>
  <c r="E126" i="5" s="1"/>
  <c r="E134" i="5"/>
  <c r="F94" i="5"/>
  <c r="F130" i="5"/>
  <c r="G71" i="5"/>
  <c r="G51" i="5" s="1"/>
  <c r="G12" i="1" s="1"/>
  <c r="F134" i="5"/>
  <c r="G14" i="5"/>
  <c r="F128" i="5"/>
  <c r="D4" i="4" s="1"/>
  <c r="G19" i="5"/>
  <c r="G129" i="5"/>
  <c r="H11" i="1"/>
  <c r="G128" i="5"/>
  <c r="E4" i="4" s="1"/>
  <c r="E50" i="5"/>
  <c r="U8" i="5"/>
  <c r="U119" i="5"/>
  <c r="S8" i="5"/>
  <c r="S119" i="5"/>
  <c r="T8" i="5"/>
  <c r="E8" i="5"/>
  <c r="F126" i="5" l="1"/>
  <c r="U131" i="5"/>
  <c r="E12" i="1"/>
  <c r="E13" i="1" s="1"/>
  <c r="E14" i="1" s="1"/>
  <c r="E30" i="5"/>
  <c r="F9" i="5"/>
  <c r="F8" i="5" s="1"/>
  <c r="F35" i="5"/>
  <c r="F8" i="1"/>
  <c r="F7" i="1" s="1"/>
  <c r="F114" i="5"/>
  <c r="F104" i="5"/>
  <c r="F89" i="5" s="1"/>
  <c r="F88" i="5" s="1"/>
  <c r="G8" i="1"/>
  <c r="G9" i="5"/>
  <c r="G8" i="5" s="1"/>
  <c r="G35" i="5"/>
  <c r="G109" i="5"/>
  <c r="G99" i="5"/>
  <c r="G10" i="1"/>
  <c r="G40" i="5"/>
  <c r="F51" i="5"/>
  <c r="E6" i="4"/>
  <c r="H19" i="5"/>
  <c r="H71" i="5"/>
  <c r="G127" i="5"/>
  <c r="G134" i="5"/>
  <c r="H14" i="5"/>
  <c r="H129" i="5"/>
  <c r="G130" i="5"/>
  <c r="H128" i="5"/>
  <c r="F4" i="4" s="1"/>
  <c r="I11" i="1"/>
  <c r="G50" i="5"/>
  <c r="S131" i="5"/>
  <c r="T119" i="5"/>
  <c r="J11" i="1" l="1"/>
  <c r="F12" i="1"/>
  <c r="F50" i="5"/>
  <c r="F13" i="1"/>
  <c r="F14" i="1" s="1"/>
  <c r="H127" i="5"/>
  <c r="E82" i="5"/>
  <c r="E94" i="5"/>
  <c r="E114" i="5"/>
  <c r="E104" i="5"/>
  <c r="H10" i="1"/>
  <c r="H40" i="5"/>
  <c r="E7" i="4"/>
  <c r="G126" i="5"/>
  <c r="H99" i="5"/>
  <c r="H109" i="5"/>
  <c r="F7" i="4"/>
  <c r="H9" i="5"/>
  <c r="H35" i="5"/>
  <c r="H30" i="5" s="1"/>
  <c r="H8" i="1"/>
  <c r="H7" i="1" s="1"/>
  <c r="G7" i="1"/>
  <c r="G13" i="1" s="1"/>
  <c r="G14" i="1" s="1"/>
  <c r="G30" i="5"/>
  <c r="F30" i="5"/>
  <c r="F82" i="5" s="1"/>
  <c r="H51" i="5"/>
  <c r="F6" i="4"/>
  <c r="I19" i="5"/>
  <c r="H130" i="5"/>
  <c r="H126" i="5" s="1"/>
  <c r="H94" i="5"/>
  <c r="I71" i="5"/>
  <c r="H134" i="5"/>
  <c r="I129" i="5"/>
  <c r="I127" i="5"/>
  <c r="H50" i="5"/>
  <c r="U137" i="5"/>
  <c r="S137" i="5"/>
  <c r="T131" i="5"/>
  <c r="H8" i="5"/>
  <c r="H82" i="5" l="1"/>
  <c r="E87" i="5"/>
  <c r="H87" i="5"/>
  <c r="F87" i="5"/>
  <c r="F120" i="5"/>
  <c r="H12" i="1"/>
  <c r="H13" i="1" s="1"/>
  <c r="H14" i="1" s="1"/>
  <c r="G94" i="5"/>
  <c r="G114" i="5"/>
  <c r="G104" i="5"/>
  <c r="I40" i="5"/>
  <c r="I10" i="1"/>
  <c r="I99" i="5"/>
  <c r="G7" i="4"/>
  <c r="I109" i="5"/>
  <c r="E89" i="5"/>
  <c r="G82" i="5"/>
  <c r="I51" i="5"/>
  <c r="I12" i="1" s="1"/>
  <c r="G6" i="4"/>
  <c r="I14" i="5"/>
  <c r="J19" i="5"/>
  <c r="J71" i="5"/>
  <c r="I130" i="5"/>
  <c r="J14" i="5"/>
  <c r="J129" i="5"/>
  <c r="I134" i="5"/>
  <c r="I128" i="5"/>
  <c r="G4" i="4" s="1"/>
  <c r="J128" i="5"/>
  <c r="H4" i="4" s="1"/>
  <c r="K11" i="1"/>
  <c r="T137" i="5"/>
  <c r="I126" i="5" l="1"/>
  <c r="F119" i="5"/>
  <c r="D3" i="4"/>
  <c r="F132" i="5"/>
  <c r="F15" i="1"/>
  <c r="G87" i="5"/>
  <c r="H114" i="5"/>
  <c r="H104" i="5"/>
  <c r="H89" i="5" s="1"/>
  <c r="I94" i="5"/>
  <c r="I35" i="5"/>
  <c r="I9" i="5"/>
  <c r="I8" i="1"/>
  <c r="I7" i="1" s="1"/>
  <c r="I13" i="1" s="1"/>
  <c r="I14" i="1" s="1"/>
  <c r="J40" i="5"/>
  <c r="J10" i="1"/>
  <c r="J8" i="1"/>
  <c r="J7" i="1" s="1"/>
  <c r="J9" i="5"/>
  <c r="J35" i="5"/>
  <c r="J30" i="5" s="1"/>
  <c r="J109" i="5"/>
  <c r="G89" i="5"/>
  <c r="E88" i="5"/>
  <c r="E120" i="5"/>
  <c r="J51" i="5"/>
  <c r="H6" i="4"/>
  <c r="K19" i="5"/>
  <c r="J130" i="5"/>
  <c r="K71" i="5"/>
  <c r="J127" i="5"/>
  <c r="J134" i="5"/>
  <c r="K14" i="5"/>
  <c r="K129" i="5"/>
  <c r="K127" i="5"/>
  <c r="L11" i="1"/>
  <c r="I50" i="5"/>
  <c r="J50" i="5"/>
  <c r="I8" i="5"/>
  <c r="J8" i="5"/>
  <c r="J82" i="5" l="1"/>
  <c r="G88" i="5"/>
  <c r="G120" i="5"/>
  <c r="F131" i="5"/>
  <c r="F136" i="5"/>
  <c r="F137" i="5" s="1"/>
  <c r="G119" i="5"/>
  <c r="G15" i="1"/>
  <c r="G132" i="5"/>
  <c r="E3" i="4"/>
  <c r="H88" i="5"/>
  <c r="H120" i="5"/>
  <c r="I30" i="5"/>
  <c r="J87" i="5"/>
  <c r="E15" i="1"/>
  <c r="C3" i="4"/>
  <c r="E132" i="5"/>
  <c r="E119" i="5"/>
  <c r="I114" i="5"/>
  <c r="I104" i="5"/>
  <c r="J12" i="1"/>
  <c r="J13" i="1" s="1"/>
  <c r="J14" i="1" s="1"/>
  <c r="J94" i="5"/>
  <c r="K40" i="5"/>
  <c r="K10" i="1"/>
  <c r="H7" i="4"/>
  <c r="J126" i="5"/>
  <c r="K35" i="5"/>
  <c r="K9" i="5"/>
  <c r="K8" i="1"/>
  <c r="K7" i="1" s="1"/>
  <c r="K99" i="5"/>
  <c r="K109" i="5"/>
  <c r="I7" i="4"/>
  <c r="K51" i="5"/>
  <c r="K12" i="1" s="1"/>
  <c r="I6" i="4"/>
  <c r="L129" i="5"/>
  <c r="L19" i="5"/>
  <c r="L71" i="5"/>
  <c r="K134" i="5"/>
  <c r="L14" i="5"/>
  <c r="K128" i="5"/>
  <c r="I4" i="4" s="1"/>
  <c r="K130" i="5"/>
  <c r="K126" i="5" s="1"/>
  <c r="M11" i="1"/>
  <c r="L128" i="5"/>
  <c r="J4" i="4" s="1"/>
  <c r="K50" i="5"/>
  <c r="K8" i="5"/>
  <c r="K13" i="1" l="1"/>
  <c r="K14" i="1" s="1"/>
  <c r="G131" i="5"/>
  <c r="G136" i="5"/>
  <c r="G137" i="5" s="1"/>
  <c r="H119" i="5"/>
  <c r="F3" i="4"/>
  <c r="H132" i="5"/>
  <c r="H15" i="1"/>
  <c r="I82" i="5"/>
  <c r="E131" i="5"/>
  <c r="E136" i="5"/>
  <c r="E137" i="5" s="1"/>
  <c r="I89" i="5"/>
  <c r="I88" i="5" s="1"/>
  <c r="J99" i="5"/>
  <c r="J104" i="5"/>
  <c r="J114" i="5"/>
  <c r="L40" i="5"/>
  <c r="L10" i="1"/>
  <c r="L99" i="5"/>
  <c r="L35" i="5"/>
  <c r="L30" i="5" s="1"/>
  <c r="L9" i="5"/>
  <c r="L8" i="1"/>
  <c r="L7" i="1" s="1"/>
  <c r="L109" i="5"/>
  <c r="K30" i="5"/>
  <c r="K82" i="5" s="1"/>
  <c r="J6" i="4"/>
  <c r="L51" i="5"/>
  <c r="L127" i="5"/>
  <c r="M19" i="5"/>
  <c r="L130" i="5"/>
  <c r="M71" i="5"/>
  <c r="L134" i="5"/>
  <c r="M129" i="5"/>
  <c r="M14" i="5"/>
  <c r="M128" i="5"/>
  <c r="K4" i="4" s="1"/>
  <c r="N11" i="1"/>
  <c r="L50" i="5"/>
  <c r="L8" i="5"/>
  <c r="H131" i="5" l="1"/>
  <c r="H136" i="5"/>
  <c r="H137" i="5" s="1"/>
  <c r="I120" i="5"/>
  <c r="I87" i="5"/>
  <c r="J89" i="5"/>
  <c r="K104" i="5"/>
  <c r="K87" i="5"/>
  <c r="K114" i="5"/>
  <c r="L12" i="1"/>
  <c r="L13" i="1" s="1"/>
  <c r="L14" i="1" s="1"/>
  <c r="J7" i="4"/>
  <c r="L126" i="5"/>
  <c r="M10" i="1"/>
  <c r="M40" i="5"/>
  <c r="M109" i="5"/>
  <c r="M35" i="5"/>
  <c r="M9" i="5"/>
  <c r="M8" i="1"/>
  <c r="M7" i="1" s="1"/>
  <c r="L82" i="5"/>
  <c r="M51" i="5"/>
  <c r="M12" i="1" s="1"/>
  <c r="K6" i="4"/>
  <c r="M134" i="5"/>
  <c r="N71" i="5"/>
  <c r="M127" i="5"/>
  <c r="N19" i="5"/>
  <c r="M94" i="5"/>
  <c r="N56" i="5"/>
  <c r="N14" i="5"/>
  <c r="N129" i="5"/>
  <c r="M130" i="5"/>
  <c r="N128" i="5"/>
  <c r="L4" i="4" s="1"/>
  <c r="O11" i="1"/>
  <c r="M50" i="5"/>
  <c r="M8" i="5"/>
  <c r="M13" i="1" l="1"/>
  <c r="M14" i="1" s="1"/>
  <c r="I119" i="5"/>
  <c r="I132" i="5"/>
  <c r="I15" i="1"/>
  <c r="G3" i="4"/>
  <c r="J120" i="5"/>
  <c r="J88" i="5"/>
  <c r="M30" i="5"/>
  <c r="L87" i="5"/>
  <c r="L104" i="5"/>
  <c r="L114" i="5"/>
  <c r="K7" i="4"/>
  <c r="M126" i="5"/>
  <c r="N10" i="1"/>
  <c r="N40" i="5"/>
  <c r="N99" i="5"/>
  <c r="N51" i="5"/>
  <c r="N50" i="5" s="1"/>
  <c r="N109" i="5"/>
  <c r="N9" i="5"/>
  <c r="N8" i="5" s="1"/>
  <c r="N35" i="5"/>
  <c r="N8" i="1"/>
  <c r="N7" i="1" s="1"/>
  <c r="L6" i="4"/>
  <c r="N130" i="5"/>
  <c r="N94" i="5"/>
  <c r="O71" i="5"/>
  <c r="O14" i="5"/>
  <c r="N127" i="5"/>
  <c r="N134" i="5"/>
  <c r="O19" i="5"/>
  <c r="O56" i="5"/>
  <c r="O129" i="5"/>
  <c r="O128" i="5"/>
  <c r="M4" i="4" s="1"/>
  <c r="I131" i="5" l="1"/>
  <c r="I136" i="5"/>
  <c r="I137" i="5" s="1"/>
  <c r="J119" i="5"/>
  <c r="H3" i="4"/>
  <c r="J132" i="5"/>
  <c r="J15" i="1"/>
  <c r="M82" i="5"/>
  <c r="N12" i="1"/>
  <c r="N13" i="1" s="1"/>
  <c r="N14" i="1" s="1"/>
  <c r="M104" i="5"/>
  <c r="M114" i="5"/>
  <c r="O99" i="5"/>
  <c r="O35" i="5"/>
  <c r="O8" i="1"/>
  <c r="O9" i="5"/>
  <c r="O8" i="5" s="1"/>
  <c r="O109" i="5"/>
  <c r="L7" i="4"/>
  <c r="N126" i="5"/>
  <c r="O40" i="5"/>
  <c r="O10" i="1"/>
  <c r="N30" i="5"/>
  <c r="N82" i="5" s="1"/>
  <c r="O51" i="5"/>
  <c r="M6" i="4"/>
  <c r="O134" i="5"/>
  <c r="O127" i="5"/>
  <c r="M7" i="4" s="1"/>
  <c r="O130" i="5"/>
  <c r="O12" i="1" l="1"/>
  <c r="O50" i="5"/>
  <c r="J131" i="5"/>
  <c r="J136" i="5"/>
  <c r="J137" i="5" s="1"/>
  <c r="M87" i="5"/>
  <c r="N87" i="5"/>
  <c r="N114" i="5"/>
  <c r="N104" i="5"/>
  <c r="N89" i="5" s="1"/>
  <c r="O114" i="5"/>
  <c r="O104" i="5"/>
  <c r="O94" i="5"/>
  <c r="O89" i="5" s="1"/>
  <c r="O88" i="5" s="1"/>
  <c r="O30" i="5"/>
  <c r="O7" i="1"/>
  <c r="O126" i="5"/>
  <c r="O13" i="1" l="1"/>
  <c r="O14" i="1" s="1"/>
  <c r="AH50" i="5"/>
  <c r="AI50" i="5"/>
  <c r="O82" i="5"/>
  <c r="N88" i="5"/>
  <c r="N120" i="5"/>
  <c r="O87" i="5" l="1"/>
  <c r="O120" i="5"/>
  <c r="N132" i="5"/>
  <c r="L3" i="4"/>
  <c r="N15" i="1"/>
  <c r="N119" i="5"/>
  <c r="O119" i="5" l="1"/>
  <c r="O132" i="5"/>
  <c r="O15" i="1"/>
  <c r="M3" i="4"/>
  <c r="N131" i="5"/>
  <c r="N136" i="5"/>
  <c r="N137" i="5" s="1"/>
  <c r="O131" i="5" l="1"/>
  <c r="O136" i="5"/>
  <c r="O137" i="5" s="1"/>
  <c r="E28" i="6" l="1"/>
  <c r="G28" i="6" l="1"/>
  <c r="C20" i="4" s="1"/>
  <c r="G27" i="6"/>
  <c r="E27" i="6"/>
  <c r="H28" i="6" l="1"/>
  <c r="D20" i="4" s="1"/>
  <c r="H27" i="6"/>
  <c r="I28" i="6" l="1"/>
  <c r="E20" i="4" s="1"/>
  <c r="I27" i="6"/>
  <c r="J28" i="6" l="1"/>
  <c r="F20" i="4" s="1"/>
  <c r="E11" i="6"/>
  <c r="E10" i="6"/>
  <c r="E12" i="6"/>
  <c r="J27" i="6"/>
  <c r="G12" i="6" l="1"/>
  <c r="G11" i="6"/>
  <c r="E18" i="6"/>
  <c r="K28" i="6"/>
  <c r="G20" i="4" s="1"/>
  <c r="G10" i="6"/>
  <c r="K27" i="6"/>
  <c r="H10" i="6" l="1"/>
  <c r="E22" i="6"/>
  <c r="E19" i="6"/>
  <c r="E16" i="6" s="1"/>
  <c r="G22" i="6"/>
  <c r="C17" i="4" s="1"/>
  <c r="H22" i="6"/>
  <c r="H11" i="6"/>
  <c r="L27" i="6"/>
  <c r="D17" i="4" l="1"/>
  <c r="I10" i="6"/>
  <c r="I11" i="6"/>
  <c r="G18" i="6"/>
  <c r="G23" i="6"/>
  <c r="J10" i="6" l="1"/>
  <c r="J11" i="6"/>
  <c r="H18" i="6"/>
  <c r="I22" i="6"/>
  <c r="E17" i="4" s="1"/>
  <c r="G19" i="6"/>
  <c r="G16" i="6" s="1"/>
  <c r="G15" i="6" s="1"/>
  <c r="K11" i="6" l="1"/>
  <c r="I18" i="6"/>
  <c r="K10" i="6"/>
  <c r="J22" i="6"/>
  <c r="F17" i="4" s="1"/>
  <c r="H19" i="6"/>
  <c r="H16" i="6" s="1"/>
  <c r="I19" i="6"/>
  <c r="M28" i="6" l="1"/>
  <c r="I20" i="4" s="1"/>
  <c r="I16" i="6"/>
  <c r="L11" i="6"/>
  <c r="L10" i="6"/>
  <c r="L28" i="6"/>
  <c r="H20" i="4" s="1"/>
  <c r="J18" i="6"/>
  <c r="K22" i="6"/>
  <c r="G17" i="4" s="1"/>
  <c r="J19" i="6"/>
  <c r="J16" i="6" l="1"/>
  <c r="M11" i="6"/>
  <c r="M10" i="6"/>
  <c r="K18" i="6"/>
  <c r="L22" i="6"/>
  <c r="H17" i="4" s="1"/>
  <c r="K19" i="6"/>
  <c r="N28" i="6"/>
  <c r="J20" i="4" s="1"/>
  <c r="K16" i="6" l="1"/>
  <c r="N10" i="6"/>
  <c r="N11" i="6"/>
  <c r="L18" i="6"/>
  <c r="L19" i="6"/>
  <c r="M22" i="6"/>
  <c r="I17" i="4" s="1"/>
  <c r="O28" i="6"/>
  <c r="K20" i="4" s="1"/>
  <c r="P28" i="6" l="1"/>
  <c r="L20" i="4" s="1"/>
  <c r="L16" i="6"/>
  <c r="O11" i="6"/>
  <c r="M18" i="6"/>
  <c r="O10" i="6"/>
  <c r="N22" i="6"/>
  <c r="J17" i="4" s="1"/>
  <c r="M19" i="6"/>
  <c r="Q28" i="6" l="1"/>
  <c r="M20" i="4" s="1"/>
  <c r="M16" i="6"/>
  <c r="P10" i="6"/>
  <c r="P11" i="6"/>
  <c r="N18" i="6"/>
  <c r="N19" i="6"/>
  <c r="O22" i="6"/>
  <c r="K17" i="4" s="1"/>
  <c r="N16" i="6" l="1"/>
  <c r="Q11" i="6"/>
  <c r="Q10" i="6"/>
  <c r="O18" i="6"/>
  <c r="O19" i="6"/>
  <c r="P22" i="6"/>
  <c r="L17" i="4" s="1"/>
  <c r="P19" i="6"/>
  <c r="O16" i="6" l="1"/>
  <c r="P18" i="6"/>
  <c r="P16" i="6" s="1"/>
  <c r="Q22" i="6"/>
  <c r="M17" i="4" s="1"/>
  <c r="Q19" i="6"/>
  <c r="T28" i="6" l="1"/>
  <c r="Q18" i="6"/>
  <c r="Q16" i="6" s="1"/>
  <c r="U28" i="6" l="1"/>
  <c r="Q20" i="4" s="1"/>
  <c r="T10" i="6"/>
  <c r="T22" i="6"/>
  <c r="T11" i="6"/>
  <c r="V28" i="6" l="1"/>
  <c r="R20" i="4" s="1"/>
  <c r="U11" i="6"/>
  <c r="U22" i="6"/>
  <c r="Q17" i="4" s="1"/>
  <c r="U10" i="6"/>
  <c r="T18" i="6" l="1"/>
  <c r="V10" i="6"/>
  <c r="V11" i="6"/>
  <c r="V22" i="6"/>
  <c r="R17" i="4" s="1"/>
  <c r="U18" i="6" l="1"/>
  <c r="V18" i="6"/>
  <c r="V19" i="6" l="1"/>
  <c r="V16" i="6" s="1"/>
  <c r="G13" i="6" l="1"/>
  <c r="H13" i="6" l="1"/>
  <c r="I13" i="6" l="1"/>
  <c r="J13" i="6"/>
  <c r="K13" i="6" l="1"/>
  <c r="H12" i="6" l="1"/>
  <c r="D8" i="4" s="1"/>
  <c r="D10" i="4" s="1"/>
  <c r="I12" i="6" l="1"/>
  <c r="E8" i="4" s="1"/>
  <c r="E10" i="4" s="1"/>
  <c r="J12" i="6" l="1"/>
  <c r="F8" i="4" s="1"/>
  <c r="F10" i="4" s="1"/>
  <c r="K12" i="6" l="1"/>
  <c r="G8" i="4" s="1"/>
  <c r="G10" i="4" s="1"/>
  <c r="L12" i="6" l="1"/>
  <c r="M12" i="6"/>
  <c r="N12" i="6" l="1"/>
  <c r="O12" i="6" l="1"/>
  <c r="P12" i="6" l="1"/>
  <c r="Q12" i="6" l="1"/>
  <c r="T12" i="6" l="1"/>
  <c r="V12" i="6" l="1"/>
  <c r="U12" i="6" l="1"/>
  <c r="K94" i="5" l="1"/>
  <c r="K89" i="5" s="1"/>
  <c r="K120" i="5" l="1"/>
  <c r="K88" i="5"/>
  <c r="K15" i="1"/>
  <c r="K132" i="5" l="1"/>
  <c r="K136" i="5" s="1"/>
  <c r="I3" i="4"/>
  <c r="K119" i="5"/>
  <c r="K131" i="5" l="1"/>
  <c r="K137" i="5" l="1"/>
  <c r="M27" i="6" l="1"/>
  <c r="L94" i="5" l="1"/>
  <c r="L89" i="5" s="1"/>
  <c r="L120" i="5" l="1"/>
  <c r="L88" i="5"/>
  <c r="J3" i="4" l="1"/>
  <c r="L132" i="5"/>
  <c r="L136" i="5" s="1"/>
  <c r="L15" i="1"/>
  <c r="L119" i="5"/>
  <c r="L131" i="5" l="1"/>
  <c r="L137" i="5" l="1"/>
  <c r="N27" i="6" l="1"/>
  <c r="H23" i="6" l="1"/>
  <c r="H15" i="6" s="1"/>
  <c r="I23" i="6" l="1"/>
  <c r="I15" i="6" s="1"/>
  <c r="J23" i="6" l="1"/>
  <c r="J15" i="6" s="1"/>
  <c r="K23" i="6" l="1"/>
  <c r="K15" i="6" s="1"/>
  <c r="E23" i="6" l="1"/>
  <c r="E15" i="6" s="1"/>
  <c r="E14" i="6" s="1"/>
  <c r="E13" i="6" l="1"/>
  <c r="C8" i="4" s="1"/>
  <c r="C10" i="4" s="1"/>
  <c r="G14" i="6" l="1"/>
  <c r="H14" i="6" l="1"/>
  <c r="I14" i="6" l="1"/>
  <c r="J14" i="6" l="1"/>
  <c r="K14" i="6" l="1"/>
  <c r="E5" i="6" l="1"/>
  <c r="G5" i="6" l="1"/>
  <c r="C12" i="4" l="1"/>
  <c r="C15" i="4" s="1"/>
  <c r="H5" i="6"/>
  <c r="D12" i="4" l="1"/>
  <c r="D15" i="4" s="1"/>
  <c r="I5" i="6"/>
  <c r="E12" i="4" l="1"/>
  <c r="E15" i="4" s="1"/>
  <c r="J5" i="6"/>
  <c r="F12" i="4" l="1"/>
  <c r="F15" i="4" s="1"/>
  <c r="K5" i="6"/>
  <c r="G12" i="4" l="1"/>
  <c r="G15" i="4" s="1"/>
  <c r="L5" i="6"/>
  <c r="H12" i="4" l="1"/>
  <c r="H15" i="4" s="1"/>
  <c r="M5" i="6"/>
  <c r="I12" i="4" l="1"/>
  <c r="I15" i="4" s="1"/>
  <c r="N5" i="6"/>
  <c r="J12" i="4" l="1"/>
  <c r="J15" i="4" s="1"/>
  <c r="O5" i="6"/>
  <c r="K12" i="4" l="1"/>
  <c r="K15" i="4" s="1"/>
  <c r="P5" i="6"/>
  <c r="L12" i="4" l="1"/>
  <c r="L15" i="4" s="1"/>
  <c r="Q5" i="6"/>
  <c r="M12" i="4" l="1"/>
  <c r="M15" i="4" s="1"/>
  <c r="M99" i="5" l="1"/>
  <c r="M89" i="5" l="1"/>
  <c r="M88" i="5" l="1"/>
  <c r="M120" i="5"/>
  <c r="M119" i="5" l="1"/>
  <c r="K3" i="4"/>
  <c r="M132" i="5"/>
  <c r="M15" i="1"/>
  <c r="M131" i="5" l="1"/>
  <c r="M136" i="5"/>
  <c r="M137" i="5" s="1"/>
  <c r="O27" i="6"/>
  <c r="P27" i="6" l="1"/>
  <c r="Q27" i="6" l="1"/>
  <c r="L23" i="6" l="1"/>
  <c r="L15" i="6" s="1"/>
  <c r="L14" i="6" l="1"/>
  <c r="M23" i="6"/>
  <c r="M15" i="6" s="1"/>
  <c r="M14" i="6" l="1"/>
  <c r="N23" i="6"/>
  <c r="N15" i="6" s="1"/>
  <c r="N14" i="6" l="1"/>
  <c r="O23" i="6"/>
  <c r="O15" i="6" s="1"/>
  <c r="O14" i="6" l="1"/>
  <c r="P23" i="6"/>
  <c r="P15" i="6" s="1"/>
  <c r="P14" i="6" l="1"/>
  <c r="Q23" i="6"/>
  <c r="Q15" i="6" s="1"/>
  <c r="Q14" i="6" l="1"/>
  <c r="T23" i="6" l="1"/>
  <c r="L13" i="6" l="1"/>
  <c r="U23" i="6"/>
  <c r="H8" i="4" l="1"/>
  <c r="H10" i="4" s="1"/>
  <c r="M13" i="6"/>
  <c r="V23" i="6"/>
  <c r="V15" i="6" s="1"/>
  <c r="V14" i="6" s="1"/>
  <c r="I8" i="4" l="1"/>
  <c r="I10" i="4" s="1"/>
  <c r="O13" i="6"/>
  <c r="N13" i="6"/>
  <c r="K8" i="4" l="1"/>
  <c r="K10" i="4" s="1"/>
  <c r="J8" i="4"/>
  <c r="J10" i="4" s="1"/>
  <c r="P13" i="6" l="1"/>
  <c r="L8" i="4" l="1"/>
  <c r="L10" i="4" s="1"/>
  <c r="Q13" i="6"/>
  <c r="M8" i="4" l="1"/>
  <c r="M10" i="4" s="1"/>
  <c r="T13" i="6" l="1"/>
  <c r="P128" i="5" l="1"/>
  <c r="N4" i="4" s="1"/>
  <c r="P11" i="1"/>
  <c r="U13" i="6"/>
  <c r="V13" i="6"/>
  <c r="R11" i="6" l="1"/>
  <c r="P14" i="5"/>
  <c r="P129" i="5"/>
  <c r="P19" i="5"/>
  <c r="R28" i="6" l="1"/>
  <c r="R18" i="6"/>
  <c r="Q14" i="5"/>
  <c r="P8" i="1"/>
  <c r="P35" i="5"/>
  <c r="P9" i="5"/>
  <c r="Q9" i="5" s="1"/>
  <c r="Q129" i="5"/>
  <c r="AH129" i="5" s="1"/>
  <c r="AI129" i="5"/>
  <c r="N6" i="4"/>
  <c r="Q19" i="5"/>
  <c r="AH19" i="5"/>
  <c r="AI19" i="5"/>
  <c r="P40" i="5"/>
  <c r="P10" i="1"/>
  <c r="R12" i="6"/>
  <c r="R22" i="6"/>
  <c r="R23" i="6"/>
  <c r="P71" i="5"/>
  <c r="P56" i="5"/>
  <c r="P127" i="5"/>
  <c r="R10" i="6"/>
  <c r="P20" i="4"/>
  <c r="N20" i="4"/>
  <c r="R19" i="6"/>
  <c r="R16" i="6" s="1"/>
  <c r="Q35" i="5" l="1"/>
  <c r="AI35" i="5"/>
  <c r="AH35" i="5"/>
  <c r="P30" i="5"/>
  <c r="Q40" i="5"/>
  <c r="AI40" i="5" s="1"/>
  <c r="AH40" i="5"/>
  <c r="P17" i="4"/>
  <c r="N17" i="4"/>
  <c r="P99" i="5"/>
  <c r="Q71" i="5"/>
  <c r="R13" i="6"/>
  <c r="N8" i="4" s="1"/>
  <c r="Q56" i="5"/>
  <c r="AH56" i="5" s="1"/>
  <c r="AI56" i="5"/>
  <c r="P51" i="5"/>
  <c r="P109" i="5"/>
  <c r="N7" i="4"/>
  <c r="Q127" i="5"/>
  <c r="AI127" i="5" s="1"/>
  <c r="AH127" i="5"/>
  <c r="P7" i="1"/>
  <c r="AH14" i="5"/>
  <c r="AI14" i="5"/>
  <c r="P134" i="5"/>
  <c r="R15" i="6"/>
  <c r="R14" i="6" s="1"/>
  <c r="P130" i="5"/>
  <c r="P8" i="5"/>
  <c r="T19" i="6"/>
  <c r="T16" i="6" s="1"/>
  <c r="R5" i="6" l="1"/>
  <c r="N12" i="4" s="1"/>
  <c r="N15" i="4" s="1"/>
  <c r="Q30" i="5"/>
  <c r="AH30" i="5"/>
  <c r="AI30" i="5"/>
  <c r="P82" i="5"/>
  <c r="Q99" i="5"/>
  <c r="Q51" i="5"/>
  <c r="AH51" i="5"/>
  <c r="AI51" i="5"/>
  <c r="P12" i="1"/>
  <c r="P13" i="1" s="1"/>
  <c r="P14" i="1" s="1"/>
  <c r="Q109" i="5"/>
  <c r="Q134" i="5"/>
  <c r="AH134" i="5"/>
  <c r="AI134" i="5"/>
  <c r="N5" i="4"/>
  <c r="AI71" i="5"/>
  <c r="AH71" i="5"/>
  <c r="Q130" i="5"/>
  <c r="AI130" i="5"/>
  <c r="AH130" i="5"/>
  <c r="P126" i="5"/>
  <c r="P94" i="5"/>
  <c r="U19" i="6"/>
  <c r="U16" i="6" s="1"/>
  <c r="P8" i="4"/>
  <c r="P10" i="4" s="1"/>
  <c r="T15" i="6"/>
  <c r="T14" i="6" s="1"/>
  <c r="AH99" i="5" l="1"/>
  <c r="AI99" i="5"/>
  <c r="Q82" i="5"/>
  <c r="P87" i="5"/>
  <c r="P114" i="5"/>
  <c r="P104" i="5"/>
  <c r="P89" i="5" s="1"/>
  <c r="AH109" i="5"/>
  <c r="AI109" i="5"/>
  <c r="Q126" i="5"/>
  <c r="Q94" i="5"/>
  <c r="T5" i="6"/>
  <c r="P12" i="4" s="1"/>
  <c r="P15" i="4" s="1"/>
  <c r="U5" i="6"/>
  <c r="R8" i="4"/>
  <c r="R10" i="4" s="1"/>
  <c r="U15" i="6"/>
  <c r="Q8" i="4"/>
  <c r="Q10" i="4" s="1"/>
  <c r="U14" i="6"/>
  <c r="Q114" i="5" l="1"/>
  <c r="AI114" i="5" s="1"/>
  <c r="AH114" i="5"/>
  <c r="Q104" i="5"/>
  <c r="AH104" i="5"/>
  <c r="AI104" i="5"/>
  <c r="Q87" i="5"/>
  <c r="AI82" i="5"/>
  <c r="AI87" i="5" s="1"/>
  <c r="AH82" i="5"/>
  <c r="AH87" i="5" s="1"/>
  <c r="AI126" i="5"/>
  <c r="AH126" i="5"/>
  <c r="AH94" i="5"/>
  <c r="AI94" i="5"/>
  <c r="P88" i="5"/>
  <c r="Q89" i="5"/>
  <c r="P120" i="5"/>
  <c r="Q12" i="4"/>
  <c r="Q15" i="4" s="1"/>
  <c r="AI89" i="5" l="1"/>
  <c r="AH89" i="5"/>
  <c r="P119" i="5"/>
  <c r="P132" i="5"/>
  <c r="P15" i="1"/>
  <c r="Q120" i="5"/>
  <c r="N3" i="4"/>
  <c r="N10" i="4" s="1"/>
  <c r="V5" i="6"/>
  <c r="P131" i="5" l="1"/>
  <c r="Q132" i="5"/>
  <c r="AH132" i="5" s="1"/>
  <c r="AI132" i="5"/>
  <c r="P136" i="5"/>
  <c r="AI120" i="5"/>
  <c r="AH120" i="5"/>
  <c r="R12" i="4"/>
  <c r="R15" i="4" s="1"/>
  <c r="R27" i="6"/>
  <c r="AI131" i="5" l="1"/>
  <c r="AH131" i="5"/>
  <c r="P137" i="5"/>
  <c r="Q136" i="5"/>
  <c r="T27" i="6"/>
  <c r="AH136" i="5" l="1"/>
  <c r="AI136" i="5"/>
  <c r="U27" i="6"/>
  <c r="V27" i="6" l="1"/>
  <c r="E6" i="6" l="1"/>
  <c r="E4" i="6" l="1"/>
  <c r="C26" i="4"/>
  <c r="E26" i="6"/>
  <c r="E25" i="6" s="1"/>
  <c r="E30" i="6" l="1"/>
  <c r="E3" i="6"/>
  <c r="E24" i="6"/>
  <c r="G6" i="6" l="1"/>
  <c r="G4" i="6" s="1"/>
  <c r="H6" i="6"/>
  <c r="H4" i="6" s="1"/>
  <c r="H3" i="6" s="1"/>
  <c r="I6" i="6"/>
  <c r="I4" i="6" s="1"/>
  <c r="J6" i="6"/>
  <c r="J4" i="6" s="1"/>
  <c r="K6" i="6"/>
  <c r="K4" i="6" s="1"/>
  <c r="L6" i="6"/>
  <c r="L4" i="6" s="1"/>
  <c r="L3" i="6" s="1"/>
  <c r="M6" i="6"/>
  <c r="M4" i="6" s="1"/>
  <c r="N6" i="6"/>
  <c r="N4" i="6" s="1"/>
  <c r="O6" i="6"/>
  <c r="O4" i="6" s="1"/>
  <c r="P6" i="6"/>
  <c r="P4" i="6" s="1"/>
  <c r="Q6" i="6"/>
  <c r="Q4" i="6" s="1"/>
  <c r="Q3" i="6" s="1"/>
  <c r="R6" i="6"/>
  <c r="G3" i="6" l="1"/>
  <c r="H26" i="6"/>
  <c r="J3" i="6"/>
  <c r="O3" i="6"/>
  <c r="P3" i="6"/>
  <c r="K3" i="6"/>
  <c r="M3" i="6"/>
  <c r="N3" i="6"/>
  <c r="I3" i="6"/>
  <c r="R4" i="6"/>
  <c r="R3" i="6" s="1"/>
  <c r="P26" i="4"/>
  <c r="Q26" i="6"/>
  <c r="G26" i="6"/>
  <c r="J26" i="6"/>
  <c r="L26" i="6"/>
  <c r="O26" i="6" l="1"/>
  <c r="K26" i="6"/>
  <c r="I26" i="6"/>
  <c r="P26" i="6"/>
  <c r="M21" i="4" s="1"/>
  <c r="M22" i="4" s="1"/>
  <c r="M24" i="4" s="1"/>
  <c r="M26" i="6"/>
  <c r="N26" i="6"/>
  <c r="Q25" i="6"/>
  <c r="G25" i="6"/>
  <c r="C21" i="4"/>
  <c r="C22" i="4" s="1"/>
  <c r="C24" i="4" s="1"/>
  <c r="C27" i="4" s="1"/>
  <c r="H25" i="6"/>
  <c r="D21" i="4"/>
  <c r="D22" i="4" s="1"/>
  <c r="D24" i="4" s="1"/>
  <c r="E21" i="4"/>
  <c r="E22" i="4" s="1"/>
  <c r="E24" i="4" s="1"/>
  <c r="J25" i="6"/>
  <c r="L25" i="6"/>
  <c r="R26" i="6"/>
  <c r="T6" i="6"/>
  <c r="T4" i="6" s="1"/>
  <c r="H21" i="4" l="1"/>
  <c r="H22" i="4" s="1"/>
  <c r="H24" i="4" s="1"/>
  <c r="K25" i="6"/>
  <c r="G21" i="4"/>
  <c r="G22" i="4" s="1"/>
  <c r="G24" i="4" s="1"/>
  <c r="N25" i="6"/>
  <c r="J21" i="4"/>
  <c r="J22" i="4" s="1"/>
  <c r="J24" i="4" s="1"/>
  <c r="F21" i="4"/>
  <c r="F22" i="4" s="1"/>
  <c r="F24" i="4" s="1"/>
  <c r="I25" i="6"/>
  <c r="I21" i="4"/>
  <c r="I22" i="4" s="1"/>
  <c r="I24" i="4" s="1"/>
  <c r="M25" i="6"/>
  <c r="O25" i="6"/>
  <c r="K21" i="4"/>
  <c r="K22" i="4" s="1"/>
  <c r="K24" i="4" s="1"/>
  <c r="L21" i="4"/>
  <c r="L22" i="4" s="1"/>
  <c r="L24" i="4" s="1"/>
  <c r="P25" i="6"/>
  <c r="T26" i="6"/>
  <c r="V6" i="6"/>
  <c r="V4" i="6" s="1"/>
  <c r="Q24" i="6"/>
  <c r="Q30" i="6"/>
  <c r="G24" i="6"/>
  <c r="G30" i="6"/>
  <c r="D26" i="4"/>
  <c r="D27" i="4" s="1"/>
  <c r="C29" i="4"/>
  <c r="H24" i="6"/>
  <c r="H30" i="6"/>
  <c r="J24" i="6"/>
  <c r="J30" i="6"/>
  <c r="L24" i="6"/>
  <c r="L30" i="6"/>
  <c r="R25" i="6"/>
  <c r="N21" i="4"/>
  <c r="N22" i="4" s="1"/>
  <c r="N24" i="4" s="1"/>
  <c r="T3" i="6"/>
  <c r="U6" i="6"/>
  <c r="U4" i="6" s="1"/>
  <c r="I30" i="6" l="1"/>
  <c r="I24" i="6"/>
  <c r="K24" i="6"/>
  <c r="K30" i="6"/>
  <c r="N30" i="6"/>
  <c r="N24" i="6"/>
  <c r="M24" i="6"/>
  <c r="M30" i="6"/>
  <c r="O24" i="6"/>
  <c r="O30" i="6"/>
  <c r="P30" i="6"/>
  <c r="P24" i="6"/>
  <c r="V3" i="6"/>
  <c r="T25" i="6"/>
  <c r="P21" i="4"/>
  <c r="P22" i="4" s="1"/>
  <c r="P24" i="4" s="1"/>
  <c r="P27" i="4" s="1"/>
  <c r="U26" i="6"/>
  <c r="V26" i="6"/>
  <c r="E26" i="4"/>
  <c r="E27" i="4" s="1"/>
  <c r="D29" i="4"/>
  <c r="R24" i="6"/>
  <c r="R30" i="6"/>
  <c r="U3" i="6"/>
  <c r="T24" i="6" l="1"/>
  <c r="T30" i="6"/>
  <c r="E29" i="4"/>
  <c r="F26" i="4"/>
  <c r="F27" i="4" s="1"/>
  <c r="Q26" i="4"/>
  <c r="P29" i="4"/>
  <c r="U25" i="6"/>
  <c r="Q21" i="4"/>
  <c r="Q22" i="4" s="1"/>
  <c r="Q24" i="4" s="1"/>
  <c r="V25" i="6"/>
  <c r="R21" i="4"/>
  <c r="R22" i="4" s="1"/>
  <c r="R24" i="4" s="1"/>
  <c r="G26" i="4" l="1"/>
  <c r="G27" i="4" s="1"/>
  <c r="F29" i="4"/>
  <c r="Q27" i="4"/>
  <c r="U30" i="6"/>
  <c r="U24" i="6"/>
  <c r="V24" i="6"/>
  <c r="V30" i="6"/>
  <c r="G29" i="4" l="1"/>
  <c r="H26" i="4"/>
  <c r="H27" i="4" s="1"/>
  <c r="Q29" i="4"/>
  <c r="R26" i="4"/>
  <c r="R27" i="4" s="1"/>
  <c r="R29" i="4" s="1"/>
  <c r="H29" i="4" l="1"/>
  <c r="I26" i="4"/>
  <c r="I27" i="4" s="1"/>
  <c r="J26" i="4" l="1"/>
  <c r="J27" i="4" s="1"/>
  <c r="I29" i="4"/>
  <c r="J29" i="4" l="1"/>
  <c r="K26" i="4"/>
  <c r="K27" i="4" s="1"/>
  <c r="K29" i="4" l="1"/>
  <c r="L26" i="4"/>
  <c r="L27" i="4" s="1"/>
  <c r="M26" i="4" l="1"/>
  <c r="M27" i="4" s="1"/>
  <c r="L29" i="4"/>
  <c r="N26" i="4" l="1"/>
  <c r="N27" i="4" s="1"/>
  <c r="N29" i="4" s="1"/>
  <c r="M29" i="4"/>
</calcChain>
</file>

<file path=xl/sharedStrings.xml><?xml version="1.0" encoding="utf-8"?>
<sst xmlns="http://schemas.openxmlformats.org/spreadsheetml/2006/main" count="269" uniqueCount="122">
  <si>
    <t>Quona KPIs - Enza Group</t>
  </si>
  <si>
    <t>[unit]</t>
  </si>
  <si>
    <t>Operational Metrics</t>
  </si>
  <si>
    <t>Total Processed Volumes</t>
  </si>
  <si>
    <t>USD</t>
  </si>
  <si>
    <t>Transaction Count</t>
  </si>
  <si>
    <t>#</t>
  </si>
  <si>
    <t>Total Revenues</t>
  </si>
  <si>
    <t>Issuer Processing Revenues</t>
  </si>
  <si>
    <t>Acceptance Revenues</t>
  </si>
  <si>
    <t>enza conductor</t>
  </si>
  <si>
    <t>Value Add Services Revenues</t>
  </si>
  <si>
    <t>COGS</t>
  </si>
  <si>
    <t xml:space="preserve">Contribution Margin </t>
  </si>
  <si>
    <t xml:space="preserve">Contibution Margin </t>
  </si>
  <si>
    <t>%</t>
  </si>
  <si>
    <t>EBITDA</t>
  </si>
  <si>
    <t>Employees</t>
  </si>
  <si>
    <t>Total Employees</t>
  </si>
  <si>
    <t>Total Female Employees</t>
  </si>
  <si>
    <t xml:space="preserve">Senior Management </t>
  </si>
  <si>
    <t xml:space="preserve">Total Senior Managers </t>
  </si>
  <si>
    <t>Total Female Senior Managers</t>
  </si>
  <si>
    <t>Customers</t>
  </si>
  <si>
    <t>Number of Clients (Banks/Institutions)</t>
  </si>
  <si>
    <t>Number of Clients (MFIs and Small FIs)</t>
  </si>
  <si>
    <t>Number of Issuer Credentials</t>
  </si>
  <si>
    <t>Number of Merchants</t>
  </si>
  <si>
    <t>Cash Reserves</t>
  </si>
  <si>
    <t xml:space="preserve">Monthly Cash Burn </t>
  </si>
  <si>
    <t>Runway</t>
  </si>
  <si>
    <t>First Year</t>
  </si>
  <si>
    <t>Selected Plan</t>
  </si>
  <si>
    <t>AV</t>
  </si>
  <si>
    <t>Last Month</t>
  </si>
  <si>
    <t>past months</t>
  </si>
  <si>
    <t>last month</t>
  </si>
  <si>
    <t>P&amp;L</t>
  </si>
  <si>
    <t>YTD</t>
  </si>
  <si>
    <t>12 months</t>
  </si>
  <si>
    <t xml:space="preserve">GMV </t>
  </si>
  <si>
    <t xml:space="preserve">Actual </t>
  </si>
  <si>
    <t>Mgmt (Adj)</t>
  </si>
  <si>
    <t>Mgmt</t>
  </si>
  <si>
    <t>plan (Mgmt)</t>
  </si>
  <si>
    <t>plan (Mgmt Adj)</t>
  </si>
  <si>
    <t>plan (AV)</t>
  </si>
  <si>
    <t>PaaS</t>
  </si>
  <si>
    <t>.</t>
  </si>
  <si>
    <t>Inperson (acceptance)</t>
  </si>
  <si>
    <t>Revenue</t>
  </si>
  <si>
    <t>Revenue Stream 1</t>
  </si>
  <si>
    <t>Revenue Stream 2</t>
  </si>
  <si>
    <t>Revenue Stream 3</t>
  </si>
  <si>
    <t>Cost of Revenue</t>
  </si>
  <si>
    <t>Paas</t>
  </si>
  <si>
    <t>Digial Advertising</t>
  </si>
  <si>
    <t>Web Hosting</t>
  </si>
  <si>
    <t>enza conductor COS</t>
  </si>
  <si>
    <t>Gross Profit</t>
  </si>
  <si>
    <t>Gross Margin %</t>
  </si>
  <si>
    <t>Operating Expenses</t>
  </si>
  <si>
    <t>G&amp;A</t>
  </si>
  <si>
    <t>Technology</t>
  </si>
  <si>
    <t>Operations</t>
  </si>
  <si>
    <t>Marketing</t>
  </si>
  <si>
    <t>Sales</t>
  </si>
  <si>
    <t>Other Income/expense</t>
  </si>
  <si>
    <t>Other (Income) / Expense</t>
  </si>
  <si>
    <t>Financing Cost [IFRS 16 Impact]</t>
  </si>
  <si>
    <t>FX gain/loss</t>
  </si>
  <si>
    <t>Depreciation</t>
  </si>
  <si>
    <t>EBT</t>
  </si>
  <si>
    <t>Taxes</t>
  </si>
  <si>
    <t>NI</t>
  </si>
  <si>
    <t xml:space="preserve"> </t>
  </si>
  <si>
    <t>Balance Sheet</t>
  </si>
  <si>
    <t>Checker</t>
  </si>
  <si>
    <t>12 Months</t>
  </si>
  <si>
    <t>Assets</t>
  </si>
  <si>
    <t>Fixed Assets</t>
  </si>
  <si>
    <t>Cash</t>
  </si>
  <si>
    <t>Receivables</t>
  </si>
  <si>
    <t>Inventory</t>
  </si>
  <si>
    <t>Prepaid Expenses</t>
  </si>
  <si>
    <t>Other Assets</t>
  </si>
  <si>
    <t>Liabilities</t>
  </si>
  <si>
    <t>Payables &amp; Accruals</t>
  </si>
  <si>
    <t>Employees Payable</t>
  </si>
  <si>
    <t>Government Payable</t>
  </si>
  <si>
    <t>Suppliers Payable</t>
  </si>
  <si>
    <t>Customer Payable</t>
  </si>
  <si>
    <t>Other Payable</t>
  </si>
  <si>
    <t>Lease Liability / Non current lia.</t>
  </si>
  <si>
    <t>Other Current Liabilities</t>
  </si>
  <si>
    <t>Owners Equity</t>
  </si>
  <si>
    <t>Translation Adj.</t>
  </si>
  <si>
    <t>Earnings</t>
  </si>
  <si>
    <t>Capital</t>
  </si>
  <si>
    <t>Reconciliation</t>
  </si>
  <si>
    <t>Cash flow</t>
  </si>
  <si>
    <t>IFRS 16 impact</t>
  </si>
  <si>
    <t>Tax paid</t>
  </si>
  <si>
    <t>Non Cash</t>
  </si>
  <si>
    <t>Other income &amp; Gain on sale</t>
  </si>
  <si>
    <t>WC Movements</t>
  </si>
  <si>
    <t>Interest paid</t>
  </si>
  <si>
    <t>Cash Generated from (Used in) Operation Activity</t>
  </si>
  <si>
    <t>Capex - Excl. ROU/POS Lease</t>
  </si>
  <si>
    <t>CAPEX - ROU</t>
  </si>
  <si>
    <t>CAPEX - Leased POSs</t>
  </si>
  <si>
    <t>Cash Generated from (Used in) Investing Activity</t>
  </si>
  <si>
    <t>Lease Liability</t>
  </si>
  <si>
    <t>Loans</t>
  </si>
  <si>
    <t>Long-Term Loans</t>
  </si>
  <si>
    <t>Capital injection</t>
  </si>
  <si>
    <t>Others</t>
  </si>
  <si>
    <t>Cash Generated from (Used in) Financing Activity</t>
  </si>
  <si>
    <t>Net change in Cash</t>
  </si>
  <si>
    <t xml:space="preserve">Cash Opening Balance </t>
  </si>
  <si>
    <t xml:space="preserve">Cash Ending Balance 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</si>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</sst>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mmm\-yy"/>
    <numFmt numFmtId="167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sz val="10"/>
      <color rgb="FF4472C4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i/>
      <sz val="10"/>
      <color rgb="FF7F7F7F"/>
      <name val="Aptos Narrow"/>
      <family val="2"/>
      <scheme val="minor"/>
    </font>
    <font>
      <b/>
      <sz val="10"/>
      <color rgb="FF4472C4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7093D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ECF4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84">
    <xf numFmtId="0" fontId="0" fillId="0" borderId="0" xfId="0"/>
    <xf numFmtId="0" fontId="3" fillId="5" borderId="4" xfId="2" applyFont="1" applyFill="1" applyBorder="1"/>
    <xf numFmtId="0" fontId="3" fillId="3" borderId="0" xfId="2" applyFont="1" applyFill="1"/>
    <xf numFmtId="166" fontId="3" fillId="5" borderId="8" xfId="2" applyNumberFormat="1" applyFont="1" applyFill="1" applyBorder="1" applyAlignment="1">
      <alignment horizontal="center"/>
    </xf>
    <xf numFmtId="0" fontId="4" fillId="0" borderId="0" xfId="0" applyFont="1"/>
    <xf numFmtId="0" fontId="3" fillId="2" borderId="8" xfId="2" applyFont="1" applyFill="1" applyBorder="1"/>
    <xf numFmtId="0" fontId="3" fillId="2" borderId="8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11" borderId="0" xfId="0" applyFont="1" applyFill="1"/>
    <xf numFmtId="0" fontId="4" fillId="11" borderId="0" xfId="0" applyFont="1" applyFill="1" applyAlignment="1">
      <alignment horizontal="center"/>
    </xf>
    <xf numFmtId="3" fontId="5" fillId="11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2" applyFont="1"/>
    <xf numFmtId="0" fontId="7" fillId="2" borderId="2" xfId="2" applyFont="1" applyFill="1" applyBorder="1" applyAlignment="1">
      <alignment horizontal="left"/>
    </xf>
    <xf numFmtId="0" fontId="7" fillId="0" borderId="2" xfId="2" applyFont="1" applyBorder="1" applyAlignment="1" applyProtection="1">
      <alignment horizontal="left"/>
      <protection locked="0"/>
    </xf>
    <xf numFmtId="165" fontId="6" fillId="0" borderId="0" xfId="2" applyNumberFormat="1" applyFont="1" applyAlignment="1">
      <alignment horizontal="center"/>
    </xf>
    <xf numFmtId="165" fontId="6" fillId="0" borderId="0" xfId="2" applyNumberFormat="1" applyFont="1"/>
    <xf numFmtId="0" fontId="6" fillId="3" borderId="0" xfId="2" applyFont="1" applyFill="1"/>
    <xf numFmtId="165" fontId="6" fillId="3" borderId="0" xfId="2" applyNumberFormat="1" applyFont="1" applyFill="1"/>
    <xf numFmtId="0" fontId="6" fillId="4" borderId="0" xfId="2" applyFont="1" applyFill="1"/>
    <xf numFmtId="17" fontId="7" fillId="0" borderId="2" xfId="2" applyNumberFormat="1" applyFont="1" applyBorder="1" applyAlignment="1" applyProtection="1">
      <alignment horizontal="left"/>
      <protection locked="0"/>
    </xf>
    <xf numFmtId="0" fontId="8" fillId="0" borderId="0" xfId="2" applyFont="1"/>
    <xf numFmtId="165" fontId="6" fillId="0" borderId="3" xfId="2" applyNumberFormat="1" applyFont="1" applyBorder="1"/>
    <xf numFmtId="0" fontId="6" fillId="4" borderId="0" xfId="2" applyFont="1" applyFill="1" applyAlignment="1">
      <alignment horizontal="center"/>
    </xf>
    <xf numFmtId="0" fontId="9" fillId="5" borderId="4" xfId="2" applyFont="1" applyFill="1" applyBorder="1"/>
    <xf numFmtId="0" fontId="9" fillId="5" borderId="5" xfId="2" applyFont="1" applyFill="1" applyBorder="1"/>
    <xf numFmtId="0" fontId="6" fillId="0" borderId="6" xfId="2" applyFont="1" applyBorder="1"/>
    <xf numFmtId="166" fontId="9" fillId="5" borderId="7" xfId="2" applyNumberFormat="1" applyFont="1" applyFill="1" applyBorder="1" applyAlignment="1">
      <alignment horizontal="center"/>
    </xf>
    <xf numFmtId="166" fontId="9" fillId="5" borderId="8" xfId="2" applyNumberFormat="1" applyFont="1" applyFill="1" applyBorder="1" applyAlignment="1">
      <alignment horizontal="center"/>
    </xf>
    <xf numFmtId="166" fontId="9" fillId="5" borderId="4" xfId="2" applyNumberFormat="1" applyFont="1" applyFill="1" applyBorder="1" applyAlignment="1">
      <alignment horizontal="center"/>
    </xf>
    <xf numFmtId="166" fontId="9" fillId="5" borderId="10" xfId="2" applyNumberFormat="1" applyFont="1" applyFill="1" applyBorder="1" applyAlignment="1">
      <alignment horizontal="center"/>
    </xf>
    <xf numFmtId="0" fontId="9" fillId="5" borderId="5" xfId="2" applyFont="1" applyFill="1" applyBorder="1" applyAlignment="1">
      <alignment horizontal="center"/>
    </xf>
    <xf numFmtId="0" fontId="6" fillId="3" borderId="6" xfId="2" applyFont="1" applyFill="1" applyBorder="1"/>
    <xf numFmtId="165" fontId="9" fillId="5" borderId="5" xfId="2" applyNumberFormat="1" applyFont="1" applyFill="1" applyBorder="1" applyAlignment="1">
      <alignment horizontal="center"/>
    </xf>
    <xf numFmtId="0" fontId="6" fillId="0" borderId="11" xfId="2" applyFont="1" applyBorder="1"/>
    <xf numFmtId="0" fontId="6" fillId="0" borderId="12" xfId="2" applyFont="1" applyBorder="1"/>
    <xf numFmtId="165" fontId="10" fillId="0" borderId="13" xfId="2" applyNumberFormat="1" applyFont="1" applyBorder="1" applyAlignment="1">
      <alignment horizontal="center"/>
    </xf>
    <xf numFmtId="165" fontId="10" fillId="0" borderId="0" xfId="2" applyNumberFormat="1" applyFont="1" applyAlignment="1">
      <alignment horizontal="center"/>
    </xf>
    <xf numFmtId="165" fontId="6" fillId="0" borderId="6" xfId="2" applyNumberFormat="1" applyFont="1" applyBorder="1"/>
    <xf numFmtId="165" fontId="6" fillId="0" borderId="11" xfId="2" applyNumberFormat="1" applyFont="1" applyBorder="1"/>
    <xf numFmtId="0" fontId="9" fillId="2" borderId="14" xfId="2" applyFont="1" applyFill="1" applyBorder="1"/>
    <xf numFmtId="0" fontId="9" fillId="2" borderId="15" xfId="2" applyFont="1" applyFill="1" applyBorder="1"/>
    <xf numFmtId="165" fontId="7" fillId="2" borderId="14" xfId="2" applyNumberFormat="1" applyFont="1" applyFill="1" applyBorder="1" applyAlignment="1">
      <alignment horizontal="center"/>
    </xf>
    <xf numFmtId="165" fontId="7" fillId="2" borderId="16" xfId="2" applyNumberFormat="1" applyFont="1" applyFill="1" applyBorder="1" applyAlignment="1">
      <alignment horizontal="center"/>
    </xf>
    <xf numFmtId="165" fontId="7" fillId="2" borderId="16" xfId="2" applyNumberFormat="1" applyFont="1" applyFill="1" applyBorder="1"/>
    <xf numFmtId="165" fontId="9" fillId="2" borderId="15" xfId="2" applyNumberFormat="1" applyFont="1" applyFill="1" applyBorder="1"/>
    <xf numFmtId="165" fontId="9" fillId="2" borderId="14" xfId="2" applyNumberFormat="1" applyFont="1" applyFill="1" applyBorder="1"/>
    <xf numFmtId="0" fontId="10" fillId="0" borderId="0" xfId="2" applyFont="1"/>
    <xf numFmtId="0" fontId="11" fillId="0" borderId="17" xfId="2" applyFont="1" applyBorder="1"/>
    <xf numFmtId="0" fontId="10" fillId="0" borderId="18" xfId="2" applyFont="1" applyBorder="1"/>
    <xf numFmtId="0" fontId="10" fillId="0" borderId="12" xfId="2" applyFont="1" applyBorder="1"/>
    <xf numFmtId="165" fontId="10" fillId="0" borderId="18" xfId="2" applyNumberFormat="1" applyFont="1" applyBorder="1" applyAlignment="1">
      <alignment horizontal="right"/>
    </xf>
    <xf numFmtId="165" fontId="10" fillId="0" borderId="11" xfId="2" applyNumberFormat="1" applyFont="1" applyBorder="1" applyAlignment="1">
      <alignment horizontal="right"/>
    </xf>
    <xf numFmtId="0" fontId="10" fillId="3" borderId="6" xfId="2" applyFont="1" applyFill="1" applyBorder="1"/>
    <xf numFmtId="165" fontId="10" fillId="0" borderId="17" xfId="2" applyNumberFormat="1" applyFont="1" applyBorder="1" applyAlignment="1">
      <alignment horizontal="right"/>
    </xf>
    <xf numFmtId="165" fontId="10" fillId="3" borderId="0" xfId="2" applyNumberFormat="1" applyFont="1" applyFill="1"/>
    <xf numFmtId="165" fontId="10" fillId="0" borderId="6" xfId="2" applyNumberFormat="1" applyFont="1" applyBorder="1" applyAlignment="1">
      <alignment horizontal="right"/>
    </xf>
    <xf numFmtId="0" fontId="10" fillId="4" borderId="0" xfId="2" applyFont="1" applyFill="1" applyAlignment="1">
      <alignment horizontal="center"/>
    </xf>
    <xf numFmtId="0" fontId="11" fillId="0" borderId="6" xfId="2" applyFont="1" applyBorder="1"/>
    <xf numFmtId="0" fontId="10" fillId="0" borderId="11" xfId="2" applyFont="1" applyBorder="1"/>
    <xf numFmtId="165" fontId="10" fillId="0" borderId="6" xfId="2" applyNumberFormat="1" applyFont="1" applyBorder="1" applyAlignment="1">
      <alignment horizontal="center"/>
    </xf>
    <xf numFmtId="165" fontId="10" fillId="0" borderId="12" xfId="2" applyNumberFormat="1" applyFont="1" applyBorder="1" applyAlignment="1">
      <alignment horizontal="right"/>
    </xf>
    <xf numFmtId="0" fontId="6" fillId="6" borderId="6" xfId="2" quotePrefix="1" applyFont="1" applyFill="1" applyBorder="1" applyAlignment="1">
      <alignment horizontal="left"/>
    </xf>
    <xf numFmtId="0" fontId="6" fillId="6" borderId="11" xfId="2" quotePrefix="1" applyFont="1" applyFill="1" applyBorder="1" applyAlignment="1">
      <alignment horizontal="left"/>
    </xf>
    <xf numFmtId="165" fontId="12" fillId="6" borderId="19" xfId="2" applyNumberFormat="1" applyFont="1" applyFill="1" applyBorder="1" applyAlignment="1" applyProtection="1">
      <alignment horizontal="center"/>
      <protection locked="0"/>
    </xf>
    <xf numFmtId="165" fontId="12" fillId="6" borderId="20" xfId="2" applyNumberFormat="1" applyFont="1" applyFill="1" applyBorder="1" applyAlignment="1" applyProtection="1">
      <alignment horizontal="center"/>
      <protection locked="0"/>
    </xf>
    <xf numFmtId="165" fontId="6" fillId="2" borderId="21" xfId="2" applyNumberFormat="1" applyFont="1" applyFill="1" applyBorder="1" applyAlignment="1">
      <alignment horizontal="left"/>
    </xf>
    <xf numFmtId="165" fontId="6" fillId="2" borderId="6" xfId="2" applyNumberFormat="1" applyFont="1" applyFill="1" applyBorder="1" applyAlignment="1">
      <alignment horizontal="left"/>
    </xf>
    <xf numFmtId="165" fontId="6" fillId="2" borderId="11" xfId="2" applyNumberFormat="1" applyFont="1" applyFill="1" applyBorder="1" applyAlignment="1">
      <alignment horizontal="left"/>
    </xf>
    <xf numFmtId="9" fontId="6" fillId="4" borderId="0" xfId="2" applyNumberFormat="1" applyFont="1" applyFill="1" applyAlignment="1">
      <alignment horizontal="center"/>
    </xf>
    <xf numFmtId="0" fontId="10" fillId="0" borderId="6" xfId="2" applyFont="1" applyBorder="1" applyAlignment="1">
      <alignment horizontal="left"/>
    </xf>
    <xf numFmtId="0" fontId="10" fillId="0" borderId="11" xfId="2" applyFont="1" applyBorder="1" applyAlignment="1">
      <alignment horizontal="left"/>
    </xf>
    <xf numFmtId="0" fontId="10" fillId="0" borderId="6" xfId="2" applyFont="1" applyBorder="1"/>
    <xf numFmtId="165" fontId="10" fillId="0" borderId="22" xfId="2" applyNumberFormat="1" applyFont="1" applyBorder="1" applyAlignment="1">
      <alignment horizontal="right"/>
    </xf>
    <xf numFmtId="0" fontId="10" fillId="3" borderId="0" xfId="2" applyFont="1" applyFill="1"/>
    <xf numFmtId="9" fontId="10" fillId="4" borderId="0" xfId="2" applyNumberFormat="1" applyFont="1" applyFill="1" applyAlignment="1">
      <alignment horizontal="center"/>
    </xf>
    <xf numFmtId="0" fontId="13" fillId="0" borderId="0" xfId="2" applyFont="1"/>
    <xf numFmtId="0" fontId="13" fillId="0" borderId="6" xfId="2" applyFont="1" applyBorder="1" applyAlignment="1">
      <alignment horizontal="left"/>
    </xf>
    <xf numFmtId="0" fontId="13" fillId="0" borderId="11" xfId="2" quotePrefix="1" applyFont="1" applyBorder="1" applyAlignment="1">
      <alignment horizontal="left"/>
    </xf>
    <xf numFmtId="0" fontId="13" fillId="0" borderId="6" xfId="2" applyFont="1" applyBorder="1"/>
    <xf numFmtId="165" fontId="13" fillId="0" borderId="13" xfId="2" applyNumberFormat="1" applyFont="1" applyBorder="1" applyAlignment="1">
      <alignment horizontal="center"/>
    </xf>
    <xf numFmtId="165" fontId="13" fillId="0" borderId="0" xfId="2" applyNumberFormat="1" applyFont="1" applyAlignment="1">
      <alignment horizontal="center"/>
    </xf>
    <xf numFmtId="165" fontId="13" fillId="0" borderId="11" xfId="2" applyNumberFormat="1" applyFont="1" applyBorder="1" applyAlignment="1">
      <alignment horizontal="left"/>
    </xf>
    <xf numFmtId="165" fontId="13" fillId="0" borderId="22" xfId="2" applyNumberFormat="1" applyFont="1" applyBorder="1" applyAlignment="1">
      <alignment horizontal="left"/>
    </xf>
    <xf numFmtId="0" fontId="13" fillId="3" borderId="0" xfId="2" applyFont="1" applyFill="1"/>
    <xf numFmtId="165" fontId="13" fillId="3" borderId="0" xfId="2" applyNumberFormat="1" applyFont="1" applyFill="1"/>
    <xf numFmtId="165" fontId="13" fillId="0" borderId="6" xfId="2" applyNumberFormat="1" applyFont="1" applyBorder="1" applyAlignment="1">
      <alignment horizontal="left"/>
    </xf>
    <xf numFmtId="9" fontId="13" fillId="4" borderId="0" xfId="2" applyNumberFormat="1" applyFont="1" applyFill="1" applyAlignment="1">
      <alignment horizontal="center"/>
    </xf>
    <xf numFmtId="165" fontId="12" fillId="6" borderId="13" xfId="2" applyNumberFormat="1" applyFont="1" applyFill="1" applyBorder="1" applyAlignment="1" applyProtection="1">
      <alignment horizontal="center"/>
      <protection locked="0"/>
    </xf>
    <xf numFmtId="165" fontId="12" fillId="6" borderId="0" xfId="2" applyNumberFormat="1" applyFont="1" applyFill="1" applyAlignment="1" applyProtection="1">
      <alignment horizontal="center"/>
      <protection locked="0"/>
    </xf>
    <xf numFmtId="165" fontId="12" fillId="6" borderId="0" xfId="2" applyNumberFormat="1" applyFont="1" applyFill="1" applyProtection="1">
      <protection locked="0"/>
    </xf>
    <xf numFmtId="165" fontId="6" fillId="2" borderId="22" xfId="2" applyNumberFormat="1" applyFont="1" applyFill="1" applyBorder="1"/>
    <xf numFmtId="165" fontId="6" fillId="2" borderId="6" xfId="2" applyNumberFormat="1" applyFont="1" applyFill="1" applyBorder="1"/>
    <xf numFmtId="165" fontId="6" fillId="2" borderId="11" xfId="2" applyNumberFormat="1" applyFont="1" applyFill="1" applyBorder="1"/>
    <xf numFmtId="0" fontId="13" fillId="4" borderId="0" xfId="2" applyFont="1" applyFill="1" applyAlignment="1">
      <alignment horizontal="center"/>
    </xf>
    <xf numFmtId="0" fontId="14" fillId="0" borderId="0" xfId="2" applyFont="1"/>
    <xf numFmtId="165" fontId="10" fillId="0" borderId="23" xfId="2" applyNumberFormat="1" applyFont="1" applyBorder="1" applyAlignment="1">
      <alignment horizontal="center"/>
    </xf>
    <xf numFmtId="165" fontId="10" fillId="0" borderId="1" xfId="2" applyNumberFormat="1" applyFont="1" applyBorder="1" applyAlignment="1">
      <alignment horizontal="center"/>
    </xf>
    <xf numFmtId="165" fontId="10" fillId="0" borderId="24" xfId="2" applyNumberFormat="1" applyFont="1" applyBorder="1" applyAlignment="1">
      <alignment horizontal="right"/>
    </xf>
    <xf numFmtId="0" fontId="13" fillId="0" borderId="12" xfId="2" applyFont="1" applyBorder="1"/>
    <xf numFmtId="165" fontId="13" fillId="0" borderId="6" xfId="2" applyNumberFormat="1" applyFont="1" applyBorder="1" applyAlignment="1">
      <alignment horizontal="center"/>
    </xf>
    <xf numFmtId="0" fontId="13" fillId="3" borderId="6" xfId="2" applyFont="1" applyFill="1" applyBorder="1"/>
    <xf numFmtId="0" fontId="9" fillId="0" borderId="25" xfId="2" applyFont="1" applyBorder="1"/>
    <xf numFmtId="0" fontId="9" fillId="0" borderId="26" xfId="2" applyFont="1" applyBorder="1"/>
    <xf numFmtId="165" fontId="9" fillId="0" borderId="25" xfId="2" applyNumberFormat="1" applyFont="1" applyBorder="1" applyAlignment="1">
      <alignment horizontal="center"/>
    </xf>
    <xf numFmtId="165" fontId="9" fillId="0" borderId="27" xfId="2" applyNumberFormat="1" applyFont="1" applyBorder="1" applyAlignment="1">
      <alignment horizontal="center"/>
    </xf>
    <xf numFmtId="165" fontId="9" fillId="0" borderId="26" xfId="2" applyNumberFormat="1" applyFont="1" applyBorder="1"/>
    <xf numFmtId="165" fontId="9" fillId="0" borderId="25" xfId="2" applyNumberFormat="1" applyFont="1" applyBorder="1"/>
    <xf numFmtId="0" fontId="9" fillId="0" borderId="6" xfId="2" applyFont="1" applyBorder="1"/>
    <xf numFmtId="165" fontId="6" fillId="0" borderId="6" xfId="2" applyNumberFormat="1" applyFont="1" applyBorder="1" applyAlignment="1">
      <alignment horizontal="center"/>
    </xf>
    <xf numFmtId="43" fontId="12" fillId="6" borderId="0" xfId="2" applyNumberFormat="1" applyFont="1" applyFill="1" applyProtection="1">
      <protection locked="0"/>
    </xf>
    <xf numFmtId="0" fontId="6" fillId="0" borderId="25" xfId="2" applyFont="1" applyBorder="1" applyAlignment="1">
      <alignment horizontal="left"/>
    </xf>
    <xf numFmtId="0" fontId="6" fillId="0" borderId="26" xfId="2" applyFont="1" applyBorder="1" applyAlignment="1">
      <alignment horizontal="left"/>
    </xf>
    <xf numFmtId="164" fontId="12" fillId="0" borderId="16" xfId="4" applyFont="1" applyBorder="1" applyAlignment="1">
      <alignment horizontal="center"/>
    </xf>
    <xf numFmtId="3" fontId="6" fillId="0" borderId="27" xfId="2" applyNumberFormat="1" applyFont="1" applyBorder="1"/>
    <xf numFmtId="165" fontId="6" fillId="0" borderId="26" xfId="2" applyNumberFormat="1" applyFont="1" applyBorder="1" applyAlignment="1">
      <alignment horizontal="left"/>
    </xf>
    <xf numFmtId="165" fontId="6" fillId="0" borderId="25" xfId="2" applyNumberFormat="1" applyFont="1" applyBorder="1" applyAlignment="1">
      <alignment horizontal="left"/>
    </xf>
    <xf numFmtId="165" fontId="6" fillId="0" borderId="0" xfId="2" applyNumberFormat="1" applyFont="1" applyAlignment="1">
      <alignment horizontal="right"/>
    </xf>
    <xf numFmtId="165" fontId="6" fillId="0" borderId="11" xfId="2" applyNumberFormat="1" applyFont="1" applyBorder="1" applyAlignment="1">
      <alignment horizontal="right"/>
    </xf>
    <xf numFmtId="165" fontId="6" fillId="0" borderId="6" xfId="2" applyNumberFormat="1" applyFont="1" applyBorder="1" applyAlignment="1">
      <alignment horizontal="right"/>
    </xf>
    <xf numFmtId="0" fontId="11" fillId="0" borderId="6" xfId="2" applyFont="1" applyBorder="1" applyAlignment="1">
      <alignment horizontal="left"/>
    </xf>
    <xf numFmtId="0" fontId="10" fillId="0" borderId="11" xfId="2" quotePrefix="1" applyFont="1" applyBorder="1" applyAlignment="1">
      <alignment horizontal="left"/>
    </xf>
    <xf numFmtId="165" fontId="10" fillId="0" borderId="11" xfId="2" applyNumberFormat="1" applyFont="1" applyBorder="1" applyAlignment="1">
      <alignment horizontal="left"/>
    </xf>
    <xf numFmtId="165" fontId="10" fillId="0" borderId="6" xfId="2" applyNumberFormat="1" applyFont="1" applyBorder="1" applyAlignment="1">
      <alignment horizontal="left"/>
    </xf>
    <xf numFmtId="165" fontId="12" fillId="6" borderId="6" xfId="2" applyNumberFormat="1" applyFont="1" applyFill="1" applyBorder="1" applyAlignment="1" applyProtection="1">
      <alignment horizontal="center"/>
      <protection locked="0"/>
    </xf>
    <xf numFmtId="165" fontId="12" fillId="6" borderId="6" xfId="2" applyNumberFormat="1" applyFont="1" applyFill="1" applyBorder="1" applyProtection="1">
      <protection locked="0"/>
    </xf>
    <xf numFmtId="165" fontId="12" fillId="6" borderId="6" xfId="2" applyNumberFormat="1" applyFont="1" applyFill="1" applyBorder="1" applyAlignment="1" applyProtection="1">
      <alignment horizontal="left"/>
      <protection locked="0"/>
    </xf>
    <xf numFmtId="9" fontId="12" fillId="0" borderId="16" xfId="2" applyNumberFormat="1" applyFont="1" applyBorder="1" applyAlignment="1">
      <alignment horizontal="center"/>
    </xf>
    <xf numFmtId="165" fontId="9" fillId="2" borderId="14" xfId="2" applyNumberFormat="1" applyFont="1" applyFill="1" applyBorder="1" applyAlignment="1">
      <alignment horizontal="center"/>
    </xf>
    <xf numFmtId="165" fontId="9" fillId="2" borderId="16" xfId="2" applyNumberFormat="1" applyFont="1" applyFill="1" applyBorder="1" applyAlignment="1">
      <alignment horizontal="center"/>
    </xf>
    <xf numFmtId="165" fontId="10" fillId="0" borderId="11" xfId="2" applyNumberFormat="1" applyFont="1" applyBorder="1"/>
    <xf numFmtId="165" fontId="10" fillId="0" borderId="6" xfId="2" applyNumberFormat="1" applyFont="1" applyBorder="1"/>
    <xf numFmtId="0" fontId="11" fillId="0" borderId="0" xfId="2" applyFont="1"/>
    <xf numFmtId="0" fontId="6" fillId="2" borderId="14" xfId="2" applyFont="1" applyFill="1" applyBorder="1" applyAlignment="1">
      <alignment horizontal="left"/>
    </xf>
    <xf numFmtId="0" fontId="6" fillId="2" borderId="15" xfId="2" applyFont="1" applyFill="1" applyBorder="1" applyAlignment="1">
      <alignment horizontal="left"/>
    </xf>
    <xf numFmtId="0" fontId="6" fillId="0" borderId="12" xfId="2" applyFont="1" applyBorder="1" applyAlignment="1">
      <alignment horizontal="right"/>
    </xf>
    <xf numFmtId="9" fontId="6" fillId="2" borderId="14" xfId="2" applyNumberFormat="1" applyFont="1" applyFill="1" applyBorder="1" applyAlignment="1">
      <alignment horizontal="center"/>
    </xf>
    <xf numFmtId="9" fontId="6" fillId="2" borderId="16" xfId="2" applyNumberFormat="1" applyFont="1" applyFill="1" applyBorder="1" applyAlignment="1">
      <alignment horizontal="center"/>
    </xf>
    <xf numFmtId="9" fontId="6" fillId="2" borderId="15" xfId="2" applyNumberFormat="1" applyFont="1" applyFill="1" applyBorder="1" applyAlignment="1">
      <alignment horizontal="right"/>
    </xf>
    <xf numFmtId="0" fontId="6" fillId="3" borderId="6" xfId="2" applyFont="1" applyFill="1" applyBorder="1" applyAlignment="1">
      <alignment horizontal="right"/>
    </xf>
    <xf numFmtId="9" fontId="6" fillId="2" borderId="14" xfId="2" applyNumberFormat="1" applyFont="1" applyFill="1" applyBorder="1" applyAlignment="1">
      <alignment horizontal="right"/>
    </xf>
    <xf numFmtId="9" fontId="6" fillId="3" borderId="0" xfId="2" applyNumberFormat="1" applyFont="1" applyFill="1" applyAlignment="1">
      <alignment horizontal="right"/>
    </xf>
    <xf numFmtId="164" fontId="10" fillId="0" borderId="27" xfId="4" applyFont="1" applyBorder="1" applyAlignment="1">
      <alignment horizontal="center"/>
    </xf>
    <xf numFmtId="0" fontId="6" fillId="0" borderId="14" xfId="2" applyFont="1" applyBorder="1" applyAlignment="1">
      <alignment horizontal="left"/>
    </xf>
    <xf numFmtId="0" fontId="6" fillId="0" borderId="15" xfId="2" applyFont="1" applyBorder="1" applyAlignment="1">
      <alignment horizontal="left"/>
    </xf>
    <xf numFmtId="3" fontId="12" fillId="0" borderId="16" xfId="2" applyNumberFormat="1" applyFont="1" applyBorder="1" applyAlignment="1">
      <alignment horizontal="center"/>
    </xf>
    <xf numFmtId="165" fontId="6" fillId="0" borderId="15" xfId="2" applyNumberFormat="1" applyFont="1" applyBorder="1" applyAlignment="1">
      <alignment horizontal="right"/>
    </xf>
    <xf numFmtId="165" fontId="6" fillId="3" borderId="0" xfId="2" applyNumberFormat="1" applyFont="1" applyFill="1" applyAlignment="1">
      <alignment horizontal="right"/>
    </xf>
    <xf numFmtId="165" fontId="6" fillId="0" borderId="14" xfId="2" applyNumberFormat="1" applyFont="1" applyBorder="1" applyAlignment="1">
      <alignment horizontal="right"/>
    </xf>
    <xf numFmtId="165" fontId="12" fillId="6" borderId="17" xfId="2" applyNumberFormat="1" applyFont="1" applyFill="1" applyBorder="1" applyAlignment="1" applyProtection="1">
      <alignment horizontal="center"/>
      <protection locked="0"/>
    </xf>
    <xf numFmtId="165" fontId="6" fillId="0" borderId="14" xfId="2" applyNumberFormat="1" applyFont="1" applyBorder="1" applyAlignment="1">
      <alignment horizontal="center"/>
    </xf>
    <xf numFmtId="165" fontId="6" fillId="0" borderId="16" xfId="2" applyNumberFormat="1" applyFont="1" applyBorder="1" applyAlignment="1">
      <alignment horizontal="center"/>
    </xf>
    <xf numFmtId="165" fontId="15" fillId="2" borderId="14" xfId="2" applyNumberFormat="1" applyFont="1" applyFill="1" applyBorder="1" applyAlignment="1" applyProtection="1">
      <alignment horizontal="center"/>
      <protection locked="0"/>
    </xf>
    <xf numFmtId="165" fontId="15" fillId="2" borderId="16" xfId="2" applyNumberFormat="1" applyFont="1" applyFill="1" applyBorder="1" applyAlignment="1" applyProtection="1">
      <alignment horizontal="center"/>
      <protection locked="0"/>
    </xf>
    <xf numFmtId="0" fontId="9" fillId="2" borderId="25" xfId="2" applyFont="1" applyFill="1" applyBorder="1"/>
    <xf numFmtId="0" fontId="9" fillId="2" borderId="26" xfId="2" applyFont="1" applyFill="1" applyBorder="1"/>
    <xf numFmtId="165" fontId="5" fillId="2" borderId="28" xfId="2" applyNumberFormat="1" applyFont="1" applyFill="1" applyBorder="1" applyAlignment="1" applyProtection="1">
      <alignment horizontal="center"/>
      <protection locked="0"/>
    </xf>
    <xf numFmtId="165" fontId="5" fillId="2" borderId="29" xfId="2" applyNumberFormat="1" applyFont="1" applyFill="1" applyBorder="1" applyAlignment="1" applyProtection="1">
      <alignment horizontal="center"/>
      <protection locked="0"/>
    </xf>
    <xf numFmtId="165" fontId="9" fillId="2" borderId="26" xfId="2" applyNumberFormat="1" applyFont="1" applyFill="1" applyBorder="1"/>
    <xf numFmtId="165" fontId="9" fillId="2" borderId="25" xfId="2" applyNumberFormat="1" applyFont="1" applyFill="1" applyBorder="1"/>
    <xf numFmtId="0" fontId="6" fillId="0" borderId="0" xfId="2" applyFont="1" applyAlignment="1">
      <alignment horizontal="center"/>
    </xf>
    <xf numFmtId="0" fontId="6" fillId="7" borderId="0" xfId="2" applyFont="1" applyFill="1"/>
    <xf numFmtId="0" fontId="9" fillId="0" borderId="0" xfId="2" applyFont="1" applyAlignment="1">
      <alignment horizontal="center"/>
    </xf>
    <xf numFmtId="166" fontId="9" fillId="5" borderId="5" xfId="2" applyNumberFormat="1" applyFont="1" applyFill="1" applyBorder="1" applyAlignment="1">
      <alignment horizontal="center"/>
    </xf>
    <xf numFmtId="165" fontId="9" fillId="0" borderId="0" xfId="2" applyNumberFormat="1" applyFont="1"/>
    <xf numFmtId="165" fontId="13" fillId="6" borderId="6" xfId="2" applyNumberFormat="1" applyFont="1" applyFill="1" applyBorder="1"/>
    <xf numFmtId="165" fontId="13" fillId="0" borderId="0" xfId="2" applyNumberFormat="1" applyFont="1"/>
    <xf numFmtId="0" fontId="6" fillId="8" borderId="13" xfId="2" quotePrefix="1" applyFont="1" applyFill="1" applyBorder="1" applyAlignment="1">
      <alignment horizontal="left" indent="1"/>
    </xf>
    <xf numFmtId="165" fontId="12" fillId="8" borderId="6" xfId="2" applyNumberFormat="1" applyFont="1" applyFill="1" applyBorder="1" applyAlignment="1" applyProtection="1">
      <alignment horizontal="left"/>
      <protection locked="0"/>
    </xf>
    <xf numFmtId="165" fontId="12" fillId="8" borderId="0" xfId="2" applyNumberFormat="1" applyFont="1" applyFill="1" applyAlignment="1" applyProtection="1">
      <alignment horizontal="left"/>
      <protection locked="0"/>
    </xf>
    <xf numFmtId="165" fontId="12" fillId="8" borderId="0" xfId="2" applyNumberFormat="1" applyFont="1" applyFill="1" applyProtection="1">
      <protection locked="0"/>
    </xf>
    <xf numFmtId="165" fontId="12" fillId="8" borderId="6" xfId="2" applyNumberFormat="1" applyFont="1" applyFill="1" applyBorder="1" applyProtection="1">
      <protection locked="0"/>
    </xf>
    <xf numFmtId="0" fontId="6" fillId="8" borderId="30" xfId="2" quotePrefix="1" applyFont="1" applyFill="1" applyBorder="1" applyAlignment="1">
      <alignment horizontal="left" indent="1"/>
    </xf>
    <xf numFmtId="165" fontId="12" fillId="8" borderId="32" xfId="2" applyNumberFormat="1" applyFont="1" applyFill="1" applyBorder="1" applyProtection="1">
      <protection locked="0"/>
    </xf>
    <xf numFmtId="165" fontId="12" fillId="8" borderId="33" xfId="2" applyNumberFormat="1" applyFont="1" applyFill="1" applyBorder="1" applyProtection="1">
      <protection locked="0"/>
    </xf>
    <xf numFmtId="0" fontId="9" fillId="0" borderId="0" xfId="2" applyFont="1"/>
    <xf numFmtId="165" fontId="4" fillId="0" borderId="0" xfId="4" applyNumberFormat="1" applyFont="1" applyAlignment="1">
      <alignment horizontal="left"/>
    </xf>
    <xf numFmtId="0" fontId="6" fillId="0" borderId="6" xfId="2" quotePrefix="1" applyFont="1" applyBorder="1" applyAlignment="1">
      <alignment horizontal="left"/>
    </xf>
    <xf numFmtId="0" fontId="6" fillId="6" borderId="17" xfId="2" quotePrefix="1" applyFont="1" applyFill="1" applyBorder="1" applyAlignment="1">
      <alignment horizontal="left"/>
    </xf>
    <xf numFmtId="165" fontId="6" fillId="6" borderId="23" xfId="2" applyNumberFormat="1" applyFont="1" applyFill="1" applyBorder="1" applyAlignment="1" applyProtection="1">
      <alignment horizontal="right"/>
      <protection locked="0"/>
    </xf>
    <xf numFmtId="165" fontId="6" fillId="6" borderId="3" xfId="2" applyNumberFormat="1" applyFont="1" applyFill="1" applyBorder="1" applyAlignment="1" applyProtection="1">
      <alignment horizontal="right"/>
      <protection locked="0"/>
    </xf>
    <xf numFmtId="0" fontId="8" fillId="0" borderId="7" xfId="2" applyFont="1" applyBorder="1"/>
    <xf numFmtId="165" fontId="8" fillId="0" borderId="7" xfId="2" applyNumberFormat="1" applyFont="1" applyBorder="1"/>
    <xf numFmtId="165" fontId="8" fillId="0" borderId="8" xfId="2" applyNumberFormat="1" applyFont="1" applyBorder="1"/>
    <xf numFmtId="0" fontId="11" fillId="5" borderId="4" xfId="2" applyFont="1" applyFill="1" applyBorder="1"/>
    <xf numFmtId="167" fontId="4" fillId="3" borderId="0" xfId="1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7" fontId="5" fillId="3" borderId="8" xfId="0" applyNumberFormat="1" applyFont="1" applyFill="1" applyBorder="1" applyAlignment="1">
      <alignment horizontal="center"/>
    </xf>
    <xf numFmtId="167" fontId="5" fillId="9" borderId="1" xfId="0" applyNumberFormat="1" applyFont="1" applyFill="1" applyBorder="1" applyAlignment="1">
      <alignment horizontal="center"/>
    </xf>
    <xf numFmtId="167" fontId="5" fillId="9" borderId="1" xfId="0" applyNumberFormat="1" applyFont="1" applyFill="1" applyBorder="1"/>
    <xf numFmtId="167" fontId="4" fillId="3" borderId="0" xfId="0" applyNumberFormat="1" applyFont="1" applyFill="1" applyAlignment="1">
      <alignment horizontal="center"/>
    </xf>
    <xf numFmtId="167" fontId="5" fillId="10" borderId="0" xfId="1" applyNumberFormat="1" applyFont="1" applyFill="1" applyAlignment="1">
      <alignment horizontal="center"/>
    </xf>
    <xf numFmtId="167" fontId="5" fillId="10" borderId="0" xfId="0" applyNumberFormat="1" applyFont="1" applyFill="1" applyAlignment="1">
      <alignment horizontal="center"/>
    </xf>
    <xf numFmtId="167" fontId="5" fillId="10" borderId="0" xfId="0" applyNumberFormat="1" applyFont="1" applyFill="1"/>
    <xf numFmtId="0" fontId="9" fillId="2" borderId="0" xfId="2" applyFont="1" applyFill="1"/>
    <xf numFmtId="0" fontId="9" fillId="2" borderId="7" xfId="2" applyFont="1" applyFill="1" applyBorder="1"/>
    <xf numFmtId="167" fontId="4" fillId="12" borderId="0" xfId="1" applyNumberFormat="1" applyFont="1" applyFill="1" applyAlignment="1">
      <alignment horizontal="center" vertical="center"/>
    </xf>
    <xf numFmtId="167" fontId="5" fillId="11" borderId="8" xfId="0" applyNumberFormat="1" applyFont="1" applyFill="1" applyBorder="1" applyAlignment="1">
      <alignment horizontal="center"/>
    </xf>
    <xf numFmtId="167" fontId="5" fillId="11" borderId="8" xfId="1" applyNumberFormat="1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166" fontId="9" fillId="5" borderId="10" xfId="2" applyNumberFormat="1" applyFont="1" applyFill="1" applyBorder="1" applyAlignment="1">
      <alignment horizontal="center" vertical="center"/>
    </xf>
    <xf numFmtId="166" fontId="9" fillId="5" borderId="34" xfId="2" applyNumberFormat="1" applyFont="1" applyFill="1" applyBorder="1" applyAlignment="1">
      <alignment horizontal="center" vertical="center"/>
    </xf>
    <xf numFmtId="0" fontId="9" fillId="0" borderId="11" xfId="2" applyFont="1" applyBorder="1" applyAlignment="1">
      <alignment horizontal="center"/>
    </xf>
    <xf numFmtId="0" fontId="6" fillId="6" borderId="11" xfId="2" quotePrefix="1" applyFont="1" applyFill="1" applyBorder="1" applyAlignment="1">
      <alignment horizontal="center"/>
    </xf>
    <xf numFmtId="0" fontId="13" fillId="0" borderId="11" xfId="2" quotePrefix="1" applyFont="1" applyBorder="1" applyAlignment="1">
      <alignment horizontal="center"/>
    </xf>
    <xf numFmtId="0" fontId="9" fillId="2" borderId="11" xfId="2" applyFont="1" applyFill="1" applyBorder="1" applyAlignment="1">
      <alignment horizontal="center"/>
    </xf>
    <xf numFmtId="0" fontId="6" fillId="8" borderId="11" xfId="2" quotePrefix="1" applyFont="1" applyFill="1" applyBorder="1" applyAlignment="1">
      <alignment horizontal="center"/>
    </xf>
    <xf numFmtId="0" fontId="6" fillId="8" borderId="31" xfId="2" quotePrefix="1" applyFont="1" applyFill="1" applyBorder="1" applyAlignment="1">
      <alignment horizontal="center"/>
    </xf>
    <xf numFmtId="0" fontId="6" fillId="0" borderId="26" xfId="2" applyFont="1" applyBorder="1" applyAlignment="1">
      <alignment horizontal="center"/>
    </xf>
    <xf numFmtId="0" fontId="6" fillId="0" borderId="11" xfId="2" quotePrefix="1" applyFont="1" applyBorder="1" applyAlignment="1">
      <alignment horizontal="center"/>
    </xf>
    <xf numFmtId="0" fontId="6" fillId="6" borderId="18" xfId="2" quotePrefix="1" applyFont="1" applyFill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0" fontId="6" fillId="3" borderId="0" xfId="2" quotePrefix="1" applyFont="1" applyFill="1" applyAlignment="1">
      <alignment horizontal="left"/>
    </xf>
    <xf numFmtId="0" fontId="9" fillId="3" borderId="0" xfId="2" applyFont="1" applyFill="1"/>
    <xf numFmtId="0" fontId="6" fillId="3" borderId="0" xfId="2" quotePrefix="1" applyFont="1" applyFill="1" applyAlignment="1">
      <alignment horizontal="left" indent="1"/>
    </xf>
    <xf numFmtId="0" fontId="9" fillId="3" borderId="0" xfId="2" applyFont="1" applyFill="1" applyAlignment="1">
      <alignment horizontal="left"/>
    </xf>
    <xf numFmtId="0" fontId="9" fillId="12" borderId="35" xfId="2" applyFont="1" applyFill="1" applyBorder="1"/>
    <xf numFmtId="0" fontId="6" fillId="3" borderId="6" xfId="2" quotePrefix="1" applyFont="1" applyFill="1" applyBorder="1" applyAlignment="1">
      <alignment horizontal="left"/>
    </xf>
    <xf numFmtId="0" fontId="9" fillId="11" borderId="25" xfId="2" applyFont="1" applyFill="1" applyBorder="1"/>
    <xf numFmtId="0" fontId="9" fillId="3" borderId="6" xfId="2" applyFont="1" applyFill="1" applyBorder="1"/>
    <xf numFmtId="0" fontId="6" fillId="3" borderId="13" xfId="2" quotePrefix="1" applyFont="1" applyFill="1" applyBorder="1" applyAlignment="1">
      <alignment horizontal="left" indent="1"/>
    </xf>
    <xf numFmtId="0" fontId="6" fillId="3" borderId="30" xfId="2" quotePrefix="1" applyFont="1" applyFill="1" applyBorder="1" applyAlignment="1">
      <alignment horizontal="left" indent="1"/>
    </xf>
    <xf numFmtId="0" fontId="9" fillId="3" borderId="25" xfId="2" applyFont="1" applyFill="1" applyBorder="1" applyAlignment="1">
      <alignment horizontal="left"/>
    </xf>
    <xf numFmtId="0" fontId="6" fillId="10" borderId="6" xfId="2" quotePrefix="1" applyFont="1" applyFill="1" applyBorder="1" applyAlignment="1">
      <alignment horizontal="left"/>
    </xf>
    <xf numFmtId="0" fontId="6" fillId="9" borderId="36" xfId="2" quotePrefix="1" applyFont="1" applyFill="1" applyBorder="1" applyAlignment="1">
      <alignment horizontal="left"/>
    </xf>
    <xf numFmtId="0" fontId="11" fillId="3" borderId="0" xfId="2" applyFont="1" applyFill="1"/>
    <xf numFmtId="0" fontId="4" fillId="3" borderId="0" xfId="0" applyFont="1" applyFill="1" applyAlignment="1">
      <alignment vertical="center"/>
    </xf>
    <xf numFmtId="3" fontId="4" fillId="3" borderId="0" xfId="0" applyNumberFormat="1" applyFont="1" applyFill="1"/>
    <xf numFmtId="167" fontId="4" fillId="3" borderId="0" xfId="1" applyNumberFormat="1" applyFont="1" applyFill="1" applyAlignment="1"/>
    <xf numFmtId="0" fontId="9" fillId="2" borderId="0" xfId="2" applyFont="1" applyFill="1" applyAlignment="1">
      <alignment horizontal="center"/>
    </xf>
    <xf numFmtId="0" fontId="9" fillId="0" borderId="14" xfId="2" applyFont="1" applyBorder="1"/>
    <xf numFmtId="0" fontId="9" fillId="0" borderId="15" xfId="2" applyFont="1" applyBorder="1" applyAlignment="1">
      <alignment horizontal="center"/>
    </xf>
    <xf numFmtId="0" fontId="6" fillId="2" borderId="13" xfId="2" quotePrefix="1" applyFont="1" applyFill="1" applyBorder="1" applyAlignment="1">
      <alignment horizontal="left"/>
    </xf>
    <xf numFmtId="0" fontId="6" fillId="2" borderId="11" xfId="2" applyFont="1" applyFill="1" applyBorder="1" applyAlignment="1">
      <alignment horizontal="center"/>
    </xf>
    <xf numFmtId="0" fontId="9" fillId="2" borderId="9" xfId="2" applyFont="1" applyFill="1" applyBorder="1" applyAlignment="1">
      <alignment horizontal="center"/>
    </xf>
    <xf numFmtId="165" fontId="9" fillId="0" borderId="14" xfId="2" applyNumberFormat="1" applyFont="1" applyBorder="1"/>
    <xf numFmtId="165" fontId="9" fillId="0" borderId="16" xfId="2" applyNumberFormat="1" applyFont="1" applyBorder="1"/>
    <xf numFmtId="165" fontId="9" fillId="2" borderId="7" xfId="2" applyNumberFormat="1" applyFont="1" applyFill="1" applyBorder="1"/>
    <xf numFmtId="165" fontId="9" fillId="2" borderId="8" xfId="2" applyNumberFormat="1" applyFont="1" applyFill="1" applyBorder="1"/>
    <xf numFmtId="43" fontId="9" fillId="0" borderId="16" xfId="2" applyNumberFormat="1" applyFont="1" applyBorder="1"/>
    <xf numFmtId="165" fontId="6" fillId="2" borderId="0" xfId="2" applyNumberFormat="1" applyFont="1" applyFill="1"/>
    <xf numFmtId="165" fontId="6" fillId="0" borderId="16" xfId="2" applyNumberFormat="1" applyFont="1" applyBorder="1" applyAlignment="1">
      <alignment horizontal="left"/>
    </xf>
    <xf numFmtId="0" fontId="9" fillId="2" borderId="2" xfId="2" applyFont="1" applyFill="1" applyBorder="1"/>
    <xf numFmtId="165" fontId="9" fillId="0" borderId="6" xfId="2" applyNumberFormat="1" applyFont="1" applyBorder="1" applyAlignment="1">
      <alignment horizontal="center"/>
    </xf>
    <xf numFmtId="165" fontId="9" fillId="2" borderId="2" xfId="2" applyNumberFormat="1" applyFont="1" applyFill="1" applyBorder="1" applyAlignment="1">
      <alignment horizontal="center"/>
    </xf>
    <xf numFmtId="165" fontId="12" fillId="6" borderId="6" xfId="2" applyNumberFormat="1" applyFont="1" applyFill="1" applyBorder="1" applyAlignment="1">
      <alignment horizontal="center"/>
    </xf>
    <xf numFmtId="165" fontId="9" fillId="0" borderId="14" xfId="2" applyNumberFormat="1" applyFont="1" applyBorder="1" applyAlignment="1">
      <alignment horizontal="center"/>
    </xf>
    <xf numFmtId="165" fontId="6" fillId="2" borderId="6" xfId="2" applyNumberFormat="1" applyFont="1" applyFill="1" applyBorder="1" applyAlignment="1">
      <alignment horizontal="center"/>
    </xf>
    <xf numFmtId="165" fontId="12" fillId="8" borderId="6" xfId="2" applyNumberFormat="1" applyFont="1" applyFill="1" applyBorder="1" applyAlignment="1" applyProtection="1">
      <alignment horizontal="center"/>
      <protection locked="0"/>
    </xf>
    <xf numFmtId="165" fontId="12" fillId="8" borderId="32" xfId="2" applyNumberFormat="1" applyFont="1" applyFill="1" applyBorder="1" applyAlignment="1" applyProtection="1">
      <alignment horizontal="center"/>
      <protection locked="0"/>
    </xf>
    <xf numFmtId="165" fontId="9" fillId="0" borderId="0" xfId="2" applyNumberFormat="1" applyFont="1" applyAlignment="1">
      <alignment horizontal="center"/>
    </xf>
    <xf numFmtId="165" fontId="6" fillId="6" borderId="23" xfId="2" applyNumberFormat="1" applyFont="1" applyFill="1" applyBorder="1" applyAlignment="1" applyProtection="1">
      <alignment horizontal="center"/>
      <protection locked="0"/>
    </xf>
    <xf numFmtId="165" fontId="8" fillId="0" borderId="2" xfId="2" applyNumberFormat="1" applyFont="1" applyBorder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9" fillId="5" borderId="9" xfId="2" applyFont="1" applyFill="1" applyBorder="1" applyAlignment="1">
      <alignment horizontal="center" vertical="center"/>
    </xf>
    <xf numFmtId="165" fontId="6" fillId="0" borderId="2" xfId="2" applyNumberFormat="1" applyFont="1" applyBorder="1" applyAlignment="1">
      <alignment horizontal="center" vertical="center"/>
    </xf>
    <xf numFmtId="165" fontId="9" fillId="2" borderId="11" xfId="2" applyNumberFormat="1" applyFont="1" applyFill="1" applyBorder="1" applyAlignment="1">
      <alignment horizontal="center" vertical="center"/>
    </xf>
    <xf numFmtId="165" fontId="10" fillId="0" borderId="11" xfId="2" applyNumberFormat="1" applyFont="1" applyBorder="1" applyAlignment="1">
      <alignment horizontal="center" vertical="center"/>
    </xf>
    <xf numFmtId="165" fontId="10" fillId="0" borderId="12" xfId="2" applyNumberFormat="1" applyFont="1" applyBorder="1" applyAlignment="1">
      <alignment horizontal="center" vertical="center"/>
    </xf>
    <xf numFmtId="165" fontId="6" fillId="2" borderId="21" xfId="2" applyNumberFormat="1" applyFont="1" applyFill="1" applyBorder="1" applyAlignment="1">
      <alignment horizontal="center" vertical="center"/>
    </xf>
    <xf numFmtId="165" fontId="10" fillId="0" borderId="22" xfId="2" applyNumberFormat="1" applyFont="1" applyBorder="1" applyAlignment="1">
      <alignment horizontal="center" vertical="center"/>
    </xf>
    <xf numFmtId="165" fontId="13" fillId="0" borderId="22" xfId="2" applyNumberFormat="1" applyFont="1" applyBorder="1" applyAlignment="1">
      <alignment horizontal="center" vertical="center"/>
    </xf>
    <xf numFmtId="165" fontId="6" fillId="2" borderId="22" xfId="2" applyNumberFormat="1" applyFont="1" applyFill="1" applyBorder="1" applyAlignment="1">
      <alignment horizontal="center" vertical="center"/>
    </xf>
    <xf numFmtId="165" fontId="10" fillId="0" borderId="24" xfId="2" applyNumberFormat="1" applyFont="1" applyBorder="1" applyAlignment="1">
      <alignment horizontal="center" vertical="center"/>
    </xf>
    <xf numFmtId="165" fontId="13" fillId="0" borderId="11" xfId="2" applyNumberFormat="1" applyFont="1" applyBorder="1" applyAlignment="1">
      <alignment horizontal="center" vertical="center"/>
    </xf>
    <xf numFmtId="165" fontId="9" fillId="0" borderId="26" xfId="2" applyNumberFormat="1" applyFont="1" applyBorder="1" applyAlignment="1">
      <alignment horizontal="center" vertical="center"/>
    </xf>
    <xf numFmtId="165" fontId="9" fillId="2" borderId="15" xfId="2" applyNumberFormat="1" applyFont="1" applyFill="1" applyBorder="1" applyAlignment="1">
      <alignment horizontal="center" vertical="center"/>
    </xf>
    <xf numFmtId="165" fontId="6" fillId="0" borderId="11" xfId="2" applyNumberFormat="1" applyFont="1" applyBorder="1" applyAlignment="1">
      <alignment horizontal="center" vertical="center"/>
    </xf>
    <xf numFmtId="165" fontId="6" fillId="0" borderId="26" xfId="2" applyNumberFormat="1" applyFont="1" applyBorder="1" applyAlignment="1">
      <alignment horizontal="center" vertical="center"/>
    </xf>
    <xf numFmtId="165" fontId="6" fillId="2" borderId="11" xfId="2" applyNumberFormat="1" applyFont="1" applyFill="1" applyBorder="1" applyAlignment="1">
      <alignment horizontal="center" vertical="center"/>
    </xf>
    <xf numFmtId="9" fontId="6" fillId="2" borderId="15" xfId="2" applyNumberFormat="1" applyFont="1" applyFill="1" applyBorder="1" applyAlignment="1">
      <alignment horizontal="center" vertical="center"/>
    </xf>
    <xf numFmtId="165" fontId="6" fillId="0" borderId="15" xfId="2" applyNumberFormat="1" applyFont="1" applyBorder="1" applyAlignment="1">
      <alignment horizontal="center" vertical="center"/>
    </xf>
    <xf numFmtId="165" fontId="9" fillId="2" borderId="26" xfId="2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167" fontId="4" fillId="0" borderId="0" xfId="0" applyNumberFormat="1" applyFont="1"/>
    <xf numFmtId="0" fontId="16" fillId="0" borderId="0" xfId="0" applyFont="1"/>
    <xf numFmtId="167" fontId="4" fillId="3" borderId="0" xfId="1" applyNumberFormat="1" applyFont="1" applyFill="1"/>
    <xf numFmtId="0" fontId="17" fillId="0" borderId="0" xfId="0" applyFont="1"/>
  </cellXfs>
  <cellStyles count="5">
    <cellStyle name="Comma" xfId="1" builtinId="3"/>
    <cellStyle name="Comma 2" xfId="4" xr:uid="{09543FD2-AC9C-4AD3-82AA-DE093A434D50}"/>
    <cellStyle name="Normal" xfId="0" builtinId="0"/>
    <cellStyle name="Normal 2" xfId="2" xr:uid="{61FBCEC6-4074-4655-A9A0-F7CD5F4853EC}"/>
    <cellStyle name="Per cent 2" xfId="3" xr:uid="{7E4981DC-8742-4516-98CA-2B3678606A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zagroupglobal-my.sharepoint.com/personal/sameh_phillip_enzagroup_global/Documents/My%20Work%202024/FP&amp;A/Monthly%20Pack/2026/KPIs%20-%20v2.xlsx" TargetMode="External"/><Relationship Id="rId1" Type="http://schemas.openxmlformats.org/officeDocument/2006/relationships/externalLinkPath" Target="https://enzagroupglobal-my.sharepoint.com/personal/sameh_phillip_enzagroup_global/Documents/My%20Work%202024/FP&amp;A/Monthly%20Pack/2026/KPIs%20-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zagroupglobal-my.sharepoint.com/personal/sameh_phillip_enzagroup_global/Documents/My%20Work%202024/FP&amp;A/Monthly%20Pack/2026/Mar%2026/Monthly%20pack%2003.26.xlsx" TargetMode="External"/><Relationship Id="rId1" Type="http://schemas.openxmlformats.org/officeDocument/2006/relationships/externalLinkPath" Target="https://enzagroupglobal-my.sharepoint.com/personal/sameh_phillip_enzagroup_global/Documents/My%20Work%202024/FP&amp;A/Monthly%20Pack/2026/Mar%2026/Monthly%20pack%2003.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zagroupglobal-my.sharepoint.com/personal/sameh_phillip_enzagroup_global/Documents/My%20Work%202024/FP&amp;A/Monthly%20Pack/2026/Mar%2026/Investor%20pack.xlsx" TargetMode="External"/><Relationship Id="rId1" Type="http://schemas.openxmlformats.org/officeDocument/2006/relationships/externalLinkPath" Target="https://enzagroupglobal-my.sharepoint.com/personal/sameh_phillip_enzagroup_global/Documents/My%20Work%202024/FP&amp;A/Monthly%20Pack/2026/Mar%2026/Investor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O4">
            <v>7</v>
          </cell>
          <cell r="P4">
            <v>7</v>
          </cell>
          <cell r="Q4">
            <v>9</v>
          </cell>
        </row>
        <row r="9">
          <cell r="K9">
            <v>158</v>
          </cell>
          <cell r="L9">
            <v>157</v>
          </cell>
          <cell r="M9">
            <v>276</v>
          </cell>
          <cell r="O9">
            <v>362</v>
          </cell>
          <cell r="P9">
            <v>746</v>
          </cell>
          <cell r="Q9">
            <v>1190</v>
          </cell>
        </row>
        <row r="13">
          <cell r="O13">
            <v>4</v>
          </cell>
          <cell r="P13">
            <v>4</v>
          </cell>
          <cell r="Q13">
            <v>4</v>
          </cell>
        </row>
        <row r="15">
          <cell r="B15">
            <v>96</v>
          </cell>
          <cell r="C15">
            <v>20</v>
          </cell>
          <cell r="D15">
            <v>7</v>
          </cell>
          <cell r="E15">
            <v>135</v>
          </cell>
          <cell r="F15">
            <v>71</v>
          </cell>
          <cell r="G15">
            <v>80</v>
          </cell>
          <cell r="H15">
            <v>0</v>
          </cell>
          <cell r="I15">
            <v>64</v>
          </cell>
          <cell r="J15">
            <v>0</v>
          </cell>
          <cell r="K15">
            <v>6</v>
          </cell>
          <cell r="L15">
            <v>2</v>
          </cell>
          <cell r="M15">
            <v>0</v>
          </cell>
          <cell r="O15">
            <v>168</v>
          </cell>
          <cell r="P15">
            <v>11780</v>
          </cell>
          <cell r="Q15">
            <v>5721</v>
          </cell>
        </row>
        <row r="16">
          <cell r="B16">
            <v>9</v>
          </cell>
          <cell r="D16">
            <v>1</v>
          </cell>
          <cell r="E16">
            <v>32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O17">
            <v>12</v>
          </cell>
          <cell r="P17">
            <v>17</v>
          </cell>
          <cell r="Q17">
            <v>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ed FS_$ Cons. (formating)"/>
      <sheetName val="Eliminations RP  FS_$ Cons."/>
      <sheetName val="Eliminations Test"/>
      <sheetName val="Eliminations Pack"/>
      <sheetName val="WC 2-26"/>
      <sheetName val="Capex (Investing Activity) 1-26"/>
      <sheetName val="RP Due Matrix  2-26"/>
      <sheetName val="RP Inv Matrix  2-26"/>
      <sheetName val="WIP 2-26"/>
      <sheetName val="Related party"/>
      <sheetName val="ESL (UAE)_USD"/>
      <sheetName val="ESL (UAE)_AED"/>
      <sheetName val="ESL UAE Final FY23"/>
      <sheetName val="ESL UAE Final FY24"/>
      <sheetName val="ESL UAE Final FY25"/>
      <sheetName val="ESL UAE Final FY26"/>
      <sheetName val="ESL TB 12.2023"/>
      <sheetName val="Sheet3"/>
      <sheetName val="EGH (UAE)_USD"/>
      <sheetName val="EGH (UAE)_AED"/>
      <sheetName val="EGH TB 12.2023"/>
      <sheetName val="EGH UAE Final FY23"/>
      <sheetName val="EGH UAE Final FY24"/>
      <sheetName val="EGH UAE Final FY25"/>
      <sheetName val="EGH UAE Final FY26"/>
      <sheetName val="EEP (EGY)_USD"/>
      <sheetName val="EEP (EGY)_EGP"/>
      <sheetName val="EGY Final FY23"/>
      <sheetName val="EGY Final FY24"/>
      <sheetName val="EGY Final FY25"/>
      <sheetName val="EGY Final FY26"/>
      <sheetName val="EPSA (SA)_USD"/>
      <sheetName val="EPSA (SA)_ZAR"/>
      <sheetName val="SA Final FY23"/>
      <sheetName val="SA Final FY24"/>
      <sheetName val="SA Final FY25"/>
      <sheetName val="EPSA TB 12.2023"/>
      <sheetName val="COA pivot"/>
      <sheetName val="SA Final FY26"/>
      <sheetName val="ENPSL_USD"/>
      <sheetName val="ENPSL_(NGA)"/>
      <sheetName val="NGA Final FY23"/>
      <sheetName val="NGA Final FY24"/>
      <sheetName val="NGA Final FY25"/>
      <sheetName val="NGA Final FY26"/>
      <sheetName val="EPSG_USD"/>
      <sheetName val="Sheet1"/>
      <sheetName val="EPSG_(GHS)"/>
      <sheetName val="GHS Final FY23"/>
      <sheetName val="GHS Final FY24"/>
      <sheetName val="GHS Final FY25"/>
      <sheetName val="GHS Final FY26"/>
      <sheetName val="Rates"/>
      <sheetName val="COA - Mapping"/>
      <sheetName val="Detailed FS_$ Cons."/>
    </sheetNames>
    <sheetDataSet>
      <sheetData sheetId="0">
        <row r="7">
          <cell r="BR7">
            <v>10800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17800.002722940775</v>
          </cell>
          <cell r="CB7">
            <v>1600.0000000000002</v>
          </cell>
          <cell r="CC7">
            <v>300500.00000000006</v>
          </cell>
          <cell r="CF7">
            <v>1600.0027229407763</v>
          </cell>
          <cell r="CG7">
            <v>1600.002722940776</v>
          </cell>
          <cell r="CH7">
            <v>387350.00136122946</v>
          </cell>
        </row>
        <row r="9">
          <cell r="BR9">
            <v>5053.2296927537809</v>
          </cell>
          <cell r="BS9">
            <v>5050.7412298016579</v>
          </cell>
          <cell r="BT9">
            <v>25050.250476449764</v>
          </cell>
          <cell r="BU9">
            <v>5075.6411652600063</v>
          </cell>
          <cell r="BV9">
            <v>5083.0620954403448</v>
          </cell>
          <cell r="BW9">
            <v>5101.8234537398148</v>
          </cell>
          <cell r="BX9">
            <v>5100</v>
          </cell>
          <cell r="BY9">
            <v>10000.002722940775</v>
          </cell>
          <cell r="BZ9">
            <v>37200</v>
          </cell>
          <cell r="CA9">
            <v>-17200</v>
          </cell>
          <cell r="CB9">
            <v>10000</v>
          </cell>
          <cell r="CC9">
            <v>-10000.000906658472</v>
          </cell>
          <cell r="CF9">
            <v>10000</v>
          </cell>
          <cell r="CG9">
            <v>10000.000000000002</v>
          </cell>
          <cell r="CH9">
            <v>9999.9972776151917</v>
          </cell>
        </row>
        <row r="10"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F10">
            <v>0</v>
          </cell>
          <cell r="CG10">
            <v>0</v>
          </cell>
          <cell r="CH10">
            <v>0</v>
          </cell>
        </row>
        <row r="13">
          <cell r="BR13">
            <v>15853.229692753781</v>
          </cell>
          <cell r="BS13">
            <v>5050.7412298016579</v>
          </cell>
          <cell r="BT13">
            <v>25050.250476449764</v>
          </cell>
          <cell r="BU13">
            <v>5075.6411652600063</v>
          </cell>
          <cell r="BV13">
            <v>5083.0620954403448</v>
          </cell>
          <cell r="BW13">
            <v>5101.8234537398148</v>
          </cell>
          <cell r="BX13">
            <v>5100</v>
          </cell>
          <cell r="BY13">
            <v>10000.002722940775</v>
          </cell>
          <cell r="BZ13">
            <v>37200</v>
          </cell>
          <cell r="CA13">
            <v>600.00272294077513</v>
          </cell>
          <cell r="CB13">
            <v>11600</v>
          </cell>
          <cell r="CC13">
            <v>290499.99909334158</v>
          </cell>
          <cell r="CF13">
            <v>11600.002722940777</v>
          </cell>
          <cell r="CG13">
            <v>11600.002722940779</v>
          </cell>
          <cell r="CH13">
            <v>397349.99863884464</v>
          </cell>
        </row>
        <row r="15">
          <cell r="CA15">
            <v>9936.1448407296502</v>
          </cell>
          <cell r="CB15">
            <v>3199.5643887830111</v>
          </cell>
          <cell r="CC15">
            <v>3580.5118431799619</v>
          </cell>
          <cell r="CF15">
            <v>2187.2011979308468</v>
          </cell>
          <cell r="CG15">
            <v>2187.2011979308468</v>
          </cell>
          <cell r="CH15">
            <v>2187.2011979308468</v>
          </cell>
        </row>
        <row r="17">
          <cell r="BR17">
            <v>9999.8638714946901</v>
          </cell>
          <cell r="BS17">
            <v>9999.8638714946901</v>
          </cell>
          <cell r="BT17">
            <v>10000</v>
          </cell>
          <cell r="BU17">
            <v>10000</v>
          </cell>
          <cell r="BV17">
            <v>-40000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F17">
            <v>0</v>
          </cell>
          <cell r="CG17">
            <v>0</v>
          </cell>
          <cell r="CH17">
            <v>0</v>
          </cell>
        </row>
        <row r="21">
          <cell r="BR21">
            <v>9999.8638714946901</v>
          </cell>
          <cell r="BS21">
            <v>9999.8638714946901</v>
          </cell>
          <cell r="BT21">
            <v>10000</v>
          </cell>
          <cell r="BU21">
            <v>10000</v>
          </cell>
          <cell r="BV21">
            <v>-40000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9936.1448407296502</v>
          </cell>
          <cell r="CB21">
            <v>3199.5643887830111</v>
          </cell>
        </row>
        <row r="112">
          <cell r="BR112">
            <v>206049.16106367245</v>
          </cell>
          <cell r="BS112">
            <v>249147.00684291724</v>
          </cell>
          <cell r="BT112">
            <v>251754.66449918161</v>
          </cell>
          <cell r="BU112">
            <v>248064.29373704802</v>
          </cell>
          <cell r="BV112">
            <v>337124.98734567832</v>
          </cell>
          <cell r="BW112">
            <v>229478.86212754939</v>
          </cell>
          <cell r="BX112">
            <v>382120.28740453511</v>
          </cell>
          <cell r="BY112">
            <v>258243.75707710156</v>
          </cell>
          <cell r="BZ112">
            <v>244703.75726787082</v>
          </cell>
          <cell r="CA112">
            <v>258756.42181110909</v>
          </cell>
          <cell r="CB112">
            <v>281687.3485232899</v>
          </cell>
          <cell r="CC112">
            <v>318995.23589524429</v>
          </cell>
          <cell r="CF112">
            <v>375896.89579029701</v>
          </cell>
          <cell r="CG112">
            <v>355785.82685200399</v>
          </cell>
          <cell r="CH112">
            <v>330258.97723625461</v>
          </cell>
        </row>
        <row r="115">
          <cell r="BR115">
            <v>-200195.79524241335</v>
          </cell>
          <cell r="BS115">
            <v>-254096.12948461028</v>
          </cell>
          <cell r="BT115">
            <v>-236704.41402273186</v>
          </cell>
          <cell r="BU115">
            <v>-252988.65257178803</v>
          </cell>
          <cell r="BV115">
            <v>-292041.92525023798</v>
          </cell>
          <cell r="BW115">
            <v>-224377.03867380958</v>
          </cell>
          <cell r="BX115">
            <v>-377020.28740453511</v>
          </cell>
          <cell r="BY115">
            <v>-248243.75435416077</v>
          </cell>
          <cell r="BZ115">
            <v>-207503.75726787082</v>
          </cell>
          <cell r="CA115">
            <v>-268092.56392889796</v>
          </cell>
          <cell r="CB115">
            <v>-273286.9129120729</v>
          </cell>
          <cell r="CC115">
            <v>-32075.74864508264</v>
          </cell>
          <cell r="CF115">
            <v>-366484.0942652871</v>
          </cell>
          <cell r="CG115">
            <v>-346373.02532699407</v>
          </cell>
          <cell r="CH115">
            <v>64903.82020465919</v>
          </cell>
        </row>
        <row r="120">
          <cell r="BR120">
            <v>3115.8303939780435</v>
          </cell>
          <cell r="BS120">
            <v>-175.41583507993749</v>
          </cell>
          <cell r="BT120">
            <v>75.994985588502374</v>
          </cell>
          <cell r="BU120">
            <v>939.5012323742958</v>
          </cell>
          <cell r="BV120">
            <v>899.89841560464811</v>
          </cell>
          <cell r="BW120">
            <v>1946.4666701567726</v>
          </cell>
          <cell r="BX120">
            <v>-1045.9486742092918</v>
          </cell>
          <cell r="BY120">
            <v>-33.202888154906383</v>
          </cell>
          <cell r="BZ120">
            <v>-23606.959146704412</v>
          </cell>
          <cell r="CA120">
            <v>23872.237840583628</v>
          </cell>
          <cell r="CB120">
            <v>-20289.245299370719</v>
          </cell>
          <cell r="CC120">
            <v>33434.330669958697</v>
          </cell>
          <cell r="CF120">
            <v>-2658.0957041249985</v>
          </cell>
          <cell r="CG120">
            <v>-3128.4550233593682</v>
          </cell>
          <cell r="CH120">
            <v>5.4962889463017293</v>
          </cell>
        </row>
        <row r="121">
          <cell r="BY121">
            <v>12723.53172099256</v>
          </cell>
        </row>
        <row r="122"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4.0933409220261812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F122">
            <v>0</v>
          </cell>
          <cell r="CG122">
            <v>28.817096165933375</v>
          </cell>
          <cell r="CH122">
            <v>0</v>
          </cell>
        </row>
        <row r="123">
          <cell r="BR123">
            <v>-38.314940762521914</v>
          </cell>
          <cell r="BS123">
            <v>-64.378642301602781</v>
          </cell>
          <cell r="BT123">
            <v>-268.1991098103473</v>
          </cell>
          <cell r="BU123">
            <v>-79.160233208500145</v>
          </cell>
          <cell r="BV123">
            <v>-156.69794892475034</v>
          </cell>
          <cell r="BW123">
            <v>-60.258258489300758</v>
          </cell>
          <cell r="BX123">
            <v>-93.865004992388407</v>
          </cell>
          <cell r="BY123">
            <v>-20497.505360489882</v>
          </cell>
          <cell r="BZ123">
            <v>-40.394418697686078</v>
          </cell>
          <cell r="CA123">
            <v>-135.91801025168024</v>
          </cell>
          <cell r="CB123">
            <v>-39906.199902747539</v>
          </cell>
          <cell r="CC123">
            <v>-1842.3530579379542</v>
          </cell>
          <cell r="CF123">
            <v>-52.368646137489705</v>
          </cell>
          <cell r="CG123">
            <v>-10.016970458830924</v>
          </cell>
          <cell r="CH123">
            <v>-9.569312796208532</v>
          </cell>
        </row>
        <row r="124">
          <cell r="BR124">
            <v>-173.43860604410563</v>
          </cell>
          <cell r="BS124">
            <v>0.15246392594609309</v>
          </cell>
          <cell r="BT124">
            <v>348.39096106724742</v>
          </cell>
          <cell r="BU124">
            <v>312.02559215899805</v>
          </cell>
          <cell r="BV124">
            <v>4.2036482439422809</v>
          </cell>
          <cell r="BW124">
            <v>84.720936564116514</v>
          </cell>
          <cell r="BX124">
            <v>-100.40838551592704</v>
          </cell>
          <cell r="BY124">
            <v>68.595153825211</v>
          </cell>
          <cell r="BZ124">
            <v>12.714402395861693</v>
          </cell>
          <cell r="CA124">
            <v>70.220528178600588</v>
          </cell>
          <cell r="CB124">
            <v>-1164.3986812361647</v>
          </cell>
          <cell r="CC124">
            <v>-9571.916399196547</v>
          </cell>
          <cell r="CF124">
            <v>-4676.6758442107885</v>
          </cell>
          <cell r="CG124">
            <v>-938.57767016790433</v>
          </cell>
          <cell r="CH124">
            <v>-643.61485374895324</v>
          </cell>
        </row>
        <row r="125">
          <cell r="BR125">
            <v>569.27047823122621</v>
          </cell>
          <cell r="BS125">
            <v>564.52276105134092</v>
          </cell>
          <cell r="BT125">
            <v>565.38535949776917</v>
          </cell>
          <cell r="BU125">
            <v>496.84339215447324</v>
          </cell>
          <cell r="BV125">
            <v>507.48231307266695</v>
          </cell>
          <cell r="BW125">
            <v>508.98031177387327</v>
          </cell>
          <cell r="BX125">
            <v>446.7748156597882</v>
          </cell>
          <cell r="BY125">
            <v>-9531.1105584547186</v>
          </cell>
          <cell r="BZ125">
            <v>0</v>
          </cell>
          <cell r="CA125">
            <v>22610.897707750399</v>
          </cell>
          <cell r="CB125">
            <v>22487.353627491557</v>
          </cell>
          <cell r="CC125">
            <v>22389.326720474288</v>
          </cell>
          <cell r="CF125">
            <v>15450.709800593975</v>
          </cell>
          <cell r="CG125">
            <v>15256.524088814411</v>
          </cell>
          <cell r="CH125">
            <v>19358.999277549388</v>
          </cell>
        </row>
        <row r="142">
          <cell r="BR142">
            <v>4252.9072204996246</v>
          </cell>
          <cell r="BS142">
            <v>4529.9479613358553</v>
          </cell>
          <cell r="BT142">
            <v>5532.3988420224878</v>
          </cell>
          <cell r="BU142">
            <v>5530.0760982563825</v>
          </cell>
          <cell r="BV142">
            <v>5631.6966682781449</v>
          </cell>
          <cell r="BW142">
            <v>5717.6364662026781</v>
          </cell>
          <cell r="BX142">
            <v>24070.759428932633</v>
          </cell>
          <cell r="BY142">
            <v>26206.180550231835</v>
          </cell>
          <cell r="BZ142">
            <v>26676.368478033284</v>
          </cell>
          <cell r="CA142">
            <v>27065.319055129665</v>
          </cell>
          <cell r="CB142">
            <v>27359.492732222625</v>
          </cell>
          <cell r="CC142">
            <v>25280.067618495988</v>
          </cell>
          <cell r="CF142">
            <v>28943.584993972872</v>
          </cell>
          <cell r="CG142">
            <v>29757.389117385141</v>
          </cell>
          <cell r="CH142">
            <v>27674.819891897452</v>
          </cell>
        </row>
        <row r="144">
          <cell r="BR144">
            <v>-207922.04978831563</v>
          </cell>
          <cell r="BS144">
            <v>-258950.95819354188</v>
          </cell>
          <cell r="BT144">
            <v>-242958.38506109751</v>
          </cell>
          <cell r="BU144">
            <v>-260187.93865352368</v>
          </cell>
          <cell r="BV144">
            <v>-298928.50834651262</v>
          </cell>
          <cell r="BW144">
            <v>-232574.58480001774</v>
          </cell>
          <cell r="BX144">
            <v>-400297.59958440991</v>
          </cell>
          <cell r="BY144">
            <v>-257184.33631303289</v>
          </cell>
          <cell r="BZ144">
            <v>-210545.48658289787</v>
          </cell>
          <cell r="CA144">
            <v>-341575.32105028856</v>
          </cell>
          <cell r="CB144">
            <v>-261773.91538843265</v>
          </cell>
          <cell r="CC144">
            <v>-101765.20419687711</v>
          </cell>
          <cell r="CF144">
            <v>-403491.24886538065</v>
          </cell>
          <cell r="CG144">
            <v>-387338.70596537343</v>
          </cell>
          <cell r="CH144">
            <v>18517.688912811209</v>
          </cell>
        </row>
        <row r="151"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12309.287550195755</v>
          </cell>
          <cell r="CF151">
            <v>0</v>
          </cell>
          <cell r="CG151">
            <v>0</v>
          </cell>
          <cell r="CH151">
            <v>0</v>
          </cell>
        </row>
        <row r="153">
          <cell r="BR153">
            <v>-207922.04978831563</v>
          </cell>
          <cell r="BS153">
            <v>-258950.95819354188</v>
          </cell>
          <cell r="BT153">
            <v>-242958.38506109751</v>
          </cell>
          <cell r="BU153">
            <v>-260187.93865352368</v>
          </cell>
          <cell r="BV153">
            <v>-298928.50834651262</v>
          </cell>
          <cell r="BW153">
            <v>-232574.58480001774</v>
          </cell>
          <cell r="BX153">
            <v>-400297.59958440991</v>
          </cell>
          <cell r="BY153">
            <v>-257184.33631303289</v>
          </cell>
          <cell r="BZ153">
            <v>-210545.48658289787</v>
          </cell>
          <cell r="CA153">
            <v>-341575.32105028856</v>
          </cell>
          <cell r="CB153">
            <v>-261773.91538843265</v>
          </cell>
          <cell r="CC153">
            <v>-114074.49174707287</v>
          </cell>
          <cell r="CF153">
            <v>-403491.24886538065</v>
          </cell>
          <cell r="CG153">
            <v>-387338.70596537343</v>
          </cell>
          <cell r="CH153">
            <v>18517.688912811209</v>
          </cell>
        </row>
        <row r="172">
          <cell r="BP172">
            <v>292255.81869723625</v>
          </cell>
        </row>
        <row r="174">
          <cell r="BP174">
            <v>24764.546041146026</v>
          </cell>
          <cell r="BR174">
            <v>41059.288980181816</v>
          </cell>
          <cell r="BS174">
            <v>55820.447091445611</v>
          </cell>
          <cell r="BT174">
            <v>39279.340405273593</v>
          </cell>
          <cell r="BU174">
            <v>110120.21545458204</v>
          </cell>
          <cell r="BV174">
            <v>99393.594179805703</v>
          </cell>
          <cell r="BW174">
            <v>48862.341542687369</v>
          </cell>
          <cell r="BX174">
            <v>91137.396351816002</v>
          </cell>
          <cell r="BY174">
            <v>112430.15508867106</v>
          </cell>
          <cell r="BZ174">
            <v>219092.08397471253</v>
          </cell>
          <cell r="CA174">
            <v>218874.27791424259</v>
          </cell>
          <cell r="CB174">
            <v>227326.94569476094</v>
          </cell>
          <cell r="CC174">
            <v>189330.87283547403</v>
          </cell>
          <cell r="CF174">
            <v>165000.49072887941</v>
          </cell>
          <cell r="CG174">
            <v>157401.78935743892</v>
          </cell>
          <cell r="CH174">
            <v>142911.45803488712</v>
          </cell>
        </row>
        <row r="175">
          <cell r="BP175">
            <v>436899.67489942175</v>
          </cell>
          <cell r="BR175">
            <v>211235.99210310099</v>
          </cell>
          <cell r="BS175">
            <v>3395547.6564646866</v>
          </cell>
          <cell r="BT175">
            <v>6188862.5428205058</v>
          </cell>
          <cell r="BU175">
            <v>5640711.0496475771</v>
          </cell>
          <cell r="BV175">
            <v>1149626.5000292766</v>
          </cell>
          <cell r="BW175">
            <v>939665.21013906295</v>
          </cell>
          <cell r="BX175">
            <v>311586.81282377348</v>
          </cell>
          <cell r="BY175">
            <v>1990525.1208761225</v>
          </cell>
          <cell r="BZ175">
            <v>1760153.8206506623</v>
          </cell>
          <cell r="CA175">
            <v>1388649.6854906704</v>
          </cell>
          <cell r="CB175">
            <v>3078394.3755124807</v>
          </cell>
          <cell r="CC175">
            <v>2889181.1505326801</v>
          </cell>
          <cell r="CF175">
            <v>2386045.1901201289</v>
          </cell>
          <cell r="CG175">
            <v>2008230.8617685542</v>
          </cell>
          <cell r="CH175">
            <v>1741335.9385828257</v>
          </cell>
        </row>
        <row r="176"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4000000</v>
          </cell>
          <cell r="BW176">
            <v>4000000</v>
          </cell>
          <cell r="BX176">
            <v>4000000</v>
          </cell>
          <cell r="BY176">
            <v>2000000</v>
          </cell>
          <cell r="BZ176">
            <v>2000000</v>
          </cell>
          <cell r="CA176">
            <v>2000000</v>
          </cell>
          <cell r="CB176">
            <v>0</v>
          </cell>
          <cell r="CC176">
            <v>0</v>
          </cell>
          <cell r="CF176">
            <v>0</v>
          </cell>
          <cell r="CG176">
            <v>0</v>
          </cell>
          <cell r="CH176">
            <v>0</v>
          </cell>
        </row>
        <row r="177">
          <cell r="BP177">
            <v>45000</v>
          </cell>
          <cell r="BR177">
            <v>45000</v>
          </cell>
          <cell r="BS177">
            <v>45000</v>
          </cell>
          <cell r="BT177">
            <v>45000</v>
          </cell>
          <cell r="BU177">
            <v>45000</v>
          </cell>
          <cell r="BV177">
            <v>45000</v>
          </cell>
          <cell r="BW177">
            <v>45000</v>
          </cell>
          <cell r="BX177">
            <v>45000</v>
          </cell>
          <cell r="BY177">
            <v>45000</v>
          </cell>
          <cell r="BZ177">
            <v>45000</v>
          </cell>
          <cell r="CA177">
            <v>45000</v>
          </cell>
          <cell r="CB177">
            <v>45000</v>
          </cell>
          <cell r="CC177">
            <v>45000</v>
          </cell>
          <cell r="CF177">
            <v>45000</v>
          </cell>
          <cell r="CG177">
            <v>45000</v>
          </cell>
          <cell r="CH177">
            <v>45000</v>
          </cell>
        </row>
        <row r="178">
          <cell r="BP178">
            <v>42763.015885942121</v>
          </cell>
          <cell r="BR178">
            <v>58637.469734639017</v>
          </cell>
          <cell r="BS178">
            <v>91091.642948945242</v>
          </cell>
          <cell r="BT178">
            <v>78002.463748712427</v>
          </cell>
          <cell r="BU178">
            <v>83079.769298226005</v>
          </cell>
          <cell r="BV178">
            <v>88115.821348801532</v>
          </cell>
          <cell r="BW178">
            <v>93226.054779407656</v>
          </cell>
          <cell r="BX178">
            <v>25667.124624622928</v>
          </cell>
          <cell r="BY178">
            <v>35674.716229632446</v>
          </cell>
          <cell r="BZ178">
            <v>57785.732429802396</v>
          </cell>
          <cell r="CA178">
            <v>58836.36433242535</v>
          </cell>
          <cell r="CB178">
            <v>43779.92207643899</v>
          </cell>
          <cell r="CC178">
            <v>214271.27957903181</v>
          </cell>
          <cell r="CF178">
            <v>152470.52820881386</v>
          </cell>
          <cell r="CG178">
            <v>123308.15247248209</v>
          </cell>
          <cell r="CH178">
            <v>565606.02657413529</v>
          </cell>
        </row>
        <row r="179">
          <cell r="BP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F179">
            <v>0</v>
          </cell>
          <cell r="CG179">
            <v>0</v>
          </cell>
          <cell r="CH179">
            <v>0</v>
          </cell>
        </row>
        <row r="180">
          <cell r="BP180">
            <v>6358.3109019679141</v>
          </cell>
        </row>
        <row r="181">
          <cell r="BP181">
            <v>27863.812702173826</v>
          </cell>
        </row>
        <row r="182">
          <cell r="BP182">
            <v>-171.24059896566905</v>
          </cell>
        </row>
        <row r="183">
          <cell r="BP183">
            <v>0</v>
          </cell>
        </row>
        <row r="184">
          <cell r="BP184">
            <v>11834.45680750873</v>
          </cell>
        </row>
        <row r="188">
          <cell r="BP188">
            <v>887568.39533643099</v>
          </cell>
          <cell r="BR188">
            <v>741101.71688925149</v>
          </cell>
          <cell r="BS188">
            <v>4038449.8017114238</v>
          </cell>
          <cell r="BT188">
            <v>6847077.0359331397</v>
          </cell>
          <cell r="BU188">
            <v>6592995.7951567173</v>
          </cell>
          <cell r="BV188">
            <v>6266914.829758456</v>
          </cell>
          <cell r="BW188">
            <v>6049231.5843404327</v>
          </cell>
          <cell r="BX188">
            <v>6739571.5456030481</v>
          </cell>
          <cell r="BY188">
            <v>6333649.7627801793</v>
          </cell>
          <cell r="BZ188">
            <v>6208954.8415588588</v>
          </cell>
          <cell r="CA188">
            <v>5873494.6656371532</v>
          </cell>
          <cell r="CB188">
            <v>5652611.8367906697</v>
          </cell>
          <cell r="CC188">
            <v>5686209.6643594764</v>
          </cell>
          <cell r="CF188">
            <v>5184093.7882281383</v>
          </cell>
          <cell r="CG188">
            <v>4798490.2015682813</v>
          </cell>
          <cell r="CH188">
            <v>4743704.5291510224</v>
          </cell>
        </row>
        <row r="191">
          <cell r="BP191">
            <v>46864.954545445558</v>
          </cell>
          <cell r="BR191">
            <v>41346.414209981223</v>
          </cell>
          <cell r="BS191">
            <v>41566.107775460529</v>
          </cell>
          <cell r="BT191">
            <v>35739.445453468601</v>
          </cell>
          <cell r="BU191">
            <v>36079.358811574464</v>
          </cell>
          <cell r="BV191">
            <v>37359.40940518921</v>
          </cell>
          <cell r="BW191">
            <v>37978.668135195949</v>
          </cell>
          <cell r="BX191">
            <v>1129370.3355460642</v>
          </cell>
          <cell r="BY191">
            <v>1092186.539475457</v>
          </cell>
          <cell r="BZ191">
            <v>1108425.4360660256</v>
          </cell>
          <cell r="CA191">
            <v>985615.88546930335</v>
          </cell>
          <cell r="CB191">
            <v>1002717.9151864987</v>
          </cell>
          <cell r="CC191">
            <v>1020736.1924066721</v>
          </cell>
          <cell r="CF191">
            <v>969956.06463150098</v>
          </cell>
          <cell r="CG191">
            <v>973022.10613173351</v>
          </cell>
          <cell r="CH191">
            <v>869721.86287243722</v>
          </cell>
        </row>
        <row r="192">
          <cell r="BO192">
            <v>0</v>
          </cell>
        </row>
        <row r="193">
          <cell r="BP193">
            <v>1326.6865928325312</v>
          </cell>
        </row>
        <row r="194">
          <cell r="BP194">
            <v>48191.641138278086</v>
          </cell>
          <cell r="BR194">
            <v>42684.767125901657</v>
          </cell>
          <cell r="BS194">
            <v>42893.298824790923</v>
          </cell>
          <cell r="BT194">
            <v>37068.664468748735</v>
          </cell>
          <cell r="BU194">
            <v>37402.741295742286</v>
          </cell>
          <cell r="BV194">
            <v>38711.129514081258</v>
          </cell>
          <cell r="BW194">
            <v>39334.378284559069</v>
          </cell>
          <cell r="BX194">
            <v>1130751.7127736367</v>
          </cell>
          <cell r="BY194">
            <v>1093570.4009952941</v>
          </cell>
          <cell r="BZ194">
            <v>1109829.8731773978</v>
          </cell>
          <cell r="CA194">
            <v>987040.25256661396</v>
          </cell>
          <cell r="CB194">
            <v>1004134.4996594631</v>
          </cell>
          <cell r="CC194">
            <v>1034455.8892525876</v>
          </cell>
          <cell r="CF194">
            <v>983849.83340536605</v>
          </cell>
          <cell r="CG194">
            <v>986741.2569486585</v>
          </cell>
          <cell r="CH194">
            <v>881731.27049960871</v>
          </cell>
        </row>
        <row r="196">
          <cell r="BO196">
            <v>177442.06916271811</v>
          </cell>
          <cell r="BR196">
            <v>236239.14445420593</v>
          </cell>
          <cell r="BS196">
            <v>439813.5173530418</v>
          </cell>
          <cell r="BT196">
            <v>121653.86966682908</v>
          </cell>
          <cell r="BU196">
            <v>129479.48199875778</v>
          </cell>
          <cell r="BV196">
            <v>88153.721234595912</v>
          </cell>
          <cell r="BW196">
            <v>99551.476641758054</v>
          </cell>
          <cell r="BX196">
            <v>92347.411987063475</v>
          </cell>
          <cell r="BY196">
            <v>4713.228834179452</v>
          </cell>
          <cell r="BZ196">
            <v>-16073.340595375586</v>
          </cell>
          <cell r="CA196">
            <v>63079.011232609919</v>
          </cell>
          <cell r="CB196">
            <v>116673.42009239225</v>
          </cell>
          <cell r="CC196">
            <v>200405.84719424509</v>
          </cell>
          <cell r="CF196">
            <v>158529.91672744407</v>
          </cell>
          <cell r="CG196">
            <v>170090.45862450954</v>
          </cell>
          <cell r="CH196">
            <v>243867.38633353295</v>
          </cell>
        </row>
        <row r="197">
          <cell r="BO197">
            <v>2244.9834672198544</v>
          </cell>
        </row>
        <row r="198">
          <cell r="BP198">
            <v>26.596879820505745</v>
          </cell>
        </row>
        <row r="199">
          <cell r="BP199">
            <v>-171.23999999999069</v>
          </cell>
        </row>
        <row r="200">
          <cell r="CH200">
            <v>54000.000038189726</v>
          </cell>
        </row>
        <row r="201">
          <cell r="BP201">
            <v>179542.40950975849</v>
          </cell>
          <cell r="BR201">
            <v>243150.10210021673</v>
          </cell>
          <cell r="BS201">
            <v>427896.87450375478</v>
          </cell>
          <cell r="BT201">
            <v>110107.35988400443</v>
          </cell>
          <cell r="BU201">
            <v>117379.12260270116</v>
          </cell>
          <cell r="BV201">
            <v>82505.023180023374</v>
          </cell>
          <cell r="BW201">
            <v>94046.731492708437</v>
          </cell>
          <cell r="BX201">
            <v>86095.490121007373</v>
          </cell>
          <cell r="BY201">
            <v>-1379.4020239779502</v>
          </cell>
          <cell r="BZ201">
            <v>-13226.240101171607</v>
          </cell>
          <cell r="CA201">
            <v>71487.063267471705</v>
          </cell>
          <cell r="CB201">
            <v>124370.42525954187</v>
          </cell>
          <cell r="CC201">
            <v>212807.60805435848</v>
          </cell>
          <cell r="CF201">
            <v>165282.18055014516</v>
          </cell>
          <cell r="CG201">
            <v>177161.51858336441</v>
          </cell>
          <cell r="CH201">
            <v>306743.91712001583</v>
          </cell>
        </row>
        <row r="203">
          <cell r="BP203">
            <v>2414793.4666351266</v>
          </cell>
          <cell r="BR203">
            <v>2414793.4666351266</v>
          </cell>
          <cell r="BS203">
            <v>5789793.4666351266</v>
          </cell>
          <cell r="BT203">
            <v>9164793.4666351266</v>
          </cell>
          <cell r="BU203">
            <v>9164793.4666351266</v>
          </cell>
          <cell r="BV203">
            <v>9164594.0563058145</v>
          </cell>
          <cell r="BW203">
            <v>9164594.0563058145</v>
          </cell>
          <cell r="BX203">
            <v>9164594.0563058145</v>
          </cell>
          <cell r="BY203">
            <v>9164594.0563058145</v>
          </cell>
          <cell r="BZ203">
            <v>9164095.0313095562</v>
          </cell>
          <cell r="CA203">
            <v>9164594.0563058145</v>
          </cell>
          <cell r="CB203">
            <v>9164095.0313095562</v>
          </cell>
          <cell r="CC203">
            <v>9164095.0313095562</v>
          </cell>
          <cell r="CF203">
            <v>9164095.0313095562</v>
          </cell>
          <cell r="CG203">
            <v>9164095.0313095562</v>
          </cell>
          <cell r="CH203">
            <v>9164095.0313095562</v>
          </cell>
        </row>
        <row r="204">
          <cell r="BW204">
            <v>116925.69560634048</v>
          </cell>
          <cell r="BX204">
            <v>116925.69560634048</v>
          </cell>
          <cell r="BY204">
            <v>116925.69560634048</v>
          </cell>
          <cell r="BZ204">
            <v>116925.69560634048</v>
          </cell>
          <cell r="CA204">
            <v>116925.69560634048</v>
          </cell>
          <cell r="CB204">
            <v>116925.69560634048</v>
          </cell>
          <cell r="CC204">
            <v>116925.69560634048</v>
          </cell>
          <cell r="CF204">
            <v>116925.69560634048</v>
          </cell>
          <cell r="CG204">
            <v>116925.69560634048</v>
          </cell>
          <cell r="CH204">
            <v>116925.69560634048</v>
          </cell>
        </row>
        <row r="205">
          <cell r="BW205">
            <v>-116925.69560634048</v>
          </cell>
          <cell r="BX205">
            <v>-116925.69560634048</v>
          </cell>
          <cell r="BY205">
            <v>-116925.69560634048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F205">
            <v>0</v>
          </cell>
          <cell r="CG205">
            <v>0</v>
          </cell>
          <cell r="CH205">
            <v>0</v>
          </cell>
        </row>
        <row r="206">
          <cell r="BP206">
            <v>-1823199.6350731486</v>
          </cell>
          <cell r="BR206">
            <v>-2031121.6848614642</v>
          </cell>
          <cell r="BS206">
            <v>-2290072.6430550059</v>
          </cell>
          <cell r="BT206">
            <v>-2533031.0281161033</v>
          </cell>
          <cell r="BU206">
            <v>-2793218.9667696268</v>
          </cell>
          <cell r="BV206">
            <v>-3092147.4751161393</v>
          </cell>
          <cell r="BW206">
            <v>-3324722.0599161568</v>
          </cell>
          <cell r="BX206">
            <v>-3725019.6595005668</v>
          </cell>
          <cell r="BY206">
            <v>-3982203.9958135998</v>
          </cell>
          <cell r="BZ206">
            <v>-4192749.4823964979</v>
          </cell>
          <cell r="CA206">
            <v>-4534324.8034467865</v>
          </cell>
          <cell r="CB206">
            <v>-4796098.7188352188</v>
          </cell>
          <cell r="CC206">
            <v>-4910173.2105822917</v>
          </cell>
          <cell r="CF206">
            <v>-5313664.4594476726</v>
          </cell>
          <cell r="CG206">
            <v>-5701003.1654130463</v>
          </cell>
          <cell r="CH206">
            <v>-5682485.4765002355</v>
          </cell>
        </row>
        <row r="209">
          <cell r="BP209">
            <v>68240.513126416365</v>
          </cell>
          <cell r="BR209">
            <v>71595.065889470745</v>
          </cell>
          <cell r="BS209">
            <v>67938.804802757222</v>
          </cell>
          <cell r="BT209">
            <v>68138.57306136284</v>
          </cell>
          <cell r="BU209">
            <v>66639.431392773986</v>
          </cell>
          <cell r="BV209">
            <v>73252.095874676481</v>
          </cell>
          <cell r="BW209">
            <v>75978.478173508309</v>
          </cell>
          <cell r="BX209">
            <v>83149.945903156884</v>
          </cell>
          <cell r="BY209">
            <v>59068.703316648491</v>
          </cell>
          <cell r="BZ209">
            <v>24079.963963234797</v>
          </cell>
          <cell r="CA209">
            <v>67772.401337699965</v>
          </cell>
          <cell r="CB209">
            <v>39184.903790988028</v>
          </cell>
          <cell r="CC209">
            <v>68098.650718926452</v>
          </cell>
          <cell r="CF209">
            <v>67605.506804403849</v>
          </cell>
          <cell r="CG209">
            <v>54569.864533408545</v>
          </cell>
          <cell r="CH209">
            <v>-43305.908884262666</v>
          </cell>
        </row>
        <row r="210">
          <cell r="BP210">
            <v>659834.34468839434</v>
          </cell>
          <cell r="BR210">
            <v>455266.84766313317</v>
          </cell>
          <cell r="BS210">
            <v>3567659.6283828779</v>
          </cell>
          <cell r="BT210">
            <v>6699901.0115803862</v>
          </cell>
          <cell r="BU210">
            <v>6438213.9312582742</v>
          </cell>
          <cell r="BV210">
            <v>6145698.6770643517</v>
          </cell>
          <cell r="BW210">
            <v>5915850.4745631656</v>
          </cell>
          <cell r="BX210">
            <v>5522724.3427084042</v>
          </cell>
          <cell r="BY210">
            <v>5241458.7638088632</v>
          </cell>
          <cell r="BZ210">
            <v>5112351.2084826324</v>
          </cell>
          <cell r="CA210">
            <v>4814967.3498030677</v>
          </cell>
          <cell r="CB210">
            <v>4524106.9118716652</v>
          </cell>
          <cell r="CC210">
            <v>4438946.1670525307</v>
          </cell>
          <cell r="CF210">
            <v>4034961.7742726272</v>
          </cell>
          <cell r="CG210">
            <v>3634587.4260362582</v>
          </cell>
          <cell r="CH210">
            <v>3555229.3415313978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s "/>
      <sheetName val="P&amp;L"/>
      <sheetName val="Balance Sheet"/>
      <sheetName val="P&amp;L breakdown"/>
      <sheetName val="BS breakdown"/>
    </sheetNames>
    <sheetDataSet>
      <sheetData sheetId="0">
        <row r="18">
          <cell r="B18">
            <v>5</v>
          </cell>
          <cell r="C18">
            <v>5</v>
          </cell>
          <cell r="D18">
            <v>5</v>
          </cell>
          <cell r="E18">
            <v>7</v>
          </cell>
          <cell r="F18">
            <v>8</v>
          </cell>
          <cell r="G18">
            <v>10</v>
          </cell>
          <cell r="H18">
            <v>10</v>
          </cell>
          <cell r="I18">
            <v>11</v>
          </cell>
          <cell r="J18">
            <v>11</v>
          </cell>
          <cell r="K18">
            <v>11</v>
          </cell>
          <cell r="L18">
            <v>11</v>
          </cell>
        </row>
      </sheetData>
      <sheetData sheetId="1">
        <row r="7">
          <cell r="E7">
            <v>45688</v>
          </cell>
          <cell r="F7">
            <v>45716</v>
          </cell>
          <cell r="G7">
            <v>45747</v>
          </cell>
          <cell r="H7">
            <v>45777</v>
          </cell>
          <cell r="I7">
            <v>45808</v>
          </cell>
          <cell r="J7">
            <v>45838</v>
          </cell>
          <cell r="K7">
            <v>45869</v>
          </cell>
          <cell r="L7">
            <v>45900</v>
          </cell>
          <cell r="M7">
            <v>45930</v>
          </cell>
          <cell r="N7">
            <v>45961</v>
          </cell>
          <cell r="O7">
            <v>45991</v>
          </cell>
          <cell r="P7">
            <v>46022</v>
          </cell>
          <cell r="S7">
            <v>46053</v>
          </cell>
          <cell r="T7">
            <v>46081</v>
          </cell>
          <cell r="U7">
            <v>46112</v>
          </cell>
          <cell r="V7">
            <v>46142</v>
          </cell>
          <cell r="W7">
            <v>46173</v>
          </cell>
          <cell r="X7">
            <v>46203</v>
          </cell>
          <cell r="Y7">
            <v>46234</v>
          </cell>
          <cell r="Z7">
            <v>46265</v>
          </cell>
          <cell r="AA7">
            <v>46295</v>
          </cell>
          <cell r="AB7">
            <v>46326</v>
          </cell>
          <cell r="AC7">
            <v>46356</v>
          </cell>
          <cell r="AD7">
            <v>46387</v>
          </cell>
        </row>
      </sheetData>
      <sheetData sheetId="2"/>
      <sheetData sheetId="3">
        <row r="10">
          <cell r="D10">
            <v>150024.29689270773</v>
          </cell>
          <cell r="E10">
            <v>136851.59325183523</v>
          </cell>
          <cell r="F10">
            <v>157346.77507437029</v>
          </cell>
          <cell r="G10">
            <v>164871.86613021573</v>
          </cell>
          <cell r="H10">
            <v>257134.50334809895</v>
          </cell>
          <cell r="I10">
            <v>184000.86740236328</v>
          </cell>
          <cell r="J10">
            <v>327097.7190170479</v>
          </cell>
          <cell r="K10">
            <v>194164.90102518024</v>
          </cell>
          <cell r="L10">
            <v>188933.48947038705</v>
          </cell>
          <cell r="M10">
            <v>209186.44420292779</v>
          </cell>
          <cell r="N10">
            <v>221283.53688096281</v>
          </cell>
          <cell r="O10">
            <v>247847.85192697943</v>
          </cell>
          <cell r="R10">
            <v>246017.41653176848</v>
          </cell>
          <cell r="S10">
            <v>273355.78552805516</v>
          </cell>
          <cell r="T10">
            <v>233309.11577070542</v>
          </cell>
        </row>
        <row r="18">
          <cell r="D18">
            <v>30366.501826107429</v>
          </cell>
          <cell r="E18">
            <v>89856.789634129367</v>
          </cell>
          <cell r="F18">
            <v>36672.77039067915</v>
          </cell>
          <cell r="G18">
            <v>45575.965071038372</v>
          </cell>
          <cell r="H18">
            <v>45643.828482912068</v>
          </cell>
          <cell r="I18">
            <v>32547.694272961537</v>
          </cell>
          <cell r="J18">
            <v>37718.893517356919</v>
          </cell>
          <cell r="K18">
            <v>44210.077066887083</v>
          </cell>
          <cell r="L18">
            <v>38680.954098768569</v>
          </cell>
          <cell r="M18">
            <v>33940.185659229624</v>
          </cell>
          <cell r="N18">
            <v>50735.372063569681</v>
          </cell>
          <cell r="O18">
            <v>53328.028659988697</v>
          </cell>
          <cell r="R18">
            <v>78813.21821640314</v>
          </cell>
          <cell r="S18">
            <v>58709.223141814953</v>
          </cell>
          <cell r="T18">
            <v>85306.728221341487</v>
          </cell>
        </row>
        <row r="26">
          <cell r="D26">
            <v>8438.1773355676505</v>
          </cell>
          <cell r="E26">
            <v>5873.0048153165526</v>
          </cell>
          <cell r="F26">
            <v>38483.183825132975</v>
          </cell>
          <cell r="G26">
            <v>12684.702211239168</v>
          </cell>
          <cell r="H26">
            <v>10550.688690411867</v>
          </cell>
          <cell r="I26">
            <v>6463.8311525294803</v>
          </cell>
          <cell r="J26">
            <v>8211.9355774145006</v>
          </cell>
          <cell r="K26">
            <v>8723.9116681613395</v>
          </cell>
          <cell r="L26">
            <v>8853.2557183958161</v>
          </cell>
          <cell r="M26">
            <v>10555.058306661775</v>
          </cell>
          <cell r="N26">
            <v>5042.0187052082656</v>
          </cell>
          <cell r="O26">
            <v>7205.8099469084091</v>
          </cell>
          <cell r="R26">
            <v>9670.3473817236118</v>
          </cell>
          <cell r="S26">
            <v>11165.167599726481</v>
          </cell>
          <cell r="T26">
            <v>8354.2226395016169</v>
          </cell>
        </row>
        <row r="34">
          <cell r="D34">
            <v>10635.949019597543</v>
          </cell>
          <cell r="E34">
            <v>12987.284274209795</v>
          </cell>
          <cell r="F34">
            <v>2924.9079186645722</v>
          </cell>
          <cell r="G34">
            <v>16237.459632996712</v>
          </cell>
          <cell r="H34">
            <v>17431.668935475089</v>
          </cell>
          <cell r="I34">
            <v>4315.8616934386064</v>
          </cell>
          <cell r="J34">
            <v>4866.6476839456936</v>
          </cell>
          <cell r="K34">
            <v>6394.0376681851012</v>
          </cell>
          <cell r="L34">
            <v>2752.8074762772007</v>
          </cell>
          <cell r="M34">
            <v>2307.6813320788519</v>
          </cell>
          <cell r="N34">
            <v>2557.020706540452</v>
          </cell>
          <cell r="O34">
            <v>3559.6695353916812</v>
          </cell>
          <cell r="R34">
            <v>35647.90362840303</v>
          </cell>
          <cell r="S34">
            <v>7397.5215658462193</v>
          </cell>
          <cell r="T34">
            <v>0</v>
          </cell>
        </row>
        <row r="44">
          <cell r="D44">
            <v>6584.2359896920971</v>
          </cell>
          <cell r="E44">
            <v>3578.3348674262597</v>
          </cell>
          <cell r="F44">
            <v>16327.027290334607</v>
          </cell>
          <cell r="G44">
            <v>8694.3006915580754</v>
          </cell>
          <cell r="H44">
            <v>6364.297888780281</v>
          </cell>
          <cell r="I44">
            <v>2150.6076062565171</v>
          </cell>
          <cell r="J44">
            <v>4225.0916087700398</v>
          </cell>
          <cell r="K44">
            <v>4750.8296486877825</v>
          </cell>
          <cell r="L44">
            <v>5483.2505040422029</v>
          </cell>
          <cell r="M44">
            <v>2767.0523102110778</v>
          </cell>
          <cell r="N44">
            <v>2069.4001670087596</v>
          </cell>
          <cell r="O44">
            <v>7053.875825976138</v>
          </cell>
          <cell r="R44">
            <v>5748.0100319987359</v>
          </cell>
          <cell r="S44">
            <v>5158.1290165611899</v>
          </cell>
          <cell r="T44">
            <v>3288.9106047060613</v>
          </cell>
        </row>
      </sheetData>
      <sheetData sheetId="4">
        <row r="14">
          <cell r="D14">
            <v>303526.34906197438</v>
          </cell>
          <cell r="E14">
            <v>380654.77847752313</v>
          </cell>
          <cell r="F14">
            <v>385328.45466192684</v>
          </cell>
          <cell r="G14">
            <v>379589.75459958264</v>
          </cell>
          <cell r="H14">
            <v>499059.90003985155</v>
          </cell>
          <cell r="I14">
            <v>518647.09572304104</v>
          </cell>
          <cell r="J14">
            <v>1783518.3040633132</v>
          </cell>
          <cell r="K14">
            <v>1760098.3866800556</v>
          </cell>
          <cell r="L14">
            <v>1873459.4865543772</v>
          </cell>
          <cell r="M14">
            <v>1884859.7734138239</v>
          </cell>
          <cell r="N14">
            <v>1966659.4800881341</v>
          </cell>
          <cell r="O14">
            <v>2070950.2915681512</v>
          </cell>
          <cell r="Q14">
            <v>2099950.9974596133</v>
          </cell>
          <cell r="R14">
            <v>2058243.3420374615</v>
          </cell>
          <cell r="S14">
            <v>1868794.6779185925</v>
          </cell>
        </row>
        <row r="24">
          <cell r="D24">
            <v>60758.357430647513</v>
          </cell>
          <cell r="E24">
            <v>47826.264712343363</v>
          </cell>
          <cell r="F24">
            <v>33752.716471176835</v>
          </cell>
          <cell r="G24">
            <v>55587.752202748088</v>
          </cell>
          <cell r="H24">
            <v>101282.57955417123</v>
          </cell>
          <cell r="I24">
            <v>116927.05669406849</v>
          </cell>
          <cell r="J24">
            <v>189011.02831258811</v>
          </cell>
          <cell r="K24">
            <v>92484.866481152712</v>
          </cell>
          <cell r="L24">
            <v>36873.92649164296</v>
          </cell>
          <cell r="M24">
            <v>67453.731468370461</v>
          </cell>
          <cell r="N24">
            <v>86771.638863435743</v>
          </cell>
          <cell r="O24">
            <v>85929.037839026219</v>
          </cell>
          <cell r="Q24">
            <v>145299.65853524738</v>
          </cell>
          <cell r="R24">
            <v>131963.73185794341</v>
          </cell>
          <cell r="S24">
            <v>144526.80160770612</v>
          </cell>
        </row>
        <row r="32">
          <cell r="D32">
            <v>20884.259578707752</v>
          </cell>
          <cell r="E32">
            <v>22509.012016479737</v>
          </cell>
          <cell r="F32">
            <v>76851.517825544608</v>
          </cell>
          <cell r="G32">
            <v>278907.25395400129</v>
          </cell>
          <cell r="H32">
            <v>284436.43460654828</v>
          </cell>
          <cell r="I32">
            <v>286903.82546216436</v>
          </cell>
          <cell r="J32">
            <v>293650.87942693342</v>
          </cell>
          <cell r="K32">
            <v>297436.51742454548</v>
          </cell>
          <cell r="L32">
            <v>216589.79145766181</v>
          </cell>
          <cell r="M32">
            <v>209820.83301762061</v>
          </cell>
          <cell r="N32">
            <v>204679.47455541874</v>
          </cell>
          <cell r="O32">
            <v>191547.03200511329</v>
          </cell>
          <cell r="Q32">
            <v>190326.92317545644</v>
          </cell>
          <cell r="R32">
            <v>274342.32407440094</v>
          </cell>
          <cell r="S32">
            <v>235529.62643287523</v>
          </cell>
        </row>
        <row r="46">
          <cell r="D46">
            <v>519.31848223851694</v>
          </cell>
          <cell r="E46">
            <v>531.98531875721915</v>
          </cell>
          <cell r="F46">
            <v>1146.5479527776679</v>
          </cell>
          <cell r="G46">
            <v>637.93314909959997</v>
          </cell>
          <cell r="H46">
            <v>759.25743011555699</v>
          </cell>
          <cell r="I46">
            <v>999.33513476508199</v>
          </cell>
          <cell r="J46">
            <v>153.04997394412118</v>
          </cell>
          <cell r="K46">
            <v>414.21756529281288</v>
          </cell>
          <cell r="L46">
            <v>620.59777518663509</v>
          </cell>
          <cell r="M46">
            <v>4871.435552556256</v>
          </cell>
          <cell r="N46">
            <v>4958.9387558264398</v>
          </cell>
          <cell r="O46">
            <v>8828.6183525343331</v>
          </cell>
          <cell r="Q46">
            <v>3709.5140563748741</v>
          </cell>
          <cell r="R46">
            <v>3904.6711404445145</v>
          </cell>
          <cell r="S46">
            <v>5799.3090986661055</v>
          </cell>
        </row>
        <row r="55">
          <cell r="D55">
            <v>7729.9920796927299</v>
          </cell>
          <cell r="E55">
            <v>-11121.437118713869</v>
          </cell>
          <cell r="F55">
            <v>-11363.838720322183</v>
          </cell>
          <cell r="G55">
            <v>-11414.910060988394</v>
          </cell>
          <cell r="H55">
            <v>-5056.23537579605</v>
          </cell>
          <cell r="I55">
            <v>-5148.3701344515739</v>
          </cell>
          <cell r="J55">
            <v>-5023.594612427768</v>
          </cell>
          <cell r="K55">
            <v>-5122.9869036131613</v>
          </cell>
          <cell r="L55">
            <v>3630.9398303894241</v>
          </cell>
          <cell r="M55">
            <v>4960.9835796161033</v>
          </cell>
          <cell r="N55">
            <v>4154.6508842876174</v>
          </cell>
          <cell r="O55">
            <v>17292.83935349459</v>
          </cell>
          <cell r="Q55">
            <v>16936.518540191304</v>
          </cell>
          <cell r="R55">
            <v>16885.53963533535</v>
          </cell>
          <cell r="S55">
            <v>15086.629276798534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4222-33F5-4B93-958E-1591D35DF3BF}">
  <dimension ref="B2:AC86"/>
  <sheetViews>
    <sheetView showGridLines="0" tabSelected="1" workbookViewId="0">
      <selection activeCell="N9" sqref="N9"/>
    </sheetView>
  </sheetViews>
  <sheetFormatPr defaultColWidth="8.86328125" defaultRowHeight="13.15" x14ac:dyDescent="0.4"/>
  <cols>
    <col min="1" max="1" width="8.86328125" style="4"/>
    <col min="2" max="2" width="31.86328125" style="4" customWidth="1"/>
    <col min="3" max="3" width="5.86328125" style="7" customWidth="1"/>
    <col min="4" max="4" width="1.1328125" style="8" customWidth="1"/>
    <col min="5" max="5" width="10.1328125" style="7" customWidth="1"/>
    <col min="6" max="6" width="11.1328125" style="7" bestFit="1" customWidth="1"/>
    <col min="7" max="7" width="12.1328125" style="7" bestFit="1" customWidth="1"/>
    <col min="8" max="8" width="11.3984375" style="7" customWidth="1"/>
    <col min="9" max="16" width="8.86328125" style="4"/>
    <col min="17" max="17" width="3.59765625" style="4" customWidth="1"/>
    <col min="18" max="18" width="10.1328125" style="7" customWidth="1"/>
    <col min="19" max="19" width="11.1328125" style="7" bestFit="1" customWidth="1"/>
    <col min="20" max="20" width="12.1328125" style="7" bestFit="1" customWidth="1"/>
    <col min="21" max="21" width="11.3984375" style="7" customWidth="1"/>
    <col min="22" max="16384" width="8.86328125" style="4"/>
  </cols>
  <sheetData>
    <row r="2" spans="2:29" ht="13.5" thickBot="1" x14ac:dyDescent="0.45">
      <c r="B2" s="1" t="s">
        <v>0</v>
      </c>
      <c r="C2" s="1" t="s">
        <v>1</v>
      </c>
      <c r="D2" s="2"/>
      <c r="E2" s="3">
        <v>45658</v>
      </c>
      <c r="F2" s="3">
        <f>EOMONTH(E2,1)</f>
        <v>45716</v>
      </c>
      <c r="G2" s="3">
        <f t="shared" ref="G2:L2" si="0">EOMONTH(F2,1)</f>
        <v>45747</v>
      </c>
      <c r="H2" s="3">
        <f t="shared" si="0"/>
        <v>45777</v>
      </c>
      <c r="I2" s="3">
        <f t="shared" si="0"/>
        <v>45808</v>
      </c>
      <c r="J2" s="3">
        <f t="shared" si="0"/>
        <v>45838</v>
      </c>
      <c r="K2" s="3">
        <f t="shared" si="0"/>
        <v>45869</v>
      </c>
      <c r="L2" s="3">
        <f t="shared" si="0"/>
        <v>45900</v>
      </c>
      <c r="M2" s="3">
        <f t="shared" ref="M2" si="1">EOMONTH(L2,1)</f>
        <v>45930</v>
      </c>
      <c r="N2" s="3">
        <f t="shared" ref="N2" si="2">EOMONTH(M2,1)</f>
        <v>45961</v>
      </c>
      <c r="O2" s="3">
        <f t="shared" ref="O2:P2" si="3">EOMONTH(N2,1)</f>
        <v>45991</v>
      </c>
      <c r="P2" s="3">
        <f t="shared" si="3"/>
        <v>46022</v>
      </c>
      <c r="R2" s="3">
        <v>46023</v>
      </c>
      <c r="S2" s="3">
        <f>EOMONTH(R2,1)</f>
        <v>46081</v>
      </c>
      <c r="T2" s="3">
        <f t="shared" ref="T2" si="4">EOMONTH(S2,1)</f>
        <v>46112</v>
      </c>
      <c r="U2" s="3">
        <f t="shared" ref="U2" si="5">EOMONTH(T2,1)</f>
        <v>46142</v>
      </c>
      <c r="V2" s="3">
        <f t="shared" ref="V2" si="6">EOMONTH(U2,1)</f>
        <v>46173</v>
      </c>
      <c r="W2" s="3">
        <f t="shared" ref="W2" si="7">EOMONTH(V2,1)</f>
        <v>46203</v>
      </c>
      <c r="X2" s="3">
        <f t="shared" ref="X2" si="8">EOMONTH(W2,1)</f>
        <v>46234</v>
      </c>
      <c r="Y2" s="3">
        <f t="shared" ref="Y2" si="9">EOMONTH(X2,1)</f>
        <v>46265</v>
      </c>
      <c r="Z2" s="3">
        <f t="shared" ref="Z2" si="10">EOMONTH(Y2,1)</f>
        <v>46295</v>
      </c>
      <c r="AA2" s="3">
        <f t="shared" ref="AA2" si="11">EOMONTH(Z2,1)</f>
        <v>46326</v>
      </c>
      <c r="AB2" s="3">
        <f t="shared" ref="AB2" si="12">EOMONTH(AA2,1)</f>
        <v>46356</v>
      </c>
      <c r="AC2" s="3">
        <f t="shared" ref="AC2" si="13">EOMONTH(AB2,1)</f>
        <v>46387</v>
      </c>
    </row>
    <row r="4" spans="2:29" x14ac:dyDescent="0.4">
      <c r="B4" s="5" t="s">
        <v>2</v>
      </c>
      <c r="C4" s="5"/>
      <c r="D4" s="2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  <c r="R4" s="6"/>
      <c r="S4" s="6"/>
      <c r="T4" s="6"/>
      <c r="U4" s="6"/>
      <c r="V4" s="6"/>
      <c r="W4" s="5"/>
      <c r="X4" s="5"/>
      <c r="Y4" s="5"/>
      <c r="Z4" s="5"/>
      <c r="AA4" s="5"/>
      <c r="AB4" s="5"/>
      <c r="AC4" s="5"/>
    </row>
    <row r="5" spans="2:29" x14ac:dyDescent="0.4">
      <c r="B5" s="4" t="s">
        <v>3</v>
      </c>
      <c r="C5" s="7" t="s">
        <v>4</v>
      </c>
      <c r="I5" s="7"/>
      <c r="V5" s="7"/>
    </row>
    <row r="6" spans="2:29" x14ac:dyDescent="0.4">
      <c r="B6" s="4" t="s">
        <v>5</v>
      </c>
      <c r="C6" s="7" t="s">
        <v>6</v>
      </c>
      <c r="E6" s="7">
        <f>SUM([1]Sheet1!B14:B16,[1]Sheet1!B9)</f>
        <v>105</v>
      </c>
      <c r="F6" s="7">
        <f>SUM([1]Sheet1!C14:C16,[1]Sheet1!C9)</f>
        <v>20</v>
      </c>
      <c r="G6" s="7">
        <f>SUM([1]Sheet1!D14:D16,[1]Sheet1!D9)</f>
        <v>8</v>
      </c>
      <c r="H6" s="7">
        <f>SUM([1]Sheet1!E14:E16,[1]Sheet1!E9)</f>
        <v>167</v>
      </c>
      <c r="I6" s="7">
        <f>SUM([1]Sheet1!F14:F16,[1]Sheet1!F9)</f>
        <v>71</v>
      </c>
      <c r="J6" s="7">
        <f>SUM([1]Sheet1!G14:G16,[1]Sheet1!G9)</f>
        <v>80</v>
      </c>
      <c r="K6" s="7">
        <f>SUM([1]Sheet1!H14:H16,[1]Sheet1!H9)</f>
        <v>0</v>
      </c>
      <c r="L6" s="7">
        <f>SUM([1]Sheet1!I14:I16,[1]Sheet1!I9)</f>
        <v>64</v>
      </c>
      <c r="M6" s="7">
        <f>SUM([1]Sheet1!J14:J16,[1]Sheet1!J9)</f>
        <v>0</v>
      </c>
      <c r="N6" s="7">
        <f>SUM([1]Sheet1!K14:K16,[1]Sheet1!K9)</f>
        <v>164</v>
      </c>
      <c r="O6" s="7">
        <f>SUM([1]Sheet1!L14:L16,[1]Sheet1!L9)</f>
        <v>159</v>
      </c>
      <c r="P6" s="7">
        <f>SUM([1]Sheet1!M14:M16,[1]Sheet1!M9)</f>
        <v>276</v>
      </c>
      <c r="R6" s="7">
        <f>SUM([1]Sheet1!O14:O16,[1]Sheet1!O9)</f>
        <v>530</v>
      </c>
      <c r="S6" s="7">
        <f>SUM([1]Sheet1!P14:P16,[1]Sheet1!P9)</f>
        <v>12526</v>
      </c>
      <c r="T6" s="7">
        <f>SUM([1]Sheet1!Q14:Q16,[1]Sheet1!Q9)</f>
        <v>6911</v>
      </c>
      <c r="V6" s="7"/>
      <c r="W6" s="7"/>
      <c r="X6" s="7"/>
      <c r="Y6" s="7"/>
      <c r="Z6" s="7"/>
      <c r="AA6" s="7"/>
      <c r="AB6" s="7"/>
      <c r="AC6" s="7"/>
    </row>
    <row r="7" spans="2:29" x14ac:dyDescent="0.4">
      <c r="B7" s="9" t="s">
        <v>7</v>
      </c>
      <c r="C7" s="10" t="s">
        <v>4</v>
      </c>
      <c r="E7" s="11">
        <f>SUM(E8:E11)</f>
        <v>15853.229692753781</v>
      </c>
      <c r="F7" s="11">
        <f t="shared" ref="F7:J7" si="14">SUM(F8:F11)</f>
        <v>5050.7412298016579</v>
      </c>
      <c r="G7" s="11">
        <f t="shared" si="14"/>
        <v>25050.250476449764</v>
      </c>
      <c r="H7" s="11">
        <f t="shared" si="14"/>
        <v>5075.6411652600063</v>
      </c>
      <c r="I7" s="11">
        <f t="shared" si="14"/>
        <v>5083.0620954403448</v>
      </c>
      <c r="J7" s="11">
        <f t="shared" si="14"/>
        <v>5101.8234537398148</v>
      </c>
      <c r="K7" s="11">
        <f t="shared" ref="K7:L7" si="15">SUM(K8:K11)</f>
        <v>5100</v>
      </c>
      <c r="L7" s="11">
        <f t="shared" si="15"/>
        <v>10000.002722940775</v>
      </c>
      <c r="M7" s="11">
        <f t="shared" ref="M7:N7" si="16">SUM(M8:M11)</f>
        <v>37200</v>
      </c>
      <c r="N7" s="11">
        <f t="shared" si="16"/>
        <v>600.00272294077513</v>
      </c>
      <c r="O7" s="11">
        <f>SUM(O8:O11)</f>
        <v>11600</v>
      </c>
      <c r="P7" s="11">
        <f>SUM(P8:P11)</f>
        <v>290499.99909334158</v>
      </c>
      <c r="R7" s="11">
        <f>SUM(R8:R11)</f>
        <v>11600.002722940777</v>
      </c>
      <c r="S7" s="11">
        <f>SUM(S8:S11)</f>
        <v>11600.002722940779</v>
      </c>
      <c r="T7" s="11">
        <f>SUM(T8:T11)</f>
        <v>397349.99863884464</v>
      </c>
      <c r="U7" s="11"/>
      <c r="V7" s="11"/>
      <c r="W7" s="11"/>
      <c r="X7" s="11"/>
      <c r="Y7" s="11"/>
      <c r="Z7" s="11"/>
      <c r="AA7" s="11"/>
      <c r="AB7" s="11"/>
      <c r="AC7" s="11"/>
    </row>
    <row r="8" spans="2:29" x14ac:dyDescent="0.4">
      <c r="B8" s="4" t="s">
        <v>8</v>
      </c>
      <c r="C8" s="7" t="s">
        <v>4</v>
      </c>
      <c r="E8" s="12">
        <f>'P&amp;L'!E14</f>
        <v>10800</v>
      </c>
      <c r="F8" s="12">
        <f>'P&amp;L'!F14</f>
        <v>0</v>
      </c>
      <c r="G8" s="12">
        <f>'P&amp;L'!G14</f>
        <v>0</v>
      </c>
      <c r="H8" s="12">
        <f>'P&amp;L'!H14</f>
        <v>0</v>
      </c>
      <c r="I8" s="12">
        <f>'P&amp;L'!I14</f>
        <v>0</v>
      </c>
      <c r="J8" s="12">
        <f>'P&amp;L'!J14</f>
        <v>0</v>
      </c>
      <c r="K8" s="12">
        <f>'P&amp;L'!K14</f>
        <v>0</v>
      </c>
      <c r="L8" s="12">
        <f>'P&amp;L'!L14</f>
        <v>0</v>
      </c>
      <c r="M8" s="12">
        <f>'P&amp;L'!M14</f>
        <v>0</v>
      </c>
      <c r="N8" s="12">
        <f>'P&amp;L'!N14</f>
        <v>17800.002722940775</v>
      </c>
      <c r="O8" s="12">
        <f>'P&amp;L'!O14</f>
        <v>1600.0000000000002</v>
      </c>
      <c r="P8" s="12">
        <f>'P&amp;L'!P14</f>
        <v>300500.00000000006</v>
      </c>
      <c r="R8" s="12">
        <f>'P&amp;L'!S14</f>
        <v>1600.0027229407763</v>
      </c>
      <c r="S8" s="12">
        <f>'P&amp;L'!T14</f>
        <v>1600.002722940776</v>
      </c>
      <c r="T8" s="12">
        <f>'P&amp;L'!U14</f>
        <v>387350.00136122946</v>
      </c>
      <c r="U8" s="12"/>
      <c r="V8" s="12"/>
      <c r="W8" s="12"/>
      <c r="X8" s="12"/>
      <c r="Y8" s="12"/>
      <c r="Z8" s="12"/>
      <c r="AA8" s="12"/>
      <c r="AB8" s="12"/>
      <c r="AC8" s="12"/>
    </row>
    <row r="9" spans="2:29" x14ac:dyDescent="0.4">
      <c r="B9" s="4" t="s">
        <v>9</v>
      </c>
      <c r="C9" s="7" t="s">
        <v>4</v>
      </c>
      <c r="E9" s="12">
        <f>'P&amp;L'!E24</f>
        <v>0</v>
      </c>
      <c r="F9" s="12">
        <f>'P&amp;L'!F24</f>
        <v>0</v>
      </c>
      <c r="G9" s="12">
        <f>'P&amp;L'!G24</f>
        <v>0</v>
      </c>
      <c r="H9" s="12">
        <f>'P&amp;L'!H24</f>
        <v>0</v>
      </c>
      <c r="I9" s="12">
        <f>'P&amp;L'!I24</f>
        <v>0</v>
      </c>
      <c r="J9" s="12">
        <f>'P&amp;L'!J24</f>
        <v>0</v>
      </c>
      <c r="K9" s="12">
        <f>'P&amp;L'!K24</f>
        <v>0</v>
      </c>
      <c r="L9" s="12">
        <f>'P&amp;L'!L24</f>
        <v>0</v>
      </c>
      <c r="M9" s="12">
        <f>'P&amp;L'!M24</f>
        <v>0</v>
      </c>
      <c r="N9" s="12">
        <f>'P&amp;L'!N24</f>
        <v>0</v>
      </c>
      <c r="O9" s="12">
        <f>'P&amp;L'!O24</f>
        <v>0</v>
      </c>
      <c r="P9" s="12">
        <f>'P&amp;L'!P24</f>
        <v>0</v>
      </c>
      <c r="R9" s="12">
        <f>'P&amp;L'!S24</f>
        <v>0</v>
      </c>
      <c r="S9" s="12">
        <f>'P&amp;L'!T24</f>
        <v>0</v>
      </c>
      <c r="T9" s="12">
        <f>'P&amp;L'!U24</f>
        <v>0</v>
      </c>
      <c r="U9" s="12"/>
      <c r="V9" s="12"/>
      <c r="W9" s="12"/>
      <c r="X9" s="12"/>
      <c r="Y9" s="12"/>
      <c r="Z9" s="12"/>
      <c r="AA9" s="12"/>
      <c r="AB9" s="12"/>
      <c r="AC9" s="12"/>
    </row>
    <row r="10" spans="2:29" x14ac:dyDescent="0.4">
      <c r="B10" s="4" t="s">
        <v>10</v>
      </c>
      <c r="C10" s="7" t="s">
        <v>4</v>
      </c>
      <c r="E10" s="12">
        <f>'P&amp;L'!E19</f>
        <v>5053.2296927537809</v>
      </c>
      <c r="F10" s="12">
        <f>'P&amp;L'!F19</f>
        <v>5050.7412298016579</v>
      </c>
      <c r="G10" s="12">
        <f>'P&amp;L'!G19</f>
        <v>25050.250476449764</v>
      </c>
      <c r="H10" s="12">
        <f>'P&amp;L'!H19</f>
        <v>5075.6411652600063</v>
      </c>
      <c r="I10" s="12">
        <f>'P&amp;L'!I19</f>
        <v>5083.0620954403448</v>
      </c>
      <c r="J10" s="12">
        <f>'P&amp;L'!J19</f>
        <v>5101.8234537398148</v>
      </c>
      <c r="K10" s="12">
        <f>'P&amp;L'!K19</f>
        <v>5100</v>
      </c>
      <c r="L10" s="12">
        <f>'P&amp;L'!L19</f>
        <v>10000.002722940775</v>
      </c>
      <c r="M10" s="12">
        <f>'P&amp;L'!M19</f>
        <v>37200</v>
      </c>
      <c r="N10" s="12">
        <f>'P&amp;L'!N19</f>
        <v>-17200</v>
      </c>
      <c r="O10" s="12">
        <f>'P&amp;L'!O19</f>
        <v>10000</v>
      </c>
      <c r="P10" s="12">
        <f>'P&amp;L'!P19</f>
        <v>-10000.000906658472</v>
      </c>
      <c r="R10" s="12">
        <f>'P&amp;L'!S19</f>
        <v>10000</v>
      </c>
      <c r="S10" s="12">
        <f>'P&amp;L'!T19</f>
        <v>10000.000000000002</v>
      </c>
      <c r="T10" s="12">
        <f>'P&amp;L'!U19</f>
        <v>9999.9972776151917</v>
      </c>
      <c r="U10" s="12"/>
      <c r="V10" s="12"/>
      <c r="W10" s="12"/>
      <c r="X10" s="12"/>
      <c r="Y10" s="12"/>
      <c r="Z10" s="12"/>
      <c r="AA10" s="12"/>
      <c r="AB10" s="12"/>
      <c r="AC10" s="12"/>
    </row>
    <row r="11" spans="2:29" x14ac:dyDescent="0.4">
      <c r="B11" s="4" t="s">
        <v>11</v>
      </c>
      <c r="C11" s="7" t="s">
        <v>4</v>
      </c>
      <c r="E11" s="12">
        <f>'[2]Detailed FS_$ Cons. (formating)'!BR$10</f>
        <v>0</v>
      </c>
      <c r="F11" s="12">
        <f>'[2]Detailed FS_$ Cons. (formating)'!BS$10</f>
        <v>0</v>
      </c>
      <c r="G11" s="12">
        <f>'[2]Detailed FS_$ Cons. (formating)'!BT$10</f>
        <v>0</v>
      </c>
      <c r="H11" s="12">
        <f>'[2]Detailed FS_$ Cons. (formating)'!BU$10</f>
        <v>0</v>
      </c>
      <c r="I11" s="12">
        <f>'[2]Detailed FS_$ Cons. (formating)'!BV$10</f>
        <v>0</v>
      </c>
      <c r="J11" s="12">
        <f>'[2]Detailed FS_$ Cons. (formating)'!BW$10</f>
        <v>0</v>
      </c>
      <c r="K11" s="12">
        <f>'[2]Detailed FS_$ Cons. (formating)'!BX$10</f>
        <v>0</v>
      </c>
      <c r="L11" s="12">
        <f>'[2]Detailed FS_$ Cons. (formating)'!BY$10</f>
        <v>0</v>
      </c>
      <c r="M11" s="12">
        <f>'[2]Detailed FS_$ Cons. (formating)'!BZ$10</f>
        <v>0</v>
      </c>
      <c r="N11" s="12">
        <f>'[2]Detailed FS_$ Cons. (formating)'!CA$10</f>
        <v>0</v>
      </c>
      <c r="O11" s="12">
        <f>'[2]Detailed FS_$ Cons. (formating)'!CB$10</f>
        <v>0</v>
      </c>
      <c r="P11" s="12">
        <f>'[2]Detailed FS_$ Cons. (formating)'!CC$10</f>
        <v>0</v>
      </c>
      <c r="R11" s="12">
        <f>'[2]Detailed FS_$ Cons. (formating)'!CF$10</f>
        <v>0</v>
      </c>
      <c r="S11" s="12">
        <f>'[2]Detailed FS_$ Cons. (formating)'!CG$10</f>
        <v>0</v>
      </c>
      <c r="T11" s="12">
        <f>'[2]Detailed FS_$ Cons. (formating)'!CH$10</f>
        <v>0</v>
      </c>
      <c r="U11" s="12"/>
      <c r="V11" s="12"/>
      <c r="W11" s="12"/>
      <c r="X11" s="12"/>
      <c r="Y11" s="12"/>
      <c r="Z11" s="12"/>
      <c r="AA11" s="12"/>
      <c r="AB11" s="12"/>
      <c r="AC11" s="12"/>
    </row>
    <row r="12" spans="2:29" x14ac:dyDescent="0.4">
      <c r="B12" s="9" t="s">
        <v>12</v>
      </c>
      <c r="C12" s="10" t="s">
        <v>4</v>
      </c>
      <c r="E12" s="11">
        <f>'P&amp;L'!E51</f>
        <v>-9999.8638714946901</v>
      </c>
      <c r="F12" s="11">
        <f>'P&amp;L'!F51</f>
        <v>-9999.8638714946901</v>
      </c>
      <c r="G12" s="11">
        <f>'P&amp;L'!G51</f>
        <v>-10000</v>
      </c>
      <c r="H12" s="11">
        <f>'P&amp;L'!H51</f>
        <v>-10000</v>
      </c>
      <c r="I12" s="11">
        <f>'P&amp;L'!I51</f>
        <v>40000</v>
      </c>
      <c r="J12" s="11">
        <f>'P&amp;L'!J51</f>
        <v>0</v>
      </c>
      <c r="K12" s="11">
        <f>'P&amp;L'!K51</f>
        <v>0</v>
      </c>
      <c r="L12" s="11">
        <f>'P&amp;L'!L51</f>
        <v>0</v>
      </c>
      <c r="M12" s="11">
        <f>'P&amp;L'!M51</f>
        <v>0</v>
      </c>
      <c r="N12" s="11">
        <f>'P&amp;L'!N51</f>
        <v>-9936.1448407296502</v>
      </c>
      <c r="O12" s="11">
        <f>'P&amp;L'!O51</f>
        <v>-3199.5643887830111</v>
      </c>
      <c r="P12" s="11">
        <f>'P&amp;L'!P51</f>
        <v>-3580.5118431799619</v>
      </c>
      <c r="R12" s="11">
        <f>'P&amp;L'!S51</f>
        <v>-2187.2011979308468</v>
      </c>
      <c r="S12" s="11">
        <f>'P&amp;L'!T51</f>
        <v>-2187.2011979308468</v>
      </c>
      <c r="T12" s="11">
        <f>'P&amp;L'!U51</f>
        <v>-2187.2011979308468</v>
      </c>
      <c r="U12" s="11"/>
      <c r="V12" s="11"/>
      <c r="W12" s="11"/>
      <c r="X12" s="11"/>
      <c r="Y12" s="11"/>
      <c r="Z12" s="11"/>
      <c r="AA12" s="11"/>
      <c r="AB12" s="11"/>
      <c r="AC12" s="11"/>
    </row>
    <row r="13" spans="2:29" x14ac:dyDescent="0.4">
      <c r="B13" s="4" t="s">
        <v>13</v>
      </c>
      <c r="C13" s="7" t="s">
        <v>4</v>
      </c>
      <c r="E13" s="12">
        <f>E7+E12</f>
        <v>5853.3658212590908</v>
      </c>
      <c r="F13" s="12">
        <f t="shared" ref="F13:H13" si="17">F7+F12</f>
        <v>-4949.1226416930322</v>
      </c>
      <c r="G13" s="12">
        <f t="shared" si="17"/>
        <v>15050.250476449764</v>
      </c>
      <c r="H13" s="12">
        <f t="shared" si="17"/>
        <v>-4924.3588347399937</v>
      </c>
      <c r="I13" s="12">
        <f t="shared" ref="I13:J13" si="18">I7+I12</f>
        <v>45083.062095440342</v>
      </c>
      <c r="J13" s="12">
        <f t="shared" si="18"/>
        <v>5101.8234537398148</v>
      </c>
      <c r="K13" s="12">
        <f t="shared" ref="K13:L13" si="19">K7+K12</f>
        <v>5100</v>
      </c>
      <c r="L13" s="12">
        <f t="shared" si="19"/>
        <v>10000.002722940775</v>
      </c>
      <c r="M13" s="12">
        <f t="shared" ref="M13:N13" si="20">M7+M12</f>
        <v>37200</v>
      </c>
      <c r="N13" s="12">
        <f t="shared" si="20"/>
        <v>-9336.1421177888751</v>
      </c>
      <c r="O13" s="12">
        <f>O7+O12</f>
        <v>8400.435611216988</v>
      </c>
      <c r="P13" s="12">
        <f>P7+P12</f>
        <v>286919.48725016165</v>
      </c>
      <c r="R13" s="12">
        <f>R7+R12</f>
        <v>9412.8015250099306</v>
      </c>
      <c r="S13" s="12">
        <f>S7+S12</f>
        <v>9412.8015250099324</v>
      </c>
      <c r="T13" s="12">
        <f>T7+T12</f>
        <v>395162.7974409138</v>
      </c>
      <c r="U13" s="12"/>
      <c r="V13" s="12"/>
      <c r="W13" s="12"/>
      <c r="X13" s="12"/>
      <c r="Y13" s="12"/>
      <c r="Z13" s="12"/>
      <c r="AA13" s="12"/>
      <c r="AB13" s="12"/>
      <c r="AC13" s="12"/>
    </row>
    <row r="14" spans="2:29" x14ac:dyDescent="0.4">
      <c r="B14" s="4" t="s">
        <v>14</v>
      </c>
      <c r="C14" s="7" t="s">
        <v>15</v>
      </c>
      <c r="E14" s="13">
        <f t="shared" ref="E14:J14" si="21">E13/E7</f>
        <v>0.3692222931668338</v>
      </c>
      <c r="F14" s="13">
        <f t="shared" si="21"/>
        <v>-0.9798804604145962</v>
      </c>
      <c r="G14" s="13">
        <f t="shared" si="21"/>
        <v>0.60080239479436748</v>
      </c>
      <c r="H14" s="13">
        <f t="shared" si="21"/>
        <v>-0.97019443936355121</v>
      </c>
      <c r="I14" s="13">
        <f t="shared" si="21"/>
        <v>8.8692723498068542</v>
      </c>
      <c r="J14" s="13">
        <f t="shared" si="21"/>
        <v>1</v>
      </c>
      <c r="K14" s="13">
        <f t="shared" ref="K14:P14" si="22">IFERROR(K13/K7,0)</f>
        <v>1</v>
      </c>
      <c r="L14" s="13">
        <f t="shared" si="22"/>
        <v>1</v>
      </c>
      <c r="M14" s="13">
        <f t="shared" si="22"/>
        <v>1</v>
      </c>
      <c r="N14" s="13">
        <f t="shared" si="22"/>
        <v>-15.560166247296221</v>
      </c>
      <c r="O14" s="13">
        <f t="shared" si="22"/>
        <v>0.72417548372560236</v>
      </c>
      <c r="P14" s="13">
        <f t="shared" si="22"/>
        <v>0.98767465798845155</v>
      </c>
      <c r="R14" s="13">
        <f t="shared" ref="R14:S14" si="23">IFERROR(R13/R7,0)</f>
        <v>0.81144821685211144</v>
      </c>
      <c r="S14" s="13">
        <f t="shared" si="23"/>
        <v>0.81144821685211144</v>
      </c>
      <c r="T14" s="13">
        <f t="shared" ref="T14" si="24">IFERROR(T13/T7,0)</f>
        <v>0.99449552987184275</v>
      </c>
      <c r="U14" s="13"/>
      <c r="V14" s="13"/>
      <c r="W14" s="13"/>
      <c r="X14" s="13"/>
      <c r="Y14" s="13"/>
      <c r="Z14" s="13"/>
      <c r="AA14" s="13"/>
      <c r="AB14" s="13"/>
      <c r="AC14" s="13"/>
    </row>
    <row r="15" spans="2:29" x14ac:dyDescent="0.4">
      <c r="B15" s="9" t="s">
        <v>16</v>
      </c>
      <c r="C15" s="10" t="s">
        <v>4</v>
      </c>
      <c r="E15" s="11">
        <f>'P&amp;L'!E120</f>
        <v>-200195.79524241335</v>
      </c>
      <c r="F15" s="11">
        <f>'P&amp;L'!F120</f>
        <v>-254096.12948461022</v>
      </c>
      <c r="G15" s="11">
        <f>'P&amp;L'!G120</f>
        <v>-236704.41402273183</v>
      </c>
      <c r="H15" s="11">
        <f>'P&amp;L'!H120</f>
        <v>-252988.65257178806</v>
      </c>
      <c r="I15" s="11">
        <f>'P&amp;L'!I120</f>
        <v>-292041.92525023792</v>
      </c>
      <c r="J15" s="11">
        <f>'P&amp;L'!J120</f>
        <v>-224377.03867380961</v>
      </c>
      <c r="K15" s="11">
        <f>'P&amp;L'!K120</f>
        <v>-377020.28740453511</v>
      </c>
      <c r="L15" s="11">
        <f>'P&amp;L'!L120</f>
        <v>-248243.75435416077</v>
      </c>
      <c r="M15" s="11">
        <f>'P&amp;L'!M120</f>
        <v>-207503.75726787082</v>
      </c>
      <c r="N15" s="11">
        <f>'P&amp;L'!N120</f>
        <v>-268092.56392889802</v>
      </c>
      <c r="O15" s="11">
        <f>'P&amp;L'!O120</f>
        <v>-273286.91291207296</v>
      </c>
      <c r="P15" s="11">
        <f>'P&amp;L'!P120</f>
        <v>-32075.748645082698</v>
      </c>
      <c r="R15" s="11">
        <f>'P&amp;L'!S120</f>
        <v>-366484.0942652871</v>
      </c>
      <c r="S15" s="11">
        <f>'P&amp;L'!T120</f>
        <v>-346373.02532699407</v>
      </c>
      <c r="T15" s="11">
        <f>'P&amp;L'!U120</f>
        <v>64903.820204659249</v>
      </c>
      <c r="U15" s="11"/>
      <c r="V15" s="11"/>
      <c r="W15" s="11"/>
      <c r="X15" s="11"/>
      <c r="Y15" s="11"/>
      <c r="Z15" s="11"/>
      <c r="AA15" s="11"/>
      <c r="AB15" s="11"/>
      <c r="AC15" s="11"/>
    </row>
    <row r="16" spans="2:29" x14ac:dyDescent="0.4">
      <c r="R16" s="4"/>
      <c r="S16" s="4"/>
    </row>
    <row r="17" spans="2:29" x14ac:dyDescent="0.4">
      <c r="B17" s="5" t="s">
        <v>17</v>
      </c>
      <c r="C17" s="5"/>
      <c r="D17" s="2"/>
      <c r="E17" s="6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R17" s="5"/>
      <c r="S17" s="6"/>
      <c r="T17" s="6"/>
      <c r="U17" s="6"/>
      <c r="V17" s="5"/>
      <c r="W17" s="5"/>
      <c r="X17" s="5"/>
      <c r="Y17" s="5"/>
      <c r="Z17" s="5"/>
      <c r="AA17" s="5"/>
      <c r="AB17" s="5"/>
      <c r="AC17" s="5"/>
    </row>
    <row r="18" spans="2:29" x14ac:dyDescent="0.4">
      <c r="B18" s="4" t="s">
        <v>18</v>
      </c>
      <c r="C18" s="7" t="s">
        <v>6</v>
      </c>
      <c r="I18" s="278">
        <v>54</v>
      </c>
      <c r="J18" s="278">
        <v>53</v>
      </c>
      <c r="K18" s="278">
        <v>53</v>
      </c>
      <c r="L18" s="278">
        <v>54</v>
      </c>
      <c r="M18" s="278">
        <v>54</v>
      </c>
      <c r="N18" s="278">
        <v>57</v>
      </c>
      <c r="O18" s="278">
        <v>60</v>
      </c>
      <c r="P18" s="7">
        <v>64</v>
      </c>
      <c r="R18" s="7">
        <v>65</v>
      </c>
      <c r="S18" s="7">
        <v>63</v>
      </c>
      <c r="T18" s="7">
        <v>64</v>
      </c>
      <c r="V18" s="278"/>
      <c r="W18" s="278"/>
      <c r="X18" s="278"/>
      <c r="Y18" s="278"/>
      <c r="Z18" s="278"/>
      <c r="AA18" s="278"/>
      <c r="AB18" s="278"/>
      <c r="AC18" s="7"/>
    </row>
    <row r="19" spans="2:29" x14ac:dyDescent="0.4">
      <c r="B19" s="4" t="s">
        <v>19</v>
      </c>
      <c r="C19" s="7" t="s">
        <v>6</v>
      </c>
      <c r="I19" s="278">
        <v>14</v>
      </c>
      <c r="J19" s="278">
        <v>14</v>
      </c>
      <c r="K19" s="278">
        <v>14</v>
      </c>
      <c r="L19" s="278">
        <v>14</v>
      </c>
      <c r="M19" s="278">
        <v>19</v>
      </c>
      <c r="N19" s="278">
        <v>20</v>
      </c>
      <c r="O19" s="278">
        <v>20</v>
      </c>
      <c r="P19" s="7">
        <v>20</v>
      </c>
      <c r="R19" s="7">
        <f>17+1+1</f>
        <v>19</v>
      </c>
      <c r="S19" s="7">
        <f>16+1+1</f>
        <v>18</v>
      </c>
      <c r="T19" s="7">
        <f>15+1+1</f>
        <v>17</v>
      </c>
      <c r="V19" s="278"/>
      <c r="W19" s="278"/>
      <c r="X19" s="278"/>
      <c r="Y19" s="278"/>
      <c r="Z19" s="278"/>
      <c r="AA19" s="278"/>
      <c r="AB19" s="278"/>
      <c r="AC19" s="7"/>
    </row>
    <row r="20" spans="2:29" x14ac:dyDescent="0.4">
      <c r="I20" s="278"/>
      <c r="J20" s="278"/>
      <c r="K20" s="278"/>
      <c r="L20" s="278"/>
      <c r="M20" s="278"/>
      <c r="N20" s="278"/>
      <c r="O20" s="278"/>
      <c r="R20" s="283">
        <f>32+8+2+4</f>
        <v>46</v>
      </c>
      <c r="S20" s="283">
        <f>31+8+2+4</f>
        <v>45</v>
      </c>
      <c r="T20" s="283">
        <f>32+8+3+4</f>
        <v>47</v>
      </c>
      <c r="V20" s="278"/>
      <c r="W20" s="278"/>
      <c r="X20" s="278"/>
      <c r="Y20" s="278"/>
      <c r="Z20" s="278"/>
      <c r="AA20" s="278"/>
      <c r="AB20" s="278"/>
    </row>
    <row r="21" spans="2:29" x14ac:dyDescent="0.4">
      <c r="B21" s="5" t="s">
        <v>20</v>
      </c>
      <c r="C21" s="5"/>
      <c r="D21" s="2"/>
      <c r="E21" s="6"/>
      <c r="F21" s="6"/>
      <c r="G21" s="6"/>
      <c r="H21" s="6"/>
      <c r="I21" s="279"/>
      <c r="J21" s="279"/>
      <c r="K21" s="279"/>
      <c r="L21" s="279"/>
      <c r="M21" s="279"/>
      <c r="N21" s="279"/>
      <c r="O21" s="279"/>
      <c r="P21" s="5"/>
      <c r="R21" s="5"/>
      <c r="S21" s="6"/>
      <c r="T21" s="6"/>
      <c r="U21" s="6"/>
      <c r="V21" s="279"/>
      <c r="W21" s="279"/>
      <c r="X21" s="279"/>
      <c r="Y21" s="279"/>
      <c r="Z21" s="279"/>
      <c r="AA21" s="279"/>
      <c r="AB21" s="279"/>
      <c r="AC21" s="5"/>
    </row>
    <row r="22" spans="2:29" x14ac:dyDescent="0.4">
      <c r="B22" s="4" t="s">
        <v>21</v>
      </c>
      <c r="C22" s="7" t="s">
        <v>6</v>
      </c>
      <c r="I22" s="278">
        <v>10</v>
      </c>
      <c r="J22" s="278">
        <v>11</v>
      </c>
      <c r="K22" s="278">
        <v>11</v>
      </c>
      <c r="L22" s="278">
        <v>11</v>
      </c>
      <c r="M22" s="278">
        <v>11</v>
      </c>
      <c r="N22" s="278">
        <v>11</v>
      </c>
      <c r="O22" s="278">
        <v>11</v>
      </c>
      <c r="P22" s="278">
        <v>12</v>
      </c>
      <c r="R22" s="278">
        <v>12</v>
      </c>
      <c r="S22" s="278">
        <v>12</v>
      </c>
      <c r="T22" s="278">
        <v>13</v>
      </c>
      <c r="V22" s="278"/>
      <c r="W22" s="278"/>
      <c r="X22" s="278"/>
      <c r="Y22" s="278"/>
      <c r="Z22" s="278"/>
      <c r="AA22" s="278"/>
      <c r="AB22" s="278"/>
      <c r="AC22" s="278"/>
    </row>
    <row r="23" spans="2:29" x14ac:dyDescent="0.4">
      <c r="B23" s="4" t="s">
        <v>22</v>
      </c>
      <c r="C23" s="7" t="s">
        <v>6</v>
      </c>
      <c r="I23" s="278">
        <v>2</v>
      </c>
      <c r="J23" s="278">
        <v>2</v>
      </c>
      <c r="K23" s="278">
        <v>2</v>
      </c>
      <c r="L23" s="278">
        <v>2</v>
      </c>
      <c r="M23" s="278">
        <v>2</v>
      </c>
      <c r="N23" s="278">
        <v>2</v>
      </c>
      <c r="O23" s="278">
        <v>2</v>
      </c>
      <c r="P23" s="278">
        <v>2</v>
      </c>
      <c r="R23" s="278">
        <v>2</v>
      </c>
      <c r="S23" s="278">
        <v>2</v>
      </c>
      <c r="T23" s="278">
        <v>2</v>
      </c>
      <c r="V23" s="278"/>
      <c r="W23" s="278"/>
      <c r="X23" s="278"/>
      <c r="Y23" s="278"/>
      <c r="Z23" s="278"/>
      <c r="AA23" s="278"/>
      <c r="AB23" s="278"/>
      <c r="AC23" s="278"/>
    </row>
    <row r="24" spans="2:29" x14ac:dyDescent="0.4">
      <c r="I24" s="278"/>
      <c r="J24" s="278"/>
      <c r="K24" s="278"/>
      <c r="L24" s="278"/>
      <c r="M24" s="278"/>
      <c r="N24" s="278"/>
      <c r="O24" s="278"/>
      <c r="R24" s="4"/>
      <c r="V24" s="278"/>
      <c r="W24" s="278"/>
      <c r="X24" s="278"/>
      <c r="Y24" s="278"/>
      <c r="Z24" s="278"/>
      <c r="AA24" s="278"/>
      <c r="AB24" s="278"/>
    </row>
    <row r="25" spans="2:29" x14ac:dyDescent="0.4">
      <c r="B25" s="5" t="s">
        <v>23</v>
      </c>
      <c r="C25" s="5"/>
      <c r="D25" s="2"/>
      <c r="E25" s="6"/>
      <c r="F25" s="6"/>
      <c r="G25" s="6"/>
      <c r="H25" s="6"/>
      <c r="I25" s="5"/>
      <c r="J25" s="5"/>
      <c r="K25" s="5"/>
      <c r="L25" s="5"/>
      <c r="M25" s="5"/>
      <c r="N25" s="5"/>
      <c r="O25" s="5"/>
      <c r="P25" s="5"/>
      <c r="R25" s="5"/>
      <c r="S25" s="6"/>
      <c r="T25" s="6"/>
      <c r="U25" s="6"/>
      <c r="V25" s="5"/>
      <c r="W25" s="5"/>
      <c r="X25" s="5"/>
      <c r="Y25" s="5"/>
      <c r="Z25" s="5"/>
      <c r="AA25" s="5"/>
      <c r="AB25" s="5"/>
      <c r="AC25" s="5"/>
    </row>
    <row r="26" spans="2:29" x14ac:dyDescent="0.4">
      <c r="B26" s="4" t="s">
        <v>24</v>
      </c>
      <c r="C26" s="7" t="s">
        <v>6</v>
      </c>
      <c r="D26" s="14"/>
      <c r="E26" s="7">
        <v>2</v>
      </c>
      <c r="F26" s="7">
        <v>2</v>
      </c>
      <c r="G26" s="7">
        <v>3</v>
      </c>
      <c r="H26" s="7">
        <v>3</v>
      </c>
      <c r="I26" s="7">
        <v>5</v>
      </c>
      <c r="J26" s="7">
        <v>10</v>
      </c>
      <c r="K26" s="7">
        <v>10</v>
      </c>
      <c r="L26" s="7">
        <v>10</v>
      </c>
      <c r="M26" s="7">
        <v>11</v>
      </c>
      <c r="N26" s="7">
        <v>11</v>
      </c>
      <c r="O26" s="7">
        <v>11</v>
      </c>
      <c r="P26" s="278">
        <f>[1]Sheet1!$O$13+[1]Sheet1!$O$4</f>
        <v>11</v>
      </c>
      <c r="R26" s="278">
        <f>[1]Sheet1!O13+[1]Sheet1!O4</f>
        <v>11</v>
      </c>
      <c r="S26" s="278">
        <f>[1]Sheet1!P13+[1]Sheet1!P4</f>
        <v>11</v>
      </c>
      <c r="T26" s="278">
        <f>[1]Sheet1!Q13+[1]Sheet1!Q4</f>
        <v>13</v>
      </c>
      <c r="V26" s="7"/>
      <c r="W26" s="7"/>
      <c r="X26" s="7"/>
      <c r="Y26" s="7"/>
      <c r="Z26" s="7"/>
      <c r="AA26" s="7"/>
      <c r="AB26" s="7"/>
      <c r="AC26" s="278"/>
    </row>
    <row r="27" spans="2:29" x14ac:dyDescent="0.4">
      <c r="B27" s="4" t="s">
        <v>25</v>
      </c>
      <c r="C27" s="7" t="s">
        <v>6</v>
      </c>
      <c r="I27" s="7"/>
      <c r="P27" s="278"/>
      <c r="R27" s="278"/>
      <c r="V27" s="7"/>
      <c r="AC27" s="278"/>
    </row>
    <row r="28" spans="2:29" x14ac:dyDescent="0.4">
      <c r="B28" s="4" t="s">
        <v>26</v>
      </c>
      <c r="I28" s="7"/>
      <c r="P28" s="278"/>
      <c r="R28" s="278"/>
      <c r="V28" s="7"/>
      <c r="AC28" s="278"/>
    </row>
    <row r="29" spans="2:29" x14ac:dyDescent="0.4">
      <c r="B29" s="4" t="s">
        <v>27</v>
      </c>
      <c r="C29" s="7" t="s">
        <v>6</v>
      </c>
      <c r="E29" s="7">
        <f>'[3]KPIs '!B18</f>
        <v>5</v>
      </c>
      <c r="F29" s="7">
        <f>'[3]KPIs '!C18</f>
        <v>5</v>
      </c>
      <c r="G29" s="7">
        <f>'[3]KPIs '!D18</f>
        <v>5</v>
      </c>
      <c r="H29" s="7">
        <f>'[3]KPIs '!E18</f>
        <v>7</v>
      </c>
      <c r="I29" s="7">
        <f>'[3]KPIs '!F18</f>
        <v>8</v>
      </c>
      <c r="J29" s="7">
        <f>'[3]KPIs '!G18</f>
        <v>10</v>
      </c>
      <c r="K29" s="7">
        <f>'[3]KPIs '!H18</f>
        <v>10</v>
      </c>
      <c r="L29" s="7">
        <f>'[3]KPIs '!I18</f>
        <v>11</v>
      </c>
      <c r="M29" s="7">
        <f>'[3]KPIs '!J18</f>
        <v>11</v>
      </c>
      <c r="N29" s="7">
        <f>'[3]KPIs '!K18</f>
        <v>11</v>
      </c>
      <c r="O29" s="7">
        <f>'[3]KPIs '!L18</f>
        <v>11</v>
      </c>
      <c r="P29" s="278">
        <v>11</v>
      </c>
      <c r="R29" s="278">
        <f>[1]Sheet1!O17</f>
        <v>12</v>
      </c>
      <c r="S29" s="278">
        <f>[1]Sheet1!P17</f>
        <v>17</v>
      </c>
      <c r="T29" s="278">
        <f>[1]Sheet1!Q17</f>
        <v>18</v>
      </c>
      <c r="V29" s="7"/>
      <c r="W29" s="7"/>
      <c r="X29" s="7"/>
      <c r="Y29" s="7"/>
      <c r="Z29" s="7"/>
      <c r="AA29" s="7"/>
      <c r="AB29" s="7"/>
      <c r="AC29" s="278"/>
    </row>
    <row r="30" spans="2:29" x14ac:dyDescent="0.4">
      <c r="R30" s="4"/>
    </row>
    <row r="31" spans="2:29" x14ac:dyDescent="0.4">
      <c r="B31" s="5" t="s">
        <v>28</v>
      </c>
      <c r="C31" s="5"/>
      <c r="D31" s="2"/>
      <c r="E31" s="6"/>
      <c r="F31" s="6"/>
      <c r="G31" s="6"/>
      <c r="H31" s="6"/>
      <c r="I31" s="5"/>
      <c r="J31" s="5"/>
      <c r="K31" s="5"/>
      <c r="L31" s="5"/>
      <c r="M31" s="5"/>
      <c r="N31" s="5"/>
      <c r="O31" s="5"/>
      <c r="P31" s="5"/>
      <c r="R31" s="5"/>
      <c r="S31" s="6"/>
      <c r="T31" s="6"/>
      <c r="U31" s="6"/>
      <c r="V31" s="5"/>
      <c r="W31" s="5"/>
      <c r="X31" s="5"/>
      <c r="Y31" s="5"/>
      <c r="Z31" s="5"/>
      <c r="AA31" s="5"/>
      <c r="AB31" s="5"/>
      <c r="AC31" s="5"/>
    </row>
    <row r="32" spans="2:29" x14ac:dyDescent="0.4">
      <c r="B32" s="4" t="s">
        <v>28</v>
      </c>
      <c r="C32" s="7" t="s">
        <v>4</v>
      </c>
      <c r="R32" s="4"/>
    </row>
    <row r="33" spans="2:18" x14ac:dyDescent="0.4">
      <c r="B33" s="4" t="s">
        <v>29</v>
      </c>
      <c r="C33" s="7" t="s">
        <v>4</v>
      </c>
      <c r="R33" s="4"/>
    </row>
    <row r="34" spans="2:18" x14ac:dyDescent="0.4">
      <c r="B34" s="4" t="s">
        <v>30</v>
      </c>
      <c r="C34" s="7" t="s">
        <v>4</v>
      </c>
      <c r="R34" s="4"/>
    </row>
    <row r="35" spans="2:18" x14ac:dyDescent="0.4">
      <c r="R35" s="4"/>
    </row>
    <row r="36" spans="2:18" x14ac:dyDescent="0.4">
      <c r="R36" s="4"/>
    </row>
    <row r="37" spans="2:18" x14ac:dyDescent="0.4">
      <c r="R37" s="4"/>
    </row>
    <row r="38" spans="2:18" x14ac:dyDescent="0.4">
      <c r="R38" s="4"/>
    </row>
    <row r="39" spans="2:18" x14ac:dyDescent="0.4">
      <c r="R39" s="4"/>
    </row>
    <row r="40" spans="2:18" x14ac:dyDescent="0.4">
      <c r="R40" s="4"/>
    </row>
    <row r="41" spans="2:18" x14ac:dyDescent="0.4">
      <c r="R41" s="4"/>
    </row>
    <row r="42" spans="2:18" x14ac:dyDescent="0.4">
      <c r="R42" s="4"/>
    </row>
    <row r="43" spans="2:18" x14ac:dyDescent="0.4">
      <c r="R43" s="4"/>
    </row>
    <row r="44" spans="2:18" x14ac:dyDescent="0.4">
      <c r="R44" s="4"/>
    </row>
    <row r="45" spans="2:18" x14ac:dyDescent="0.4">
      <c r="R45" s="4"/>
    </row>
    <row r="46" spans="2:18" x14ac:dyDescent="0.4">
      <c r="R46" s="4"/>
    </row>
    <row r="47" spans="2:18" x14ac:dyDescent="0.4">
      <c r="R47" s="4"/>
    </row>
    <row r="48" spans="2:18" x14ac:dyDescent="0.4">
      <c r="R48" s="4"/>
    </row>
    <row r="49" spans="18:18" x14ac:dyDescent="0.4">
      <c r="R49" s="4"/>
    </row>
    <row r="50" spans="18:18" x14ac:dyDescent="0.4">
      <c r="R50" s="4"/>
    </row>
    <row r="51" spans="18:18" x14ac:dyDescent="0.4">
      <c r="R51" s="4"/>
    </row>
    <row r="52" spans="18:18" x14ac:dyDescent="0.4">
      <c r="R52" s="4"/>
    </row>
    <row r="53" spans="18:18" x14ac:dyDescent="0.4">
      <c r="R53" s="4"/>
    </row>
    <row r="54" spans="18:18" x14ac:dyDescent="0.4">
      <c r="R54" s="4"/>
    </row>
    <row r="55" spans="18:18" x14ac:dyDescent="0.4">
      <c r="R55" s="4"/>
    </row>
    <row r="56" spans="18:18" x14ac:dyDescent="0.4">
      <c r="R56" s="4"/>
    </row>
    <row r="57" spans="18:18" x14ac:dyDescent="0.4">
      <c r="R57" s="4"/>
    </row>
    <row r="58" spans="18:18" x14ac:dyDescent="0.4">
      <c r="R58" s="4"/>
    </row>
    <row r="59" spans="18:18" x14ac:dyDescent="0.4">
      <c r="R59" s="4"/>
    </row>
    <row r="60" spans="18:18" x14ac:dyDescent="0.4">
      <c r="R60" s="4"/>
    </row>
    <row r="61" spans="18:18" x14ac:dyDescent="0.4">
      <c r="R61" s="4"/>
    </row>
    <row r="62" spans="18:18" x14ac:dyDescent="0.4">
      <c r="R62" s="4"/>
    </row>
    <row r="63" spans="18:18" x14ac:dyDescent="0.4">
      <c r="R63" s="4"/>
    </row>
    <row r="64" spans="18:18" x14ac:dyDescent="0.4">
      <c r="R64" s="4"/>
    </row>
    <row r="65" spans="18:18" x14ac:dyDescent="0.4">
      <c r="R65" s="4"/>
    </row>
    <row r="66" spans="18:18" x14ac:dyDescent="0.4">
      <c r="R66" s="4"/>
    </row>
    <row r="67" spans="18:18" x14ac:dyDescent="0.4">
      <c r="R67" s="4"/>
    </row>
    <row r="68" spans="18:18" x14ac:dyDescent="0.4">
      <c r="R68" s="4"/>
    </row>
    <row r="69" spans="18:18" x14ac:dyDescent="0.4">
      <c r="R69" s="4"/>
    </row>
    <row r="70" spans="18:18" x14ac:dyDescent="0.4">
      <c r="R70" s="4"/>
    </row>
    <row r="71" spans="18:18" x14ac:dyDescent="0.4">
      <c r="R71" s="4"/>
    </row>
    <row r="72" spans="18:18" x14ac:dyDescent="0.4">
      <c r="R72" s="4"/>
    </row>
    <row r="73" spans="18:18" x14ac:dyDescent="0.4">
      <c r="R73" s="4"/>
    </row>
    <row r="74" spans="18:18" x14ac:dyDescent="0.4">
      <c r="R74" s="4"/>
    </row>
    <row r="75" spans="18:18" x14ac:dyDescent="0.4">
      <c r="R75" s="4"/>
    </row>
    <row r="76" spans="18:18" x14ac:dyDescent="0.4">
      <c r="R76" s="4"/>
    </row>
    <row r="77" spans="18:18" x14ac:dyDescent="0.4">
      <c r="R77" s="4"/>
    </row>
    <row r="78" spans="18:18" x14ac:dyDescent="0.4">
      <c r="R78" s="4"/>
    </row>
    <row r="79" spans="18:18" x14ac:dyDescent="0.4">
      <c r="R79" s="4"/>
    </row>
    <row r="80" spans="18:18" x14ac:dyDescent="0.4">
      <c r="R80" s="4"/>
    </row>
    <row r="81" spans="18:18" x14ac:dyDescent="0.4">
      <c r="R81" s="4"/>
    </row>
    <row r="82" spans="18:18" x14ac:dyDescent="0.4">
      <c r="R82" s="4"/>
    </row>
    <row r="83" spans="18:18" x14ac:dyDescent="0.4">
      <c r="R83" s="4"/>
    </row>
    <row r="84" spans="18:18" x14ac:dyDescent="0.4">
      <c r="R84" s="4"/>
    </row>
    <row r="85" spans="18:18" x14ac:dyDescent="0.4">
      <c r="R85" s="4"/>
    </row>
    <row r="86" spans="18:18" x14ac:dyDescent="0.4">
      <c r="R8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86F1-59A1-4055-95E6-C15E91472BA7}">
  <dimension ref="A1:BN1031"/>
  <sheetViews>
    <sheetView showGridLines="0" zoomScaleNormal="100" workbookViewId="0">
      <pane xSplit="4" ySplit="7" topLeftCell="N128" activePane="bottomRight" state="frozen"/>
      <selection pane="topRight" activeCell="D11" sqref="D11"/>
      <selection pane="bottomLeft" activeCell="D11" sqref="D11"/>
      <selection pane="bottomRight" activeCell="U14" sqref="U14"/>
    </sheetView>
  </sheetViews>
  <sheetFormatPr defaultColWidth="14.3984375" defaultRowHeight="15" customHeight="1" outlineLevelRow="1" outlineLevelCol="1" x14ac:dyDescent="0.4"/>
  <cols>
    <col min="1" max="1" width="6.86328125" style="15" customWidth="1"/>
    <col min="2" max="2" width="29" style="15" customWidth="1"/>
    <col min="3" max="3" width="18.86328125" style="15" customWidth="1"/>
    <col min="4" max="4" width="1.1328125" style="15" customWidth="1"/>
    <col min="5" max="7" width="12.1328125" style="163" customWidth="1" outlineLevel="1"/>
    <col min="8" max="8" width="12.1328125" style="15" customWidth="1" outlineLevel="1"/>
    <col min="9" max="9" width="10.1328125" style="163" customWidth="1" outlineLevel="1"/>
    <col min="10" max="10" width="9.1328125" style="163" bestFit="1" customWidth="1" outlineLevel="1"/>
    <col min="11" max="15" width="12.1328125" style="15" customWidth="1" outlineLevel="1"/>
    <col min="16" max="16" width="12.1328125" style="15" customWidth="1"/>
    <col min="17" max="17" width="12.1328125" style="277" customWidth="1"/>
    <col min="18" max="18" width="1.1328125" style="20" customWidth="1"/>
    <col min="19" max="21" width="12.1328125" style="163" customWidth="1" outlineLevel="1"/>
    <col min="22" max="22" width="12.1328125" style="15" customWidth="1" outlineLevel="1"/>
    <col min="23" max="23" width="10.1328125" style="163" customWidth="1" outlineLevel="1"/>
    <col min="24" max="24" width="9.1328125" style="163" bestFit="1" customWidth="1" outlineLevel="1"/>
    <col min="25" max="29" width="12.1328125" style="15" customWidth="1" outlineLevel="1"/>
    <col min="30" max="31" width="12.1328125" style="15" customWidth="1"/>
    <col min="32" max="33" width="1.1328125" style="20" customWidth="1"/>
    <col min="34" max="35" width="12.1328125" style="15" hidden="1" customWidth="1"/>
    <col min="36" max="36" width="8.86328125" style="15" customWidth="1"/>
    <col min="37" max="37" width="3.86328125" style="15" customWidth="1"/>
    <col min="38" max="66" width="8.86328125" style="15" customWidth="1"/>
    <col min="67" max="16384" width="14.3984375" style="15"/>
  </cols>
  <sheetData>
    <row r="1" spans="1:66" ht="13.15" x14ac:dyDescent="0.4">
      <c r="B1" s="16" t="s">
        <v>31</v>
      </c>
      <c r="C1" s="17">
        <v>2026</v>
      </c>
      <c r="E1" s="18"/>
      <c r="F1" s="18"/>
      <c r="G1" s="18"/>
      <c r="H1" s="19"/>
      <c r="I1" s="18"/>
      <c r="J1" s="18"/>
      <c r="K1" s="19"/>
      <c r="L1" s="19"/>
      <c r="M1" s="19"/>
      <c r="N1" s="19"/>
      <c r="O1" s="19"/>
      <c r="P1" s="19"/>
      <c r="Q1" s="257"/>
      <c r="S1" s="18"/>
      <c r="T1" s="18"/>
      <c r="U1" s="18"/>
      <c r="V1" s="19"/>
      <c r="W1" s="18"/>
      <c r="X1" s="18"/>
      <c r="Y1" s="19"/>
      <c r="Z1" s="19"/>
      <c r="AA1" s="19"/>
      <c r="AB1" s="19"/>
      <c r="AC1" s="19"/>
      <c r="AD1" s="19"/>
      <c r="AE1" s="19"/>
      <c r="AG1" s="21"/>
      <c r="AH1" s="19"/>
      <c r="AI1" s="19"/>
      <c r="AK1" s="22"/>
    </row>
    <row r="2" spans="1:66" ht="13.15" x14ac:dyDescent="0.4">
      <c r="B2" s="16" t="s">
        <v>32</v>
      </c>
      <c r="C2" s="17" t="s">
        <v>33</v>
      </c>
      <c r="E2" s="18"/>
      <c r="F2" s="18"/>
      <c r="G2" s="18"/>
      <c r="H2" s="19"/>
      <c r="I2" s="18"/>
      <c r="J2" s="18"/>
      <c r="K2" s="19"/>
      <c r="L2" s="19"/>
      <c r="M2" s="19"/>
      <c r="N2" s="19"/>
      <c r="O2" s="19"/>
      <c r="P2" s="19"/>
      <c r="Q2" s="257"/>
      <c r="S2" s="18"/>
      <c r="T2" s="18"/>
      <c r="U2" s="18"/>
      <c r="V2" s="19"/>
      <c r="W2" s="18"/>
      <c r="X2" s="18"/>
      <c r="Y2" s="19"/>
      <c r="Z2" s="19"/>
      <c r="AA2" s="19"/>
      <c r="AB2" s="19"/>
      <c r="AC2" s="19"/>
      <c r="AD2" s="19"/>
      <c r="AE2" s="19"/>
      <c r="AG2" s="21"/>
      <c r="AH2" s="19"/>
      <c r="AI2" s="19"/>
      <c r="AK2" s="22"/>
    </row>
    <row r="3" spans="1:66" ht="16.5" customHeight="1" x14ac:dyDescent="0.4">
      <c r="B3" s="16" t="s">
        <v>34</v>
      </c>
      <c r="C3" s="23">
        <v>46053</v>
      </c>
      <c r="E3" s="18"/>
      <c r="F3" s="18"/>
      <c r="G3" s="18"/>
      <c r="H3" s="19"/>
      <c r="I3" s="18"/>
      <c r="J3" s="18"/>
      <c r="K3" s="19"/>
      <c r="L3" s="19"/>
      <c r="M3" s="19"/>
      <c r="N3" s="19"/>
      <c r="O3" s="19"/>
      <c r="P3" s="19"/>
      <c r="Q3" s="257"/>
      <c r="S3" s="18"/>
      <c r="T3" s="18"/>
      <c r="U3" s="18"/>
      <c r="V3" s="19"/>
      <c r="W3" s="18"/>
      <c r="X3" s="18"/>
      <c r="Y3" s="19"/>
      <c r="Z3" s="19"/>
      <c r="AA3" s="19"/>
      <c r="AB3" s="19"/>
      <c r="AC3" s="19"/>
      <c r="AD3" s="19"/>
      <c r="AE3" s="19"/>
      <c r="AG3" s="21"/>
      <c r="AH3" s="19"/>
      <c r="AI3" s="19"/>
      <c r="AK3" s="22"/>
    </row>
    <row r="4" spans="1:66" ht="12" customHeight="1" x14ac:dyDescent="0.4">
      <c r="B4" s="24"/>
      <c r="C4" s="24"/>
      <c r="E4" s="18"/>
      <c r="F4" s="18"/>
      <c r="G4" s="18"/>
      <c r="H4" s="19"/>
      <c r="I4" s="18"/>
      <c r="J4" s="18"/>
      <c r="K4" s="19"/>
      <c r="L4" s="19"/>
      <c r="M4" s="19"/>
      <c r="N4" s="19"/>
      <c r="O4" s="19"/>
      <c r="P4" s="19"/>
      <c r="Q4" s="257"/>
      <c r="S4" s="18"/>
      <c r="T4" s="18"/>
      <c r="U4" s="18"/>
      <c r="V4" s="19"/>
      <c r="W4" s="18"/>
      <c r="X4" s="18"/>
      <c r="Y4" s="19"/>
      <c r="Z4" s="19"/>
      <c r="AA4" s="19"/>
      <c r="AB4" s="19"/>
      <c r="AC4" s="19"/>
      <c r="AD4" s="19"/>
      <c r="AE4" s="19"/>
      <c r="AG4" s="21"/>
      <c r="AH4" s="19"/>
      <c r="AI4" s="19"/>
      <c r="AK4" s="22"/>
    </row>
    <row r="5" spans="1:66" ht="15" hidden="1" customHeight="1" outlineLevel="1" x14ac:dyDescent="0.4">
      <c r="B5" s="15" t="s">
        <v>35</v>
      </c>
      <c r="E5" s="18">
        <f t="shared" ref="E5:P5" si="0">IF(AND(E7&lt;=$C$3,YEAR(E7)=YEAR($C$3)),1,0)</f>
        <v>0</v>
      </c>
      <c r="F5" s="18">
        <f t="shared" si="0"/>
        <v>0</v>
      </c>
      <c r="G5" s="18">
        <f t="shared" si="0"/>
        <v>0</v>
      </c>
      <c r="H5" s="19">
        <f t="shared" si="0"/>
        <v>0</v>
      </c>
      <c r="I5" s="18">
        <f t="shared" si="0"/>
        <v>0</v>
      </c>
      <c r="J5" s="18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0</v>
      </c>
      <c r="N5" s="19">
        <f t="shared" si="0"/>
        <v>0</v>
      </c>
      <c r="O5" s="19">
        <f t="shared" si="0"/>
        <v>0</v>
      </c>
      <c r="P5" s="19">
        <f t="shared" si="0"/>
        <v>0</v>
      </c>
      <c r="Q5" s="257"/>
      <c r="S5" s="18">
        <f t="shared" ref="S5:AD5" si="1">IF(AND(S7&lt;=$C$3,YEAR(S7)=YEAR($C$3)),1,0)</f>
        <v>1</v>
      </c>
      <c r="T5" s="18">
        <f t="shared" si="1"/>
        <v>0</v>
      </c>
      <c r="U5" s="18">
        <f t="shared" si="1"/>
        <v>0</v>
      </c>
      <c r="V5" s="19">
        <f t="shared" si="1"/>
        <v>0</v>
      </c>
      <c r="W5" s="18">
        <f t="shared" si="1"/>
        <v>0</v>
      </c>
      <c r="X5" s="18">
        <f t="shared" si="1"/>
        <v>0</v>
      </c>
      <c r="Y5" s="19">
        <f t="shared" si="1"/>
        <v>0</v>
      </c>
      <c r="Z5" s="19">
        <f t="shared" si="1"/>
        <v>0</v>
      </c>
      <c r="AA5" s="19">
        <f t="shared" si="1"/>
        <v>0</v>
      </c>
      <c r="AB5" s="19">
        <f t="shared" si="1"/>
        <v>0</v>
      </c>
      <c r="AC5" s="19">
        <f t="shared" si="1"/>
        <v>0</v>
      </c>
      <c r="AD5" s="19">
        <f t="shared" si="1"/>
        <v>0</v>
      </c>
      <c r="AE5" s="19"/>
      <c r="AG5" s="21"/>
      <c r="AH5" s="19"/>
      <c r="AI5" s="19"/>
      <c r="AK5" s="22"/>
    </row>
    <row r="6" spans="1:66" ht="15" hidden="1" customHeight="1" outlineLevel="1" x14ac:dyDescent="0.4">
      <c r="B6" s="15" t="s">
        <v>36</v>
      </c>
      <c r="E6" s="18">
        <f t="shared" ref="E6:P6" si="2">IF(E7=$C$3,1,0)</f>
        <v>0</v>
      </c>
      <c r="F6" s="18">
        <f t="shared" si="2"/>
        <v>0</v>
      </c>
      <c r="G6" s="18">
        <f t="shared" si="2"/>
        <v>0</v>
      </c>
      <c r="H6" s="19">
        <f t="shared" si="2"/>
        <v>0</v>
      </c>
      <c r="I6" s="18">
        <f t="shared" si="2"/>
        <v>0</v>
      </c>
      <c r="J6" s="18">
        <f t="shared" si="2"/>
        <v>0</v>
      </c>
      <c r="K6" s="19">
        <f t="shared" si="2"/>
        <v>0</v>
      </c>
      <c r="L6" s="19">
        <f t="shared" si="2"/>
        <v>0</v>
      </c>
      <c r="M6" s="19">
        <f t="shared" si="2"/>
        <v>0</v>
      </c>
      <c r="N6" s="19">
        <f t="shared" si="2"/>
        <v>0</v>
      </c>
      <c r="O6" s="19">
        <f t="shared" si="2"/>
        <v>0</v>
      </c>
      <c r="P6" s="19">
        <f t="shared" si="2"/>
        <v>0</v>
      </c>
      <c r="Q6" s="257"/>
      <c r="S6" s="18">
        <f t="shared" ref="S6:AD6" si="3">IF(S7=$C$3,1,0)</f>
        <v>1</v>
      </c>
      <c r="T6" s="18">
        <f t="shared" si="3"/>
        <v>0</v>
      </c>
      <c r="U6" s="18">
        <f t="shared" si="3"/>
        <v>0</v>
      </c>
      <c r="V6" s="19">
        <f t="shared" si="3"/>
        <v>0</v>
      </c>
      <c r="W6" s="18">
        <f t="shared" si="3"/>
        <v>0</v>
      </c>
      <c r="X6" s="18">
        <f t="shared" si="3"/>
        <v>0</v>
      </c>
      <c r="Y6" s="19">
        <f t="shared" si="3"/>
        <v>0</v>
      </c>
      <c r="Z6" s="19">
        <f t="shared" si="3"/>
        <v>0</v>
      </c>
      <c r="AA6" s="19">
        <f t="shared" si="3"/>
        <v>0</v>
      </c>
      <c r="AB6" s="19">
        <f t="shared" si="3"/>
        <v>0</v>
      </c>
      <c r="AC6" s="19">
        <f t="shared" si="3"/>
        <v>0</v>
      </c>
      <c r="AD6" s="19">
        <f t="shared" si="3"/>
        <v>0</v>
      </c>
      <c r="AE6" s="25"/>
      <c r="AG6" s="21"/>
      <c r="AH6" s="25"/>
      <c r="AI6" s="25"/>
      <c r="AK6" s="26"/>
    </row>
    <row r="7" spans="1:66" ht="15" customHeight="1" collapsed="1" thickBot="1" x14ac:dyDescent="0.45">
      <c r="B7" s="27" t="s">
        <v>37</v>
      </c>
      <c r="C7" s="28" t="s">
        <v>4</v>
      </c>
      <c r="D7" s="29"/>
      <c r="E7" s="30">
        <v>45688</v>
      </c>
      <c r="F7" s="31">
        <f>EOMONTH(E7,1)</f>
        <v>45716</v>
      </c>
      <c r="G7" s="31">
        <f t="shared" ref="G7:P7" si="4">EOMONTH(F7,1)</f>
        <v>45747</v>
      </c>
      <c r="H7" s="31">
        <f t="shared" si="4"/>
        <v>45777</v>
      </c>
      <c r="I7" s="31">
        <f t="shared" si="4"/>
        <v>45808</v>
      </c>
      <c r="J7" s="31">
        <f t="shared" si="4"/>
        <v>45838</v>
      </c>
      <c r="K7" s="31">
        <f t="shared" si="4"/>
        <v>45869</v>
      </c>
      <c r="L7" s="31">
        <f t="shared" si="4"/>
        <v>45900</v>
      </c>
      <c r="M7" s="31">
        <f t="shared" si="4"/>
        <v>45930</v>
      </c>
      <c r="N7" s="31">
        <f t="shared" si="4"/>
        <v>45961</v>
      </c>
      <c r="O7" s="31">
        <f t="shared" si="4"/>
        <v>45991</v>
      </c>
      <c r="P7" s="31">
        <f t="shared" si="4"/>
        <v>46022</v>
      </c>
      <c r="Q7" s="258">
        <f>YEAR(P7)</f>
        <v>2025</v>
      </c>
      <c r="S7" s="30">
        <f>EOMONTH(P7,1)</f>
        <v>46053</v>
      </c>
      <c r="T7" s="31">
        <f>EOMONTH(S7,1)</f>
        <v>46081</v>
      </c>
      <c r="U7" s="31">
        <f t="shared" ref="U7:AD7" si="5">EOMONTH(T7,1)</f>
        <v>46112</v>
      </c>
      <c r="V7" s="31">
        <f t="shared" si="5"/>
        <v>46142</v>
      </c>
      <c r="W7" s="31">
        <f t="shared" si="5"/>
        <v>46173</v>
      </c>
      <c r="X7" s="31">
        <f t="shared" si="5"/>
        <v>46203</v>
      </c>
      <c r="Y7" s="31">
        <f t="shared" si="5"/>
        <v>46234</v>
      </c>
      <c r="Z7" s="31">
        <f t="shared" si="5"/>
        <v>46265</v>
      </c>
      <c r="AA7" s="31">
        <f t="shared" si="5"/>
        <v>46295</v>
      </c>
      <c r="AB7" s="31">
        <f t="shared" si="5"/>
        <v>46326</v>
      </c>
      <c r="AC7" s="31">
        <f t="shared" si="5"/>
        <v>46356</v>
      </c>
      <c r="AD7" s="31">
        <f t="shared" si="5"/>
        <v>46387</v>
      </c>
      <c r="AE7" s="34">
        <f>YEAR(AD7)</f>
        <v>2026</v>
      </c>
      <c r="AF7" s="35"/>
      <c r="AG7" s="21"/>
      <c r="AH7" s="32">
        <f>C3</f>
        <v>46053</v>
      </c>
      <c r="AI7" s="36" t="s">
        <v>38</v>
      </c>
      <c r="AK7" s="26"/>
    </row>
    <row r="8" spans="1:66" ht="13.15" x14ac:dyDescent="0.4">
      <c r="B8" s="29"/>
      <c r="C8" s="37"/>
      <c r="D8" s="38"/>
      <c r="E8" s="39">
        <f>E9-'[2]Detailed FS_$ Cons. (formating)'!BR13</f>
        <v>0</v>
      </c>
      <c r="F8" s="40">
        <f>F9-'[2]Detailed FS_$ Cons. (formating)'!BS13</f>
        <v>0</v>
      </c>
      <c r="G8" s="40">
        <f>G9-'[2]Detailed FS_$ Cons. (formating)'!BT13</f>
        <v>0</v>
      </c>
      <c r="H8" s="40">
        <f>H9-'[2]Detailed FS_$ Cons. (formating)'!BU13</f>
        <v>0</v>
      </c>
      <c r="I8" s="40">
        <f>I9-'[2]Detailed FS_$ Cons. (formating)'!BV13</f>
        <v>0</v>
      </c>
      <c r="J8" s="40">
        <f>J9-'[2]Detailed FS_$ Cons. (formating)'!BW13</f>
        <v>0</v>
      </c>
      <c r="K8" s="40">
        <f>K9-'[2]Detailed FS_$ Cons. (formating)'!BX13</f>
        <v>0</v>
      </c>
      <c r="L8" s="40">
        <f>L9-'[2]Detailed FS_$ Cons. (formating)'!BY13</f>
        <v>0</v>
      </c>
      <c r="M8" s="40">
        <f>M9-'[2]Detailed FS_$ Cons. (formating)'!BZ13</f>
        <v>0</v>
      </c>
      <c r="N8" s="40">
        <f>N9-'[2]Detailed FS_$ Cons. (formating)'!CA13</f>
        <v>0</v>
      </c>
      <c r="O8" s="40">
        <f>O9-'[2]Detailed FS_$ Cons. (formating)'!CB13</f>
        <v>0</v>
      </c>
      <c r="P8" s="40">
        <f>P9-'[2]Detailed FS_$ Cons. (formating)'!CC13</f>
        <v>0</v>
      </c>
      <c r="Q8" s="259" t="s">
        <v>39</v>
      </c>
      <c r="S8" s="39">
        <f>S9-'[2]Detailed FS_$ Cons. (formating)'!CF13</f>
        <v>0</v>
      </c>
      <c r="T8" s="39">
        <f>T9-'[2]Detailed FS_$ Cons. (formating)'!CG13</f>
        <v>0</v>
      </c>
      <c r="U8" s="39">
        <f>U9-'[2]Detailed FS_$ Cons. (formating)'!CH13</f>
        <v>0</v>
      </c>
      <c r="V8" s="40"/>
      <c r="W8" s="40"/>
      <c r="X8" s="40"/>
      <c r="Y8" s="40"/>
      <c r="Z8" s="40"/>
      <c r="AA8" s="40"/>
      <c r="AB8" s="40"/>
      <c r="AC8" s="40"/>
      <c r="AD8" s="40"/>
      <c r="AE8" s="42" t="s">
        <v>39</v>
      </c>
      <c r="AF8" s="35"/>
      <c r="AG8" s="21"/>
      <c r="AH8" s="41" t="s">
        <v>36</v>
      </c>
      <c r="AI8" s="42"/>
      <c r="AK8" s="26"/>
      <c r="BH8" s="15" t="s">
        <v>33</v>
      </c>
    </row>
    <row r="9" spans="1:66" ht="13.15" x14ac:dyDescent="0.4">
      <c r="B9" s="43" t="s">
        <v>40</v>
      </c>
      <c r="C9" s="44" t="s">
        <v>41</v>
      </c>
      <c r="D9" s="38"/>
      <c r="E9" s="45">
        <f>SUM(E14,E19,E24)</f>
        <v>15853.229692753781</v>
      </c>
      <c r="F9" s="46">
        <f t="shared" ref="F9:H9" si="6">SUM(F14,F19,F24)</f>
        <v>5050.7412298016579</v>
      </c>
      <c r="G9" s="46">
        <f t="shared" si="6"/>
        <v>25050.250476449764</v>
      </c>
      <c r="H9" s="46">
        <f t="shared" si="6"/>
        <v>5075.6411652600063</v>
      </c>
      <c r="I9" s="46">
        <f t="shared" ref="I9:J9" si="7">SUM(I14,I19,I24)</f>
        <v>5083.0620954403448</v>
      </c>
      <c r="J9" s="46">
        <f t="shared" si="7"/>
        <v>5101.8234537398148</v>
      </c>
      <c r="K9" s="46">
        <f t="shared" ref="K9" si="8">SUM(K14,K19,K24)</f>
        <v>5100</v>
      </c>
      <c r="L9" s="46">
        <f t="shared" ref="L9" si="9">SUM(L14,L19,L24)</f>
        <v>10000.002722940775</v>
      </c>
      <c r="M9" s="46">
        <f t="shared" ref="M9:N9" si="10">SUM(M14,M19,M24)</f>
        <v>37200</v>
      </c>
      <c r="N9" s="46">
        <f t="shared" si="10"/>
        <v>600.00272294077513</v>
      </c>
      <c r="O9" s="46">
        <f>SUM(O14,O19,O24)</f>
        <v>11600</v>
      </c>
      <c r="P9" s="46">
        <f>SUM(P14,P19,P24)</f>
        <v>290499.99909334158</v>
      </c>
      <c r="Q9" s="260">
        <f>SUM(E9:P9)</f>
        <v>416214.75265266851</v>
      </c>
      <c r="R9" s="35"/>
      <c r="S9" s="45">
        <f>SUM(S14,S19,S24)</f>
        <v>11600.002722940777</v>
      </c>
      <c r="T9" s="45">
        <f>SUM(T14,T19,T24)</f>
        <v>11600.002722940779</v>
      </c>
      <c r="U9" s="45">
        <f>SUM(U14,U19,U24)</f>
        <v>397349.99863884464</v>
      </c>
      <c r="V9" s="46">
        <f t="shared" ref="V9:AD9" si="11">SUM(V14,V19,V24)</f>
        <v>0</v>
      </c>
      <c r="W9" s="46">
        <f t="shared" si="11"/>
        <v>0</v>
      </c>
      <c r="X9" s="46">
        <f t="shared" si="11"/>
        <v>0</v>
      </c>
      <c r="Y9" s="46">
        <f t="shared" si="11"/>
        <v>0</v>
      </c>
      <c r="Z9" s="46">
        <f t="shared" si="11"/>
        <v>0</v>
      </c>
      <c r="AA9" s="46">
        <f t="shared" si="11"/>
        <v>0</v>
      </c>
      <c r="AB9" s="46">
        <f t="shared" si="11"/>
        <v>0</v>
      </c>
      <c r="AC9" s="46">
        <f t="shared" si="11"/>
        <v>0</v>
      </c>
      <c r="AD9" s="46">
        <f t="shared" si="11"/>
        <v>0</v>
      </c>
      <c r="AE9" s="48">
        <f>SUM(S9:AD9)</f>
        <v>420550.00408472621</v>
      </c>
      <c r="AF9" s="35"/>
      <c r="AG9" s="21"/>
      <c r="AH9" s="49">
        <f>SUMPRODUCT($S$7:$AD$7,S9:AD9)</f>
        <v>19391357788.109833</v>
      </c>
      <c r="AI9" s="48" t="e">
        <f>SUMPRODUCT($S$6:$AD$7,S9:AD9)</f>
        <v>#VALUE!</v>
      </c>
      <c r="AK9" s="26"/>
      <c r="BH9" s="15" t="s">
        <v>42</v>
      </c>
    </row>
    <row r="10" spans="1:66" ht="15" customHeight="1" x14ac:dyDescent="0.4">
      <c r="A10" s="50"/>
      <c r="B10" s="51"/>
      <c r="C10" s="52" t="str">
        <f>IF($C$2="AV",C13,IF($C$2="Mgmt",C11,IF($C$2="Mgmt (Adj)",C12)))</f>
        <v>plan (AV)</v>
      </c>
      <c r="D10" s="53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261">
        <f>SUM(E10:P10)</f>
        <v>0</v>
      </c>
      <c r="R10" s="56"/>
      <c r="S10" s="39"/>
      <c r="T10" s="39"/>
      <c r="U10" s="39"/>
      <c r="V10" s="40">
        <f t="shared" ref="V10:AD10" si="12">IF($C$2="AV",V13,IF($C$2="Mgmt",V11,IF($C$2="Mgmt (Adj)",V12)))</f>
        <v>0</v>
      </c>
      <c r="W10" s="40">
        <f t="shared" si="12"/>
        <v>0</v>
      </c>
      <c r="X10" s="40">
        <f t="shared" si="12"/>
        <v>0</v>
      </c>
      <c r="Y10" s="40">
        <f t="shared" si="12"/>
        <v>0</v>
      </c>
      <c r="Z10" s="40">
        <f t="shared" si="12"/>
        <v>0</v>
      </c>
      <c r="AA10" s="40">
        <f t="shared" si="12"/>
        <v>0</v>
      </c>
      <c r="AB10" s="40">
        <f t="shared" si="12"/>
        <v>0</v>
      </c>
      <c r="AC10" s="40">
        <f t="shared" si="12"/>
        <v>0</v>
      </c>
      <c r="AD10" s="40">
        <f t="shared" si="12"/>
        <v>0</v>
      </c>
      <c r="AE10" s="55">
        <f>SUM(S10:AD10)</f>
        <v>0</v>
      </c>
      <c r="AF10" s="56"/>
      <c r="AG10" s="58"/>
      <c r="AH10" s="59">
        <f t="shared" ref="AH10:AH73" si="13">SUMPRODUCT($E$6:$AD$6,E10:AD10)</f>
        <v>0</v>
      </c>
      <c r="AI10" s="55">
        <f t="shared" ref="AI10:AI73" si="14">SUMPRODUCT($E$5:$AD$5,E10:AD10)</f>
        <v>0</v>
      </c>
      <c r="AJ10" s="50"/>
      <c r="AK10" s="6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 t="s">
        <v>43</v>
      </c>
      <c r="BI10" s="50"/>
      <c r="BJ10" s="50"/>
      <c r="BK10" s="50"/>
      <c r="BL10" s="50"/>
      <c r="BM10" s="50"/>
      <c r="BN10" s="50"/>
    </row>
    <row r="11" spans="1:66" ht="13.5" hidden="1" customHeight="1" outlineLevel="1" x14ac:dyDescent="0.4">
      <c r="A11" s="50"/>
      <c r="B11" s="61"/>
      <c r="C11" s="62" t="s">
        <v>44</v>
      </c>
      <c r="D11" s="53"/>
      <c r="E11" s="63">
        <f t="shared" ref="E11:H13" si="15">SUM(E16,E21,E26)</f>
        <v>0</v>
      </c>
      <c r="F11" s="40">
        <f t="shared" si="15"/>
        <v>0</v>
      </c>
      <c r="G11" s="40">
        <f t="shared" si="15"/>
        <v>0</v>
      </c>
      <c r="H11" s="40">
        <f t="shared" si="15"/>
        <v>0</v>
      </c>
      <c r="I11" s="40">
        <f t="shared" ref="I11:J11" si="16">SUM(I16,I21,I26)</f>
        <v>0</v>
      </c>
      <c r="J11" s="40">
        <f t="shared" si="16"/>
        <v>0</v>
      </c>
      <c r="K11" s="40">
        <f t="shared" ref="K11" si="17">SUM(K16,K21,K26)</f>
        <v>0</v>
      </c>
      <c r="L11" s="40">
        <f t="shared" ref="L11" si="18">SUM(L16,L21,L26)</f>
        <v>0</v>
      </c>
      <c r="M11" s="40">
        <f t="shared" ref="M11:N11" si="19">SUM(M16,M21,M26)</f>
        <v>0</v>
      </c>
      <c r="N11" s="40">
        <f t="shared" si="19"/>
        <v>0</v>
      </c>
      <c r="O11" s="40">
        <f t="shared" ref="O11:P13" si="20">SUM(O16,O21,O26)</f>
        <v>0</v>
      </c>
      <c r="P11" s="40">
        <f t="shared" si="20"/>
        <v>0</v>
      </c>
      <c r="Q11" s="261">
        <f>SUM(E11:P11)</f>
        <v>0</v>
      </c>
      <c r="R11" s="56"/>
      <c r="S11" s="63">
        <f t="shared" ref="S11:T11" si="21">SUM(S16,S21,S26)</f>
        <v>0</v>
      </c>
      <c r="T11" s="63">
        <f t="shared" si="21"/>
        <v>0</v>
      </c>
      <c r="U11" s="63">
        <f t="shared" ref="U11" si="22">SUM(U16,U21,U26)</f>
        <v>0</v>
      </c>
      <c r="V11" s="40">
        <f t="shared" ref="V11:AD13" si="23">SUM(V16,V21,V26)</f>
        <v>0</v>
      </c>
      <c r="W11" s="40">
        <f t="shared" si="23"/>
        <v>0</v>
      </c>
      <c r="X11" s="40">
        <f t="shared" si="23"/>
        <v>0</v>
      </c>
      <c r="Y11" s="40">
        <f t="shared" si="23"/>
        <v>0</v>
      </c>
      <c r="Z11" s="40">
        <f t="shared" si="23"/>
        <v>0</v>
      </c>
      <c r="AA11" s="40">
        <f t="shared" si="23"/>
        <v>0</v>
      </c>
      <c r="AB11" s="40">
        <f t="shared" si="23"/>
        <v>0</v>
      </c>
      <c r="AC11" s="40">
        <f t="shared" si="23"/>
        <v>0</v>
      </c>
      <c r="AD11" s="40">
        <f t="shared" si="23"/>
        <v>0</v>
      </c>
      <c r="AE11" s="55">
        <f>SUM(S11:AD11)</f>
        <v>0</v>
      </c>
      <c r="AF11" s="56"/>
      <c r="AG11" s="58"/>
      <c r="AH11" s="59">
        <f t="shared" si="13"/>
        <v>0</v>
      </c>
      <c r="AI11" s="55">
        <f t="shared" si="14"/>
        <v>0</v>
      </c>
      <c r="AJ11" s="50"/>
      <c r="AK11" s="6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</row>
    <row r="12" spans="1:66" ht="13.5" hidden="1" customHeight="1" outlineLevel="1" x14ac:dyDescent="0.4">
      <c r="A12" s="50"/>
      <c r="B12" s="61"/>
      <c r="C12" s="62" t="s">
        <v>45</v>
      </c>
      <c r="D12" s="53"/>
      <c r="E12" s="63">
        <f t="shared" si="15"/>
        <v>0</v>
      </c>
      <c r="F12" s="40">
        <f t="shared" si="15"/>
        <v>0</v>
      </c>
      <c r="G12" s="40">
        <f t="shared" si="15"/>
        <v>0</v>
      </c>
      <c r="H12" s="40">
        <f t="shared" si="15"/>
        <v>0</v>
      </c>
      <c r="I12" s="40">
        <f t="shared" ref="I12:J12" si="24">SUM(I17,I22,I27)</f>
        <v>0</v>
      </c>
      <c r="J12" s="40">
        <f t="shared" si="24"/>
        <v>0</v>
      </c>
      <c r="K12" s="40">
        <f t="shared" ref="K12" si="25">SUM(K17,K22,K27)</f>
        <v>0</v>
      </c>
      <c r="L12" s="40">
        <f t="shared" ref="L12" si="26">SUM(L17,L22,L27)</f>
        <v>0</v>
      </c>
      <c r="M12" s="40">
        <f t="shared" ref="M12:N12" si="27">SUM(M17,M22,M27)</f>
        <v>0</v>
      </c>
      <c r="N12" s="40">
        <f t="shared" si="27"/>
        <v>0</v>
      </c>
      <c r="O12" s="40">
        <f t="shared" si="20"/>
        <v>0</v>
      </c>
      <c r="P12" s="40">
        <f t="shared" si="20"/>
        <v>0</v>
      </c>
      <c r="Q12" s="262">
        <f>SUM(E12:P12)</f>
        <v>0</v>
      </c>
      <c r="R12" s="56"/>
      <c r="S12" s="63">
        <f t="shared" ref="S12:T12" si="28">SUM(S17,S22,S27)</f>
        <v>0</v>
      </c>
      <c r="T12" s="63">
        <f t="shared" si="28"/>
        <v>0</v>
      </c>
      <c r="U12" s="63">
        <f t="shared" ref="U12" si="29">SUM(U17,U22,U27)</f>
        <v>0</v>
      </c>
      <c r="V12" s="40">
        <f t="shared" si="23"/>
        <v>0</v>
      </c>
      <c r="W12" s="40">
        <f t="shared" si="23"/>
        <v>0</v>
      </c>
      <c r="X12" s="40">
        <f t="shared" si="23"/>
        <v>0</v>
      </c>
      <c r="Y12" s="40">
        <f t="shared" si="23"/>
        <v>0</v>
      </c>
      <c r="Z12" s="40">
        <f t="shared" si="23"/>
        <v>0</v>
      </c>
      <c r="AA12" s="40">
        <f t="shared" si="23"/>
        <v>0</v>
      </c>
      <c r="AB12" s="40">
        <f t="shared" si="23"/>
        <v>0</v>
      </c>
      <c r="AC12" s="40">
        <f t="shared" si="23"/>
        <v>0</v>
      </c>
      <c r="AD12" s="40">
        <f t="shared" si="23"/>
        <v>0</v>
      </c>
      <c r="AE12" s="64">
        <f>SUM(S12:AD12)</f>
        <v>0</v>
      </c>
      <c r="AF12" s="56"/>
      <c r="AG12" s="58"/>
      <c r="AH12" s="59">
        <f t="shared" si="13"/>
        <v>0</v>
      </c>
      <c r="AI12" s="55">
        <f t="shared" si="14"/>
        <v>0</v>
      </c>
      <c r="AJ12" s="50"/>
      <c r="AK12" s="6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</row>
    <row r="13" spans="1:66" ht="13.5" hidden="1" customHeight="1" outlineLevel="1" x14ac:dyDescent="0.4">
      <c r="A13" s="50"/>
      <c r="B13" s="51"/>
      <c r="C13" s="52" t="s">
        <v>46</v>
      </c>
      <c r="D13" s="53"/>
      <c r="E13" s="63">
        <f t="shared" si="15"/>
        <v>0</v>
      </c>
      <c r="F13" s="40">
        <f t="shared" si="15"/>
        <v>0</v>
      </c>
      <c r="G13" s="40">
        <f t="shared" si="15"/>
        <v>0</v>
      </c>
      <c r="H13" s="40">
        <f t="shared" si="15"/>
        <v>0</v>
      </c>
      <c r="I13" s="40">
        <f t="shared" ref="I13:J13" si="30">SUM(I18,I23,I28)</f>
        <v>0</v>
      </c>
      <c r="J13" s="40">
        <f t="shared" si="30"/>
        <v>0</v>
      </c>
      <c r="K13" s="40">
        <f t="shared" ref="K13" si="31">SUM(K18,K23,K28)</f>
        <v>0</v>
      </c>
      <c r="L13" s="40">
        <f t="shared" ref="L13" si="32">SUM(L18,L23,L28)</f>
        <v>0</v>
      </c>
      <c r="M13" s="40">
        <f t="shared" ref="M13:N13" si="33">SUM(M18,M23,M28)</f>
        <v>0</v>
      </c>
      <c r="N13" s="40">
        <f t="shared" si="33"/>
        <v>0</v>
      </c>
      <c r="O13" s="40">
        <f t="shared" si="20"/>
        <v>0</v>
      </c>
      <c r="P13" s="40">
        <f t="shared" si="20"/>
        <v>0</v>
      </c>
      <c r="Q13" s="261">
        <f>SUM(E13:P13)</f>
        <v>0</v>
      </c>
      <c r="R13" s="56"/>
      <c r="S13" s="63">
        <f t="shared" ref="S13:T13" si="34">SUM(S18,S23,S28)</f>
        <v>0</v>
      </c>
      <c r="T13" s="63">
        <f t="shared" si="34"/>
        <v>0</v>
      </c>
      <c r="U13" s="63">
        <f t="shared" ref="U13" si="35">SUM(U18,U23,U28)</f>
        <v>0</v>
      </c>
      <c r="V13" s="40">
        <f t="shared" si="23"/>
        <v>0</v>
      </c>
      <c r="W13" s="40">
        <f t="shared" si="23"/>
        <v>0</v>
      </c>
      <c r="X13" s="40">
        <f t="shared" si="23"/>
        <v>0</v>
      </c>
      <c r="Y13" s="40">
        <f t="shared" si="23"/>
        <v>0</v>
      </c>
      <c r="Z13" s="40">
        <f t="shared" si="23"/>
        <v>0</v>
      </c>
      <c r="AA13" s="40">
        <f t="shared" si="23"/>
        <v>0</v>
      </c>
      <c r="AB13" s="40">
        <f t="shared" si="23"/>
        <v>0</v>
      </c>
      <c r="AC13" s="40">
        <f t="shared" si="23"/>
        <v>0</v>
      </c>
      <c r="AD13" s="40">
        <f t="shared" si="23"/>
        <v>0</v>
      </c>
      <c r="AE13" s="55">
        <f>SUM(S13:AD13)</f>
        <v>0</v>
      </c>
      <c r="AF13" s="56"/>
      <c r="AG13" s="58"/>
      <c r="AH13" s="57">
        <f t="shared" si="13"/>
        <v>0</v>
      </c>
      <c r="AI13" s="54">
        <f t="shared" si="14"/>
        <v>0</v>
      </c>
      <c r="AJ13" s="50"/>
      <c r="AK13" s="6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</row>
    <row r="14" spans="1:66" ht="13.15" collapsed="1" x14ac:dyDescent="0.4">
      <c r="B14" s="65" t="s">
        <v>47</v>
      </c>
      <c r="C14" s="66" t="s">
        <v>41</v>
      </c>
      <c r="D14" s="29"/>
      <c r="E14" s="67">
        <f>'[2]Detailed FS_$ Cons. (formating)'!BR$7</f>
        <v>10800</v>
      </c>
      <c r="F14" s="68">
        <f>'[2]Detailed FS_$ Cons. (formating)'!BS$7</f>
        <v>0</v>
      </c>
      <c r="G14" s="68">
        <f>'[2]Detailed FS_$ Cons. (formating)'!BT$7</f>
        <v>0</v>
      </c>
      <c r="H14" s="68">
        <f>'[2]Detailed FS_$ Cons. (formating)'!BU7</f>
        <v>0</v>
      </c>
      <c r="I14" s="68">
        <f>'[2]Detailed FS_$ Cons. (formating)'!BV7</f>
        <v>0</v>
      </c>
      <c r="J14" s="68">
        <f>'[2]Detailed FS_$ Cons. (formating)'!BW7</f>
        <v>0</v>
      </c>
      <c r="K14" s="68">
        <f>'[2]Detailed FS_$ Cons. (formating)'!BX7</f>
        <v>0</v>
      </c>
      <c r="L14" s="68">
        <f>'[2]Detailed FS_$ Cons. (formating)'!BY7</f>
        <v>0</v>
      </c>
      <c r="M14" s="68">
        <f>'[2]Detailed FS_$ Cons. (formating)'!BZ7</f>
        <v>0</v>
      </c>
      <c r="N14" s="68">
        <f>'[2]Detailed FS_$ Cons. (formating)'!CA7</f>
        <v>17800.002722940775</v>
      </c>
      <c r="O14" s="68">
        <f>'[2]Detailed FS_$ Cons. (formating)'!CB7</f>
        <v>1600.0000000000002</v>
      </c>
      <c r="P14" s="68">
        <f>'[2]Detailed FS_$ Cons. (formating)'!CC7</f>
        <v>300500.00000000006</v>
      </c>
      <c r="Q14" s="263">
        <f t="shared" ref="Q14:Q28" si="36">SUM(E14:P14)</f>
        <v>330700.00272294082</v>
      </c>
      <c r="S14" s="67">
        <f>'[2]Detailed FS_$ Cons. (formating)'!CF7</f>
        <v>1600.0027229407763</v>
      </c>
      <c r="T14" s="67">
        <f>'[2]Detailed FS_$ Cons. (formating)'!CG7</f>
        <v>1600.002722940776</v>
      </c>
      <c r="U14" s="67">
        <f>'[2]Detailed FS_$ Cons. (formating)'!CH7</f>
        <v>387350.00136122946</v>
      </c>
      <c r="V14" s="68"/>
      <c r="W14" s="68"/>
      <c r="X14" s="68"/>
      <c r="Y14" s="68"/>
      <c r="Z14" s="68"/>
      <c r="AA14" s="68"/>
      <c r="AB14" s="68"/>
      <c r="AC14" s="68"/>
      <c r="AD14" s="68"/>
      <c r="AE14" s="69">
        <f t="shared" ref="AE14:AE28" si="37">SUM(S14:AD14)</f>
        <v>390550.00680711103</v>
      </c>
      <c r="AG14" s="21"/>
      <c r="AH14" s="70">
        <f t="shared" si="13"/>
        <v>1600.0027229407763</v>
      </c>
      <c r="AI14" s="71">
        <f t="shared" si="14"/>
        <v>1600.0027229407763</v>
      </c>
      <c r="AK14" s="72"/>
    </row>
    <row r="15" spans="1:66" ht="15" customHeight="1" x14ac:dyDescent="0.4">
      <c r="A15" s="50"/>
      <c r="B15" s="73"/>
      <c r="C15" s="74" t="str">
        <f>IF($C$2="AV",C18,IF($C$2="Mgmt",C16,IF($C$2="Mgmt (Adj)",C17)))</f>
        <v>plan (AV)</v>
      </c>
      <c r="D15" s="75"/>
      <c r="E15" s="39">
        <f t="shared" ref="E15:H15" si="38">IF($C$2="AV",E18,IF($C$2="Mgmt",E16,IF($C$2="Mgmt (Adj)",E17)))</f>
        <v>0</v>
      </c>
      <c r="F15" s="40">
        <f t="shared" si="38"/>
        <v>0</v>
      </c>
      <c r="G15" s="40">
        <f t="shared" si="38"/>
        <v>0</v>
      </c>
      <c r="H15" s="40">
        <f t="shared" si="38"/>
        <v>0</v>
      </c>
      <c r="I15" s="40">
        <f t="shared" ref="I15:J15" si="39">IF($C$2="AV",I18,IF($C$2="Mgmt",I16,IF($C$2="Mgmt (Adj)",I17)))</f>
        <v>0</v>
      </c>
      <c r="J15" s="40">
        <f t="shared" si="39"/>
        <v>0</v>
      </c>
      <c r="K15" s="40">
        <f t="shared" ref="K15" si="40">IF($C$2="AV",K18,IF($C$2="Mgmt",K16,IF($C$2="Mgmt (Adj)",K17)))</f>
        <v>0</v>
      </c>
      <c r="L15" s="40">
        <f t="shared" ref="L15" si="41">IF($C$2="AV",L18,IF($C$2="Mgmt",L16,IF($C$2="Mgmt (Adj)",L17)))</f>
        <v>0</v>
      </c>
      <c r="M15" s="40">
        <f t="shared" ref="M15:N15" si="42">IF($C$2="AV",M18,IF($C$2="Mgmt",M16,IF($C$2="Mgmt (Adj)",M17)))</f>
        <v>0</v>
      </c>
      <c r="N15" s="40">
        <f t="shared" si="42"/>
        <v>0</v>
      </c>
      <c r="O15" s="40">
        <f>IF($C$2="AV",O18,IF($C$2="Mgmt",O16,IF($C$2="Mgmt (Adj)",O17)))</f>
        <v>0</v>
      </c>
      <c r="P15" s="40">
        <f>IF($C$2="AV",P18,IF($C$2="Mgmt",P16,IF($C$2="Mgmt (Adj)",P17)))</f>
        <v>0</v>
      </c>
      <c r="Q15" s="264">
        <f t="shared" si="36"/>
        <v>0</v>
      </c>
      <c r="R15" s="77"/>
      <c r="S15" s="39">
        <f>IF($C$2="AV",S18,IF($C$2="Mgmt",S16,IF($C$2="Mgmt (Adj)",S17)))</f>
        <v>0</v>
      </c>
      <c r="T15" s="39">
        <f>IF($C$2="AV",T18,IF($C$2="Mgmt",T16,IF($C$2="Mgmt (Adj)",T17)))</f>
        <v>0</v>
      </c>
      <c r="U15" s="39">
        <f>IF($C$2="AV",U18,IF($C$2="Mgmt",U16,IF($C$2="Mgmt (Adj)",U17)))</f>
        <v>0</v>
      </c>
      <c r="V15" s="40">
        <f t="shared" ref="V15:Y15" si="43">IF($C$2="AV",V18,IF($C$2="Mgmt",V16,IF($C$2="Mgmt (Adj)",V17)))</f>
        <v>0</v>
      </c>
      <c r="W15" s="40">
        <f t="shared" si="43"/>
        <v>0</v>
      </c>
      <c r="X15" s="40">
        <f t="shared" si="43"/>
        <v>0</v>
      </c>
      <c r="Y15" s="40">
        <f t="shared" si="43"/>
        <v>0</v>
      </c>
      <c r="Z15" s="40" t="s">
        <v>48</v>
      </c>
      <c r="AA15" s="40">
        <f t="shared" ref="AA15:AD15" si="44">IF($C$2="AV",AA18,IF($C$2="Mgmt",AA16,IF($C$2="Mgmt (Adj)",AA17)))</f>
        <v>0</v>
      </c>
      <c r="AB15" s="40">
        <f t="shared" si="44"/>
        <v>0</v>
      </c>
      <c r="AC15" s="40">
        <f t="shared" si="44"/>
        <v>0</v>
      </c>
      <c r="AD15" s="40">
        <f t="shared" si="44"/>
        <v>0</v>
      </c>
      <c r="AE15" s="76">
        <f t="shared" si="37"/>
        <v>0</v>
      </c>
      <c r="AF15" s="77"/>
      <c r="AG15" s="58"/>
      <c r="AH15" s="59">
        <f t="shared" si="13"/>
        <v>0</v>
      </c>
      <c r="AI15" s="55">
        <f t="shared" si="14"/>
        <v>0</v>
      </c>
      <c r="AJ15" s="50"/>
      <c r="AK15" s="78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</row>
    <row r="16" spans="1:66" ht="16.5" hidden="1" customHeight="1" outlineLevel="1" x14ac:dyDescent="0.4">
      <c r="A16" s="79"/>
      <c r="B16" s="80"/>
      <c r="C16" s="81" t="s">
        <v>44</v>
      </c>
      <c r="D16" s="82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265">
        <f t="shared" si="36"/>
        <v>0</v>
      </c>
      <c r="R16" s="87"/>
      <c r="S16" s="83"/>
      <c r="T16" s="83"/>
      <c r="U16" s="83"/>
      <c r="V16" s="84"/>
      <c r="W16" s="84"/>
      <c r="X16" s="84"/>
      <c r="Y16" s="84"/>
      <c r="Z16" s="84"/>
      <c r="AA16" s="84"/>
      <c r="AB16" s="84"/>
      <c r="AC16" s="84"/>
      <c r="AD16" s="84"/>
      <c r="AE16" s="86">
        <f t="shared" si="37"/>
        <v>0</v>
      </c>
      <c r="AF16" s="87"/>
      <c r="AG16" s="88"/>
      <c r="AH16" s="89">
        <f t="shared" si="13"/>
        <v>0</v>
      </c>
      <c r="AI16" s="85">
        <f t="shared" si="14"/>
        <v>0</v>
      </c>
      <c r="AJ16" s="79"/>
      <c r="AK16" s="90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</row>
    <row r="17" spans="1:66" ht="16.5" hidden="1" customHeight="1" outlineLevel="1" x14ac:dyDescent="0.4">
      <c r="A17" s="79"/>
      <c r="B17" s="80"/>
      <c r="C17" s="81" t="s">
        <v>45</v>
      </c>
      <c r="D17" s="82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265">
        <f t="shared" si="36"/>
        <v>0</v>
      </c>
      <c r="R17" s="87"/>
      <c r="S17" s="83"/>
      <c r="T17" s="83"/>
      <c r="U17" s="83"/>
      <c r="V17" s="84"/>
      <c r="W17" s="84"/>
      <c r="X17" s="84"/>
      <c r="Y17" s="84"/>
      <c r="Z17" s="84"/>
      <c r="AA17" s="84"/>
      <c r="AB17" s="84"/>
      <c r="AC17" s="84"/>
      <c r="AD17" s="84"/>
      <c r="AE17" s="86">
        <f t="shared" si="37"/>
        <v>0</v>
      </c>
      <c r="AF17" s="87"/>
      <c r="AG17" s="88"/>
      <c r="AH17" s="89">
        <f t="shared" si="13"/>
        <v>0</v>
      </c>
      <c r="AI17" s="85">
        <f t="shared" si="14"/>
        <v>0</v>
      </c>
      <c r="AJ17" s="79"/>
      <c r="AK17" s="90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</row>
    <row r="18" spans="1:66" ht="16.5" hidden="1" customHeight="1" outlineLevel="1" x14ac:dyDescent="0.4">
      <c r="A18" s="79"/>
      <c r="B18" s="80"/>
      <c r="C18" s="81" t="s">
        <v>46</v>
      </c>
      <c r="D18" s="82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265">
        <f t="shared" si="36"/>
        <v>0</v>
      </c>
      <c r="R18" s="87"/>
      <c r="S18" s="83"/>
      <c r="T18" s="83"/>
      <c r="U18" s="83"/>
      <c r="V18" s="84"/>
      <c r="W18" s="84"/>
      <c r="X18" s="84"/>
      <c r="Y18" s="84"/>
      <c r="Z18" s="84"/>
      <c r="AA18" s="84"/>
      <c r="AB18" s="84"/>
      <c r="AC18" s="84"/>
      <c r="AD18" s="84"/>
      <c r="AE18" s="86">
        <f t="shared" si="37"/>
        <v>0</v>
      </c>
      <c r="AF18" s="87"/>
      <c r="AG18" s="88"/>
      <c r="AH18" s="89">
        <f t="shared" si="13"/>
        <v>0</v>
      </c>
      <c r="AI18" s="85">
        <f t="shared" si="14"/>
        <v>0</v>
      </c>
      <c r="AJ18" s="79"/>
      <c r="AK18" s="90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</row>
    <row r="19" spans="1:66" ht="15.75" customHeight="1" collapsed="1" x14ac:dyDescent="0.4">
      <c r="B19" s="65" t="s">
        <v>10</v>
      </c>
      <c r="C19" s="66" t="s">
        <v>41</v>
      </c>
      <c r="D19" s="29"/>
      <c r="E19" s="91">
        <f>'[2]Detailed FS_$ Cons. (formating)'!BR$9</f>
        <v>5053.2296927537809</v>
      </c>
      <c r="F19" s="92">
        <f>'[2]Detailed FS_$ Cons. (formating)'!BS$9</f>
        <v>5050.7412298016579</v>
      </c>
      <c r="G19" s="92">
        <f>'[2]Detailed FS_$ Cons. (formating)'!BT$9</f>
        <v>25050.250476449764</v>
      </c>
      <c r="H19" s="92">
        <f>'[2]Detailed FS_$ Cons. (formating)'!BU$9</f>
        <v>5075.6411652600063</v>
      </c>
      <c r="I19" s="92">
        <f>'[2]Detailed FS_$ Cons. (formating)'!BV$9</f>
        <v>5083.0620954403448</v>
      </c>
      <c r="J19" s="92">
        <f>'[2]Detailed FS_$ Cons. (formating)'!BW$9</f>
        <v>5101.8234537398148</v>
      </c>
      <c r="K19" s="92">
        <f>'[2]Detailed FS_$ Cons. (formating)'!BX$9</f>
        <v>5100</v>
      </c>
      <c r="L19" s="92">
        <f>'[2]Detailed FS_$ Cons. (formating)'!BY$9</f>
        <v>10000.002722940775</v>
      </c>
      <c r="M19" s="92">
        <f>'[2]Detailed FS_$ Cons. (formating)'!BZ$9</f>
        <v>37200</v>
      </c>
      <c r="N19" s="92">
        <f>'[2]Detailed FS_$ Cons. (formating)'!CA$9</f>
        <v>-17200</v>
      </c>
      <c r="O19" s="92">
        <f>'[2]Detailed FS_$ Cons. (formating)'!CB$9</f>
        <v>10000</v>
      </c>
      <c r="P19" s="92">
        <f>'[2]Detailed FS_$ Cons. (formating)'!CC$9</f>
        <v>-10000.000906658472</v>
      </c>
      <c r="Q19" s="266">
        <f t="shared" si="36"/>
        <v>85514.749929727666</v>
      </c>
      <c r="S19" s="91">
        <f>'[2]Detailed FS_$ Cons. (formating)'!CF$9</f>
        <v>10000</v>
      </c>
      <c r="T19" s="91">
        <f>'[2]Detailed FS_$ Cons. (formating)'!CG$9</f>
        <v>10000.000000000002</v>
      </c>
      <c r="U19" s="91">
        <f>'[2]Detailed FS_$ Cons. (formating)'!CH$9</f>
        <v>9999.9972776151917</v>
      </c>
      <c r="V19" s="92"/>
      <c r="W19" s="92"/>
      <c r="X19" s="92"/>
      <c r="Y19" s="92"/>
      <c r="Z19" s="92"/>
      <c r="AA19" s="92"/>
      <c r="AB19" s="92"/>
      <c r="AC19" s="92"/>
      <c r="AD19" s="92"/>
      <c r="AE19" s="94">
        <f t="shared" si="37"/>
        <v>29999.997277615192</v>
      </c>
      <c r="AG19" s="21"/>
      <c r="AH19" s="95">
        <f t="shared" si="13"/>
        <v>10000</v>
      </c>
      <c r="AI19" s="96">
        <f t="shared" si="14"/>
        <v>10000</v>
      </c>
      <c r="AK19" s="26"/>
    </row>
    <row r="20" spans="1:66" ht="15" customHeight="1" x14ac:dyDescent="0.4">
      <c r="A20" s="50"/>
      <c r="B20" s="73"/>
      <c r="C20" s="74" t="str">
        <f>IF($C$2="AV",C23,IF($C$2="Mgmt",C21,IF($C$2="Mgmt (Adj)",C22)))</f>
        <v>plan (AV)</v>
      </c>
      <c r="D20" s="75"/>
      <c r="E20" s="39">
        <f t="shared" ref="E20:H20" si="45">IF($C$2="AV",E23,IF($C$2="Mgmt",E21,IF($C$2="Mgmt (Adj)",E22)))</f>
        <v>0</v>
      </c>
      <c r="F20" s="40">
        <f t="shared" si="45"/>
        <v>0</v>
      </c>
      <c r="G20" s="40">
        <f t="shared" si="45"/>
        <v>0</v>
      </c>
      <c r="H20" s="40">
        <f t="shared" si="45"/>
        <v>0</v>
      </c>
      <c r="I20" s="40">
        <f t="shared" ref="I20:J20" si="46">IF($C$2="AV",I23,IF($C$2="Mgmt",I21,IF($C$2="Mgmt (Adj)",I22)))</f>
        <v>0</v>
      </c>
      <c r="J20" s="40">
        <f t="shared" si="46"/>
        <v>0</v>
      </c>
      <c r="K20" s="40">
        <f t="shared" ref="K20" si="47">IF($C$2="AV",K23,IF($C$2="Mgmt",K21,IF($C$2="Mgmt (Adj)",K22)))</f>
        <v>0</v>
      </c>
      <c r="L20" s="40">
        <f t="shared" ref="L20" si="48">IF($C$2="AV",L23,IF($C$2="Mgmt",L21,IF($C$2="Mgmt (Adj)",L22)))</f>
        <v>0</v>
      </c>
      <c r="M20" s="40">
        <f t="shared" ref="M20:N20" si="49">IF($C$2="AV",M23,IF($C$2="Mgmt",M21,IF($C$2="Mgmt (Adj)",M22)))</f>
        <v>0</v>
      </c>
      <c r="N20" s="40">
        <f t="shared" si="49"/>
        <v>0</v>
      </c>
      <c r="O20" s="40">
        <f>IF($C$2="AV",O23,IF($C$2="Mgmt",O21,IF($C$2="Mgmt (Adj)",O22)))</f>
        <v>0</v>
      </c>
      <c r="P20" s="40">
        <f>IF($C$2="AV",P23,IF($C$2="Mgmt",P21,IF($C$2="Mgmt (Adj)",P22)))</f>
        <v>0</v>
      </c>
      <c r="Q20" s="264">
        <f t="shared" si="36"/>
        <v>0</v>
      </c>
      <c r="R20" s="77"/>
      <c r="S20" s="39">
        <f>IF($C$2="AV",S23,IF($C$2="Mgmt",S21,IF($C$2="Mgmt (Adj)",S22)))</f>
        <v>0</v>
      </c>
      <c r="T20" s="39">
        <f>IF($C$2="AV",T23,IF($C$2="Mgmt",T21,IF($C$2="Mgmt (Adj)",T22)))</f>
        <v>0</v>
      </c>
      <c r="U20" s="39">
        <f>IF($C$2="AV",U23,IF($C$2="Mgmt",U21,IF($C$2="Mgmt (Adj)",U22)))</f>
        <v>0</v>
      </c>
      <c r="V20" s="40">
        <f t="shared" ref="V20:AD20" si="50">IF($C$2="AV",V23,IF($C$2="Mgmt",V21,IF($C$2="Mgmt (Adj)",V22)))</f>
        <v>0</v>
      </c>
      <c r="W20" s="40">
        <f t="shared" si="50"/>
        <v>0</v>
      </c>
      <c r="X20" s="40">
        <f t="shared" si="50"/>
        <v>0</v>
      </c>
      <c r="Y20" s="40">
        <f t="shared" si="50"/>
        <v>0</v>
      </c>
      <c r="Z20" s="40">
        <f t="shared" si="50"/>
        <v>0</v>
      </c>
      <c r="AA20" s="40">
        <f t="shared" si="50"/>
        <v>0</v>
      </c>
      <c r="AB20" s="40">
        <f t="shared" si="50"/>
        <v>0</v>
      </c>
      <c r="AC20" s="40">
        <f t="shared" si="50"/>
        <v>0</v>
      </c>
      <c r="AD20" s="40">
        <f t="shared" si="50"/>
        <v>0</v>
      </c>
      <c r="AE20" s="76">
        <f t="shared" si="37"/>
        <v>0</v>
      </c>
      <c r="AF20" s="77"/>
      <c r="AG20" s="58"/>
      <c r="AH20" s="59">
        <f t="shared" si="13"/>
        <v>0</v>
      </c>
      <c r="AI20" s="55">
        <f t="shared" si="14"/>
        <v>0</v>
      </c>
      <c r="AJ20" s="50"/>
      <c r="AK20" s="78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</row>
    <row r="21" spans="1:66" ht="16.5" hidden="1" customHeight="1" outlineLevel="1" x14ac:dyDescent="0.4">
      <c r="A21" s="79"/>
      <c r="B21" s="80"/>
      <c r="C21" s="81" t="s">
        <v>44</v>
      </c>
      <c r="D21" s="82"/>
      <c r="E21" s="8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265">
        <f t="shared" si="36"/>
        <v>0</v>
      </c>
      <c r="R21" s="87"/>
      <c r="S21" s="83"/>
      <c r="T21" s="83"/>
      <c r="U21" s="83"/>
      <c r="V21" s="84"/>
      <c r="W21" s="84"/>
      <c r="X21" s="84"/>
      <c r="Y21" s="84"/>
      <c r="Z21" s="84"/>
      <c r="AA21" s="84"/>
      <c r="AB21" s="84"/>
      <c r="AC21" s="84"/>
      <c r="AD21" s="84"/>
      <c r="AE21" s="86">
        <f t="shared" si="37"/>
        <v>0</v>
      </c>
      <c r="AF21" s="87"/>
      <c r="AG21" s="88"/>
      <c r="AH21" s="89">
        <f t="shared" si="13"/>
        <v>0</v>
      </c>
      <c r="AI21" s="85">
        <f t="shared" si="14"/>
        <v>0</v>
      </c>
      <c r="AJ21" s="79"/>
      <c r="AK21" s="97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</row>
    <row r="22" spans="1:66" ht="16.5" hidden="1" customHeight="1" outlineLevel="1" x14ac:dyDescent="0.4">
      <c r="A22" s="79"/>
      <c r="B22" s="80"/>
      <c r="C22" s="81" t="s">
        <v>45</v>
      </c>
      <c r="D22" s="82"/>
      <c r="E22" s="83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265">
        <f t="shared" si="36"/>
        <v>0</v>
      </c>
      <c r="R22" s="87"/>
      <c r="S22" s="83"/>
      <c r="T22" s="83"/>
      <c r="U22" s="83"/>
      <c r="V22" s="84"/>
      <c r="W22" s="84"/>
      <c r="X22" s="84"/>
      <c r="Y22" s="84"/>
      <c r="Z22" s="84"/>
      <c r="AA22" s="84"/>
      <c r="AB22" s="84"/>
      <c r="AC22" s="84"/>
      <c r="AD22" s="84"/>
      <c r="AE22" s="86">
        <f t="shared" si="37"/>
        <v>0</v>
      </c>
      <c r="AF22" s="87"/>
      <c r="AG22" s="88"/>
      <c r="AH22" s="89">
        <f t="shared" si="13"/>
        <v>0</v>
      </c>
      <c r="AI22" s="85">
        <f t="shared" si="14"/>
        <v>0</v>
      </c>
      <c r="AJ22" s="79"/>
      <c r="AK22" s="97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</row>
    <row r="23" spans="1:66" ht="16.5" hidden="1" customHeight="1" outlineLevel="1" x14ac:dyDescent="0.4">
      <c r="A23" s="79"/>
      <c r="B23" s="80"/>
      <c r="C23" s="81" t="s">
        <v>46</v>
      </c>
      <c r="D23" s="82"/>
      <c r="E23" s="83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265">
        <f t="shared" si="36"/>
        <v>0</v>
      </c>
      <c r="R23" s="87"/>
      <c r="S23" s="83"/>
      <c r="T23" s="83"/>
      <c r="U23" s="83"/>
      <c r="V23" s="84"/>
      <c r="W23" s="84"/>
      <c r="X23" s="84"/>
      <c r="Y23" s="84"/>
      <c r="Z23" s="84"/>
      <c r="AA23" s="84"/>
      <c r="AB23" s="84"/>
      <c r="AC23" s="84"/>
      <c r="AD23" s="84"/>
      <c r="AE23" s="86">
        <f t="shared" si="37"/>
        <v>0</v>
      </c>
      <c r="AF23" s="87"/>
      <c r="AG23" s="88"/>
      <c r="AH23" s="89">
        <f t="shared" si="13"/>
        <v>0</v>
      </c>
      <c r="AI23" s="85">
        <f t="shared" si="14"/>
        <v>0</v>
      </c>
      <c r="AJ23" s="79"/>
      <c r="AK23" s="97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</row>
    <row r="24" spans="1:66" ht="15.75" customHeight="1" collapsed="1" x14ac:dyDescent="0.4">
      <c r="B24" s="65" t="s">
        <v>49</v>
      </c>
      <c r="C24" s="66" t="s">
        <v>41</v>
      </c>
      <c r="D24" s="29"/>
      <c r="E24" s="91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266">
        <f t="shared" si="36"/>
        <v>0</v>
      </c>
      <c r="S24" s="91"/>
      <c r="T24" s="91"/>
      <c r="U24" s="91"/>
      <c r="V24" s="92"/>
      <c r="W24" s="92"/>
      <c r="X24" s="92">
        <v>0</v>
      </c>
      <c r="Y24" s="92">
        <v>0</v>
      </c>
      <c r="Z24" s="92">
        <v>0</v>
      </c>
      <c r="AA24" s="92">
        <v>0</v>
      </c>
      <c r="AB24" s="92">
        <v>0</v>
      </c>
      <c r="AC24" s="92"/>
      <c r="AD24" s="92">
        <v>0</v>
      </c>
      <c r="AE24" s="94">
        <f t="shared" si="37"/>
        <v>0</v>
      </c>
      <c r="AG24" s="21"/>
      <c r="AH24" s="95">
        <f t="shared" si="13"/>
        <v>0</v>
      </c>
      <c r="AI24" s="96">
        <f t="shared" si="14"/>
        <v>0</v>
      </c>
      <c r="AK24" s="26"/>
    </row>
    <row r="25" spans="1:66" ht="15" customHeight="1" x14ac:dyDescent="0.4">
      <c r="A25" s="50"/>
      <c r="B25" s="73"/>
      <c r="C25" s="74" t="str">
        <f>IF($C$2="AV",C28,IF($C$2="Mgmt",C26,IF($C$2="Mgmt (Adj)",C27)))</f>
        <v>plan (AV)</v>
      </c>
      <c r="D25" s="75"/>
      <c r="E25" s="99">
        <f t="shared" ref="E25:H25" si="51">IF($C$2="AV",E28,IF($C$2="Mgmt",E26,IF($C$2="Mgmt (Adj)",E27)))</f>
        <v>0</v>
      </c>
      <c r="F25" s="100">
        <f t="shared" si="51"/>
        <v>0</v>
      </c>
      <c r="G25" s="100">
        <f t="shared" si="51"/>
        <v>0</v>
      </c>
      <c r="H25" s="100">
        <f t="shared" si="51"/>
        <v>0</v>
      </c>
      <c r="I25" s="100">
        <f t="shared" ref="I25:J25" si="52">IF($C$2="AV",I28,IF($C$2="Mgmt",I26,IF($C$2="Mgmt (Adj)",I27)))</f>
        <v>0</v>
      </c>
      <c r="J25" s="100">
        <f t="shared" si="52"/>
        <v>0</v>
      </c>
      <c r="K25" s="100">
        <f t="shared" ref="K25" si="53">IF($C$2="AV",K28,IF($C$2="Mgmt",K26,IF($C$2="Mgmt (Adj)",K27)))</f>
        <v>0</v>
      </c>
      <c r="L25" s="100">
        <f t="shared" ref="L25" si="54">IF($C$2="AV",L28,IF($C$2="Mgmt",L26,IF($C$2="Mgmt (Adj)",L27)))</f>
        <v>0</v>
      </c>
      <c r="M25" s="100">
        <f t="shared" ref="M25:N25" si="55">IF($C$2="AV",M28,IF($C$2="Mgmt",M26,IF($C$2="Mgmt (Adj)",M27)))</f>
        <v>0</v>
      </c>
      <c r="N25" s="100">
        <f t="shared" si="55"/>
        <v>0</v>
      </c>
      <c r="O25" s="100">
        <f>IF($C$2="AV",O28,IF($C$2="Mgmt",O26,IF($C$2="Mgmt (Adj)",O27)))</f>
        <v>0</v>
      </c>
      <c r="P25" s="100">
        <f>IF($C$2="AV",P28,IF($C$2="Mgmt",P26,IF($C$2="Mgmt (Adj)",P27)))</f>
        <v>0</v>
      </c>
      <c r="Q25" s="267">
        <f t="shared" si="36"/>
        <v>0</v>
      </c>
      <c r="R25" s="77"/>
      <c r="S25" s="99">
        <f>IF($C$2="AV",S28,IF($C$2="Mgmt",S26,IF($C$2="Mgmt (Adj)",S27)))</f>
        <v>0</v>
      </c>
      <c r="T25" s="99">
        <f>IF($C$2="AV",T28,IF($C$2="Mgmt",T26,IF($C$2="Mgmt (Adj)",T27)))</f>
        <v>0</v>
      </c>
      <c r="U25" s="99">
        <f>IF($C$2="AV",U28,IF($C$2="Mgmt",U26,IF($C$2="Mgmt (Adj)",U27)))</f>
        <v>0</v>
      </c>
      <c r="V25" s="100">
        <f t="shared" ref="V25:AD25" si="56">IF($C$2="AV",V28,IF($C$2="Mgmt",V26,IF($C$2="Mgmt (Adj)",V27)))</f>
        <v>0</v>
      </c>
      <c r="W25" s="100">
        <f t="shared" si="56"/>
        <v>0</v>
      </c>
      <c r="X25" s="100">
        <f t="shared" si="56"/>
        <v>0</v>
      </c>
      <c r="Y25" s="100">
        <f t="shared" si="56"/>
        <v>0</v>
      </c>
      <c r="Z25" s="100">
        <f t="shared" si="56"/>
        <v>0</v>
      </c>
      <c r="AA25" s="100">
        <f t="shared" si="56"/>
        <v>0</v>
      </c>
      <c r="AB25" s="100">
        <f t="shared" si="56"/>
        <v>0</v>
      </c>
      <c r="AC25" s="100">
        <f t="shared" si="56"/>
        <v>0</v>
      </c>
      <c r="AD25" s="100">
        <f t="shared" si="56"/>
        <v>0</v>
      </c>
      <c r="AE25" s="101">
        <f t="shared" si="37"/>
        <v>0</v>
      </c>
      <c r="AF25" s="77"/>
      <c r="AG25" s="58"/>
      <c r="AH25" s="59">
        <f t="shared" si="13"/>
        <v>0</v>
      </c>
      <c r="AI25" s="55">
        <f t="shared" si="14"/>
        <v>0</v>
      </c>
      <c r="AJ25" s="50"/>
      <c r="AK25" s="78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</row>
    <row r="26" spans="1:66" ht="16.5" hidden="1" customHeight="1" outlineLevel="1" x14ac:dyDescent="0.4">
      <c r="A26" s="79"/>
      <c r="B26" s="80"/>
      <c r="C26" s="81" t="s">
        <v>44</v>
      </c>
      <c r="D26" s="102"/>
      <c r="E26" s="103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268">
        <f t="shared" si="36"/>
        <v>0</v>
      </c>
      <c r="R26" s="104"/>
      <c r="S26" s="103"/>
      <c r="T26" s="103"/>
      <c r="U26" s="103"/>
      <c r="V26" s="84"/>
      <c r="W26" s="84"/>
      <c r="X26" s="84"/>
      <c r="Y26" s="84"/>
      <c r="Z26" s="84"/>
      <c r="AA26" s="84"/>
      <c r="AB26" s="84"/>
      <c r="AC26" s="84"/>
      <c r="AD26" s="84"/>
      <c r="AE26" s="85">
        <f t="shared" si="37"/>
        <v>0</v>
      </c>
      <c r="AF26" s="104"/>
      <c r="AG26" s="88"/>
      <c r="AH26" s="89">
        <f t="shared" si="13"/>
        <v>0</v>
      </c>
      <c r="AI26" s="85">
        <f t="shared" si="14"/>
        <v>0</v>
      </c>
      <c r="AJ26" s="79"/>
      <c r="AK26" s="97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</row>
    <row r="27" spans="1:66" ht="16.5" hidden="1" customHeight="1" outlineLevel="1" x14ac:dyDescent="0.4">
      <c r="A27" s="79"/>
      <c r="B27" s="80"/>
      <c r="C27" s="81" t="s">
        <v>45</v>
      </c>
      <c r="D27" s="102"/>
      <c r="E27" s="103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268">
        <f t="shared" si="36"/>
        <v>0</v>
      </c>
      <c r="R27" s="104"/>
      <c r="S27" s="103"/>
      <c r="T27" s="103"/>
      <c r="U27" s="103"/>
      <c r="V27" s="84"/>
      <c r="W27" s="84"/>
      <c r="X27" s="84"/>
      <c r="Y27" s="84"/>
      <c r="Z27" s="84"/>
      <c r="AA27" s="84"/>
      <c r="AB27" s="84"/>
      <c r="AC27" s="84"/>
      <c r="AD27" s="84"/>
      <c r="AE27" s="85">
        <f t="shared" si="37"/>
        <v>0</v>
      </c>
      <c r="AF27" s="104"/>
      <c r="AG27" s="88"/>
      <c r="AH27" s="89">
        <f t="shared" si="13"/>
        <v>0</v>
      </c>
      <c r="AI27" s="85">
        <f t="shared" si="14"/>
        <v>0</v>
      </c>
      <c r="AJ27" s="79"/>
      <c r="AK27" s="97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</row>
    <row r="28" spans="1:66" ht="16.5" hidden="1" customHeight="1" outlineLevel="1" x14ac:dyDescent="0.4">
      <c r="A28" s="79"/>
      <c r="B28" s="80"/>
      <c r="C28" s="81" t="s">
        <v>46</v>
      </c>
      <c r="D28" s="102"/>
      <c r="E28" s="103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268">
        <f t="shared" si="36"/>
        <v>0</v>
      </c>
      <c r="R28" s="104"/>
      <c r="S28" s="103"/>
      <c r="T28" s="103"/>
      <c r="U28" s="103"/>
      <c r="V28" s="84"/>
      <c r="W28" s="84"/>
      <c r="X28" s="84"/>
      <c r="Y28" s="84"/>
      <c r="Z28" s="84"/>
      <c r="AA28" s="84"/>
      <c r="AB28" s="84"/>
      <c r="AC28" s="84"/>
      <c r="AD28" s="84"/>
      <c r="AE28" s="85">
        <f t="shared" si="37"/>
        <v>0</v>
      </c>
      <c r="AF28" s="104"/>
      <c r="AG28" s="88"/>
      <c r="AH28" s="89">
        <f t="shared" si="13"/>
        <v>0</v>
      </c>
      <c r="AI28" s="85">
        <f t="shared" si="14"/>
        <v>0</v>
      </c>
      <c r="AJ28" s="79"/>
      <c r="AK28" s="97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</row>
    <row r="29" spans="1:66" ht="13.15" collapsed="1" x14ac:dyDescent="0.4">
      <c r="B29" s="105"/>
      <c r="C29" s="106"/>
      <c r="D29" s="38"/>
      <c r="E29" s="107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269"/>
      <c r="R29" s="35"/>
      <c r="S29" s="107"/>
      <c r="T29" s="107"/>
      <c r="U29" s="107"/>
      <c r="V29" s="108"/>
      <c r="W29" s="108"/>
      <c r="X29" s="108"/>
      <c r="Y29" s="108"/>
      <c r="Z29" s="108"/>
      <c r="AA29" s="108"/>
      <c r="AB29" s="108"/>
      <c r="AC29" s="108"/>
      <c r="AD29" s="108"/>
      <c r="AE29" s="109"/>
      <c r="AF29" s="35"/>
      <c r="AG29" s="21"/>
      <c r="AH29" s="110">
        <f t="shared" si="13"/>
        <v>0</v>
      </c>
      <c r="AI29" s="109">
        <f t="shared" si="14"/>
        <v>0</v>
      </c>
      <c r="AK29" s="26"/>
    </row>
    <row r="30" spans="1:66" ht="13.15" x14ac:dyDescent="0.4">
      <c r="B30" s="43" t="s">
        <v>50</v>
      </c>
      <c r="C30" s="44" t="s">
        <v>41</v>
      </c>
      <c r="D30" s="38"/>
      <c r="E30" s="45">
        <f>E35+E40+E45</f>
        <v>15853.229692753781</v>
      </c>
      <c r="F30" s="46">
        <f t="shared" ref="F30:H30" si="57">F35+F40+F45</f>
        <v>5050.7412298016579</v>
      </c>
      <c r="G30" s="46">
        <f t="shared" si="57"/>
        <v>25050.250476449764</v>
      </c>
      <c r="H30" s="46">
        <f t="shared" si="57"/>
        <v>5075.6411652600063</v>
      </c>
      <c r="I30" s="46">
        <f t="shared" ref="I30:J30" si="58">I35+I40+I45</f>
        <v>5083.0620954403448</v>
      </c>
      <c r="J30" s="46">
        <f t="shared" si="58"/>
        <v>5101.8234537398148</v>
      </c>
      <c r="K30" s="46">
        <f t="shared" ref="K30" si="59">K35+K40+K45</f>
        <v>5100</v>
      </c>
      <c r="L30" s="46">
        <f t="shared" ref="L30" si="60">L35+L40+L45</f>
        <v>10000.002722940775</v>
      </c>
      <c r="M30" s="46">
        <f t="shared" ref="M30:N30" si="61">M35+M40+M45</f>
        <v>37200</v>
      </c>
      <c r="N30" s="46">
        <f t="shared" si="61"/>
        <v>600.00272294077513</v>
      </c>
      <c r="O30" s="46">
        <f>O35+O40+O45</f>
        <v>11600</v>
      </c>
      <c r="P30" s="46">
        <f>P35+P40+P45</f>
        <v>290499.99909334158</v>
      </c>
      <c r="Q30" s="270">
        <f t="shared" ref="Q30:Q49" si="62">SUM(E30:P30)</f>
        <v>416214.75265266851</v>
      </c>
      <c r="R30" s="35"/>
      <c r="S30" s="45">
        <f>S35+S40+S45</f>
        <v>11600.002722940777</v>
      </c>
      <c r="T30" s="45">
        <f>T35+T40+T45</f>
        <v>11600.002722940779</v>
      </c>
      <c r="U30" s="45">
        <f>U35+U40+U45</f>
        <v>397349.99863884464</v>
      </c>
      <c r="V30" s="46">
        <f t="shared" ref="V30:AD30" si="63">V35+V40+V45</f>
        <v>0</v>
      </c>
      <c r="W30" s="46">
        <f t="shared" si="63"/>
        <v>0</v>
      </c>
      <c r="X30" s="46">
        <f t="shared" si="63"/>
        <v>0</v>
      </c>
      <c r="Y30" s="46">
        <f t="shared" si="63"/>
        <v>0</v>
      </c>
      <c r="Z30" s="46">
        <f t="shared" si="63"/>
        <v>0</v>
      </c>
      <c r="AA30" s="46">
        <f t="shared" si="63"/>
        <v>0</v>
      </c>
      <c r="AB30" s="46">
        <f t="shared" si="63"/>
        <v>0</v>
      </c>
      <c r="AC30" s="46">
        <f t="shared" si="63"/>
        <v>0</v>
      </c>
      <c r="AD30" s="46">
        <f t="shared" si="63"/>
        <v>0</v>
      </c>
      <c r="AE30" s="48">
        <f t="shared" ref="AE30:AE49" si="64">SUM(S30:AD30)</f>
        <v>420550.00408472621</v>
      </c>
      <c r="AF30" s="35"/>
      <c r="AG30" s="21"/>
      <c r="AH30" s="49">
        <f t="shared" si="13"/>
        <v>11600.002722940777</v>
      </c>
      <c r="AI30" s="48">
        <f t="shared" si="14"/>
        <v>11600.002722940777</v>
      </c>
      <c r="AK30" s="26"/>
    </row>
    <row r="31" spans="1:66" ht="15" customHeight="1" x14ac:dyDescent="0.4">
      <c r="A31" s="50"/>
      <c r="B31" s="61"/>
      <c r="C31" s="62" t="str">
        <f>IF($C$2="AV",C34,IF($C$2="Mgmt",C32,IF($C$2="Mgmt (Adj)",C33)))</f>
        <v>plan (AV)</v>
      </c>
      <c r="D31" s="53"/>
      <c r="E31" s="63">
        <f t="shared" ref="E31:H31" si="65">IF($C$2="AV",E34,IF($C$2="Mgmt",E32,IF($C$2="Mgmt (Adj)",E33)))</f>
        <v>0</v>
      </c>
      <c r="F31" s="40">
        <f t="shared" si="65"/>
        <v>0</v>
      </c>
      <c r="G31" s="40">
        <f t="shared" si="65"/>
        <v>0</v>
      </c>
      <c r="H31" s="40">
        <f t="shared" si="65"/>
        <v>0</v>
      </c>
      <c r="I31" s="40">
        <f t="shared" ref="I31:J31" si="66">IF($C$2="AV",I34,IF($C$2="Mgmt",I32,IF($C$2="Mgmt (Adj)",I33)))</f>
        <v>0</v>
      </c>
      <c r="J31" s="40">
        <f t="shared" si="66"/>
        <v>0</v>
      </c>
      <c r="K31" s="40">
        <f t="shared" ref="K31" si="67">IF($C$2="AV",K34,IF($C$2="Mgmt",K32,IF($C$2="Mgmt (Adj)",K33)))</f>
        <v>0</v>
      </c>
      <c r="L31" s="40">
        <f t="shared" ref="L31" si="68">IF($C$2="AV",L34,IF($C$2="Mgmt",L32,IF($C$2="Mgmt (Adj)",L33)))</f>
        <v>0</v>
      </c>
      <c r="M31" s="40">
        <f t="shared" ref="M31:N31" si="69">IF($C$2="AV",M34,IF($C$2="Mgmt",M32,IF($C$2="Mgmt (Adj)",M33)))</f>
        <v>0</v>
      </c>
      <c r="N31" s="40">
        <f t="shared" si="69"/>
        <v>0</v>
      </c>
      <c r="O31" s="40">
        <f>IF($C$2="AV",O34,IF($C$2="Mgmt",O32,IF($C$2="Mgmt (Adj)",O33)))</f>
        <v>0</v>
      </c>
      <c r="P31" s="40">
        <f>IF($C$2="AV",P34,IF($C$2="Mgmt",P32,IF($C$2="Mgmt (Adj)",P33)))</f>
        <v>0</v>
      </c>
      <c r="Q31" s="261">
        <f t="shared" si="62"/>
        <v>0</v>
      </c>
      <c r="R31" s="56"/>
      <c r="S31" s="63">
        <f>IF($C$2="AV",S34,IF($C$2="Mgmt",S32,IF($C$2="Mgmt (Adj)",S33)))</f>
        <v>0</v>
      </c>
      <c r="T31" s="63">
        <f>IF($C$2="AV",T34,IF($C$2="Mgmt",T32,IF($C$2="Mgmt (Adj)",T33)))</f>
        <v>0</v>
      </c>
      <c r="U31" s="63">
        <f>IF($C$2="AV",U34,IF($C$2="Mgmt",U32,IF($C$2="Mgmt (Adj)",U33)))</f>
        <v>0</v>
      </c>
      <c r="V31" s="40">
        <f t="shared" ref="V31:AD31" si="70">IF($C$2="AV",V34,IF($C$2="Mgmt",V32,IF($C$2="Mgmt (Adj)",V33)))</f>
        <v>0</v>
      </c>
      <c r="W31" s="40">
        <f t="shared" si="70"/>
        <v>0</v>
      </c>
      <c r="X31" s="40">
        <f t="shared" si="70"/>
        <v>0</v>
      </c>
      <c r="Y31" s="40">
        <f t="shared" si="70"/>
        <v>0</v>
      </c>
      <c r="Z31" s="40">
        <f t="shared" si="70"/>
        <v>0</v>
      </c>
      <c r="AA31" s="40">
        <f t="shared" si="70"/>
        <v>0</v>
      </c>
      <c r="AB31" s="40">
        <f t="shared" si="70"/>
        <v>0</v>
      </c>
      <c r="AC31" s="40">
        <f t="shared" si="70"/>
        <v>0</v>
      </c>
      <c r="AD31" s="40">
        <f t="shared" si="70"/>
        <v>0</v>
      </c>
      <c r="AE31" s="55">
        <f t="shared" si="64"/>
        <v>0</v>
      </c>
      <c r="AF31" s="56"/>
      <c r="AG31" s="58"/>
      <c r="AH31" s="59">
        <f t="shared" si="13"/>
        <v>0</v>
      </c>
      <c r="AI31" s="55">
        <f t="shared" si="14"/>
        <v>0</v>
      </c>
      <c r="AJ31" s="50"/>
      <c r="AK31" s="6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</row>
    <row r="32" spans="1:66" ht="15.75" hidden="1" customHeight="1" outlineLevel="1" x14ac:dyDescent="0.4">
      <c r="B32" s="111"/>
      <c r="C32" s="37" t="s">
        <v>44</v>
      </c>
      <c r="D32" s="38"/>
      <c r="E32" s="112">
        <f t="shared" ref="E32:H34" si="71">E37+E42+E47</f>
        <v>0</v>
      </c>
      <c r="F32" s="18">
        <f t="shared" si="71"/>
        <v>0</v>
      </c>
      <c r="G32" s="18">
        <f t="shared" si="71"/>
        <v>0</v>
      </c>
      <c r="H32" s="18">
        <f t="shared" si="71"/>
        <v>0</v>
      </c>
      <c r="I32" s="18">
        <f t="shared" ref="I32:J32" si="72">I37+I42+I47</f>
        <v>0</v>
      </c>
      <c r="J32" s="18">
        <f t="shared" si="72"/>
        <v>0</v>
      </c>
      <c r="K32" s="18">
        <f t="shared" ref="K32" si="73">K37+K42+K47</f>
        <v>0</v>
      </c>
      <c r="L32" s="18">
        <f t="shared" ref="L32" si="74">L37+L42+L47</f>
        <v>0</v>
      </c>
      <c r="M32" s="18">
        <f t="shared" ref="M32:N32" si="75">M37+M42+M47</f>
        <v>0</v>
      </c>
      <c r="N32" s="18">
        <f t="shared" si="75"/>
        <v>0</v>
      </c>
      <c r="O32" s="18">
        <f t="shared" ref="O32:P34" si="76">O37+O42+O47</f>
        <v>0</v>
      </c>
      <c r="P32" s="18">
        <f t="shared" si="76"/>
        <v>0</v>
      </c>
      <c r="Q32" s="271">
        <f t="shared" si="62"/>
        <v>0</v>
      </c>
      <c r="R32" s="35"/>
      <c r="S32" s="112">
        <f t="shared" ref="S32:T32" si="77">S37+S42+S47</f>
        <v>0</v>
      </c>
      <c r="T32" s="112">
        <f t="shared" si="77"/>
        <v>0</v>
      </c>
      <c r="U32" s="112">
        <f t="shared" ref="U32" si="78">U37+U42+U47</f>
        <v>0</v>
      </c>
      <c r="V32" s="18">
        <f t="shared" ref="V32:AD34" si="79">V37+V42+V47</f>
        <v>0</v>
      </c>
      <c r="W32" s="18">
        <f t="shared" si="79"/>
        <v>0</v>
      </c>
      <c r="X32" s="18">
        <f t="shared" si="79"/>
        <v>0</v>
      </c>
      <c r="Y32" s="18">
        <f t="shared" si="79"/>
        <v>0</v>
      </c>
      <c r="Z32" s="18">
        <f t="shared" si="79"/>
        <v>0</v>
      </c>
      <c r="AA32" s="18">
        <f t="shared" si="79"/>
        <v>0</v>
      </c>
      <c r="AB32" s="18">
        <f t="shared" si="79"/>
        <v>0</v>
      </c>
      <c r="AC32" s="18">
        <f t="shared" si="79"/>
        <v>0</v>
      </c>
      <c r="AD32" s="18">
        <f t="shared" si="79"/>
        <v>0</v>
      </c>
      <c r="AE32" s="42">
        <f t="shared" si="64"/>
        <v>0</v>
      </c>
      <c r="AF32" s="35"/>
      <c r="AG32" s="21"/>
      <c r="AH32" s="41">
        <f t="shared" si="13"/>
        <v>0</v>
      </c>
      <c r="AI32" s="42">
        <f t="shared" si="14"/>
        <v>0</v>
      </c>
      <c r="AK32" s="26"/>
    </row>
    <row r="33" spans="1:66" ht="15.75" hidden="1" customHeight="1" outlineLevel="1" x14ac:dyDescent="0.4">
      <c r="B33" s="111"/>
      <c r="C33" s="37" t="s">
        <v>45</v>
      </c>
      <c r="D33" s="38"/>
      <c r="E33" s="112">
        <f t="shared" si="71"/>
        <v>0</v>
      </c>
      <c r="F33" s="18">
        <f t="shared" si="71"/>
        <v>0</v>
      </c>
      <c r="G33" s="18">
        <f t="shared" si="71"/>
        <v>0</v>
      </c>
      <c r="H33" s="18">
        <f t="shared" si="71"/>
        <v>0</v>
      </c>
      <c r="I33" s="18">
        <f t="shared" ref="I33:J33" si="80">I38+I43+I48</f>
        <v>0</v>
      </c>
      <c r="J33" s="18">
        <f t="shared" si="80"/>
        <v>0</v>
      </c>
      <c r="K33" s="18">
        <f t="shared" ref="K33" si="81">K38+K43+K48</f>
        <v>0</v>
      </c>
      <c r="L33" s="18">
        <f t="shared" ref="L33" si="82">L38+L43+L48</f>
        <v>0</v>
      </c>
      <c r="M33" s="18">
        <f t="shared" ref="M33:N33" si="83">M38+M43+M48</f>
        <v>0</v>
      </c>
      <c r="N33" s="18">
        <f t="shared" si="83"/>
        <v>0</v>
      </c>
      <c r="O33" s="18">
        <f t="shared" si="76"/>
        <v>0</v>
      </c>
      <c r="P33" s="18">
        <f t="shared" si="76"/>
        <v>0</v>
      </c>
      <c r="Q33" s="271">
        <f t="shared" si="62"/>
        <v>0</v>
      </c>
      <c r="R33" s="35"/>
      <c r="S33" s="112">
        <f t="shared" ref="S33:T33" si="84">S38+S43+S48</f>
        <v>0</v>
      </c>
      <c r="T33" s="112">
        <f t="shared" si="84"/>
        <v>0</v>
      </c>
      <c r="U33" s="112">
        <f t="shared" ref="U33" si="85">U38+U43+U48</f>
        <v>0</v>
      </c>
      <c r="V33" s="18">
        <f t="shared" si="79"/>
        <v>0</v>
      </c>
      <c r="W33" s="18">
        <f t="shared" si="79"/>
        <v>0</v>
      </c>
      <c r="X33" s="18">
        <f t="shared" si="79"/>
        <v>0</v>
      </c>
      <c r="Y33" s="18">
        <f t="shared" si="79"/>
        <v>0</v>
      </c>
      <c r="Z33" s="18">
        <f t="shared" si="79"/>
        <v>0</v>
      </c>
      <c r="AA33" s="18">
        <f t="shared" si="79"/>
        <v>0</v>
      </c>
      <c r="AB33" s="18">
        <f t="shared" si="79"/>
        <v>0</v>
      </c>
      <c r="AC33" s="18">
        <f t="shared" si="79"/>
        <v>0</v>
      </c>
      <c r="AD33" s="18">
        <f t="shared" si="79"/>
        <v>0</v>
      </c>
      <c r="AE33" s="42">
        <f t="shared" si="64"/>
        <v>0</v>
      </c>
      <c r="AF33" s="35"/>
      <c r="AG33" s="21"/>
      <c r="AH33" s="41">
        <f t="shared" si="13"/>
        <v>0</v>
      </c>
      <c r="AI33" s="42">
        <f t="shared" si="14"/>
        <v>0</v>
      </c>
      <c r="AK33" s="26"/>
    </row>
    <row r="34" spans="1:66" ht="15.75" hidden="1" customHeight="1" outlineLevel="1" x14ac:dyDescent="0.4">
      <c r="B34" s="111"/>
      <c r="C34" s="37" t="s">
        <v>46</v>
      </c>
      <c r="D34" s="38"/>
      <c r="E34" s="112">
        <f t="shared" si="71"/>
        <v>0</v>
      </c>
      <c r="F34" s="18">
        <f t="shared" si="71"/>
        <v>0</v>
      </c>
      <c r="G34" s="18">
        <f t="shared" si="71"/>
        <v>0</v>
      </c>
      <c r="H34" s="18">
        <f t="shared" si="71"/>
        <v>0</v>
      </c>
      <c r="I34" s="18">
        <f t="shared" ref="I34:J34" si="86">I39+I44+I49</f>
        <v>0</v>
      </c>
      <c r="J34" s="18">
        <f t="shared" si="86"/>
        <v>0</v>
      </c>
      <c r="K34" s="18">
        <f t="shared" ref="K34" si="87">K39+K44+K49</f>
        <v>0</v>
      </c>
      <c r="L34" s="18">
        <f t="shared" ref="L34" si="88">L39+L44+L49</f>
        <v>0</v>
      </c>
      <c r="M34" s="18">
        <f t="shared" ref="M34:N34" si="89">M39+M44+M49</f>
        <v>0</v>
      </c>
      <c r="N34" s="18">
        <f t="shared" si="89"/>
        <v>0</v>
      </c>
      <c r="O34" s="18">
        <f t="shared" si="76"/>
        <v>0</v>
      </c>
      <c r="P34" s="18">
        <f t="shared" si="76"/>
        <v>0</v>
      </c>
      <c r="Q34" s="271">
        <f t="shared" si="62"/>
        <v>0</v>
      </c>
      <c r="R34" s="35"/>
      <c r="S34" s="112">
        <f t="shared" ref="S34:T34" si="90">S39+S44+S49</f>
        <v>0</v>
      </c>
      <c r="T34" s="112">
        <f t="shared" si="90"/>
        <v>0</v>
      </c>
      <c r="U34" s="112">
        <f t="shared" ref="U34" si="91">U39+U44+U49</f>
        <v>0</v>
      </c>
      <c r="V34" s="18">
        <f t="shared" si="79"/>
        <v>0</v>
      </c>
      <c r="W34" s="18">
        <f t="shared" si="79"/>
        <v>0</v>
      </c>
      <c r="X34" s="18">
        <f t="shared" si="79"/>
        <v>0</v>
      </c>
      <c r="Y34" s="18">
        <f t="shared" si="79"/>
        <v>0</v>
      </c>
      <c r="Z34" s="18">
        <f t="shared" si="79"/>
        <v>0</v>
      </c>
      <c r="AA34" s="18">
        <f t="shared" si="79"/>
        <v>0</v>
      </c>
      <c r="AB34" s="18">
        <f t="shared" si="79"/>
        <v>0</v>
      </c>
      <c r="AC34" s="18">
        <f t="shared" si="79"/>
        <v>0</v>
      </c>
      <c r="AD34" s="18">
        <f t="shared" si="79"/>
        <v>0</v>
      </c>
      <c r="AE34" s="42">
        <f t="shared" si="64"/>
        <v>0</v>
      </c>
      <c r="AF34" s="35"/>
      <c r="AG34" s="21"/>
      <c r="AH34" s="41">
        <f t="shared" si="13"/>
        <v>0</v>
      </c>
      <c r="AI34" s="42">
        <f t="shared" si="14"/>
        <v>0</v>
      </c>
      <c r="AK34" s="26"/>
    </row>
    <row r="35" spans="1:66" ht="13.15" collapsed="1" x14ac:dyDescent="0.4">
      <c r="B35" s="65" t="s">
        <v>51</v>
      </c>
      <c r="C35" s="66" t="s">
        <v>41</v>
      </c>
      <c r="D35" s="29"/>
      <c r="E35" s="92">
        <f>E14</f>
        <v>10800</v>
      </c>
      <c r="F35" s="92">
        <f t="shared" ref="F35:H35" si="92">F14</f>
        <v>0</v>
      </c>
      <c r="G35" s="92">
        <f t="shared" si="92"/>
        <v>0</v>
      </c>
      <c r="H35" s="92">
        <f t="shared" si="92"/>
        <v>0</v>
      </c>
      <c r="I35" s="92">
        <f t="shared" ref="I35:J35" si="93">I14</f>
        <v>0</v>
      </c>
      <c r="J35" s="92">
        <f t="shared" si="93"/>
        <v>0</v>
      </c>
      <c r="K35" s="92">
        <f t="shared" ref="K35" si="94">K14</f>
        <v>0</v>
      </c>
      <c r="L35" s="92">
        <f t="shared" ref="L35" si="95">L14</f>
        <v>0</v>
      </c>
      <c r="M35" s="92">
        <f t="shared" ref="M35:N35" si="96">M14</f>
        <v>0</v>
      </c>
      <c r="N35" s="92">
        <f t="shared" si="96"/>
        <v>17800.002722940775</v>
      </c>
      <c r="O35" s="92">
        <f>O14</f>
        <v>1600.0000000000002</v>
      </c>
      <c r="P35" s="92">
        <f>P14</f>
        <v>300500.00000000006</v>
      </c>
      <c r="Q35" s="266">
        <f t="shared" si="62"/>
        <v>330700.00272294082</v>
      </c>
      <c r="S35" s="92">
        <f>S14</f>
        <v>1600.0027229407763</v>
      </c>
      <c r="T35" s="92">
        <f>T14</f>
        <v>1600.002722940776</v>
      </c>
      <c r="U35" s="92">
        <f>U14</f>
        <v>387350.00136122946</v>
      </c>
      <c r="V35" s="92"/>
      <c r="W35" s="92"/>
      <c r="X35" s="92"/>
      <c r="Y35" s="92"/>
      <c r="Z35" s="92"/>
      <c r="AA35" s="92"/>
      <c r="AB35" s="92"/>
      <c r="AC35" s="92"/>
      <c r="AD35" s="92"/>
      <c r="AE35" s="69">
        <f t="shared" si="64"/>
        <v>390550.00680711103</v>
      </c>
      <c r="AG35" s="21"/>
      <c r="AH35" s="70">
        <f t="shared" si="13"/>
        <v>1600.0027229407763</v>
      </c>
      <c r="AI35" s="71">
        <f t="shared" si="14"/>
        <v>1600.0027229407763</v>
      </c>
      <c r="AK35" s="72"/>
    </row>
    <row r="36" spans="1:66" ht="15" customHeight="1" x14ac:dyDescent="0.4">
      <c r="A36" s="50"/>
      <c r="B36" s="73"/>
      <c r="C36" s="74" t="str">
        <f>IF($C$2="AV",C39,IF($C$2="Mgmt",C37,IF($C$2="Mgmt (Adj)",C38)))</f>
        <v>plan (AV)</v>
      </c>
      <c r="D36" s="75"/>
      <c r="E36" s="39">
        <f t="shared" ref="E36:H36" si="97">IF($C$2="AV",E39,IF($C$2="Mgmt",E37,IF($C$2="Mgmt (Adj)",E38)))</f>
        <v>0</v>
      </c>
      <c r="F36" s="40">
        <f t="shared" si="97"/>
        <v>0</v>
      </c>
      <c r="G36" s="40">
        <f t="shared" si="97"/>
        <v>0</v>
      </c>
      <c r="H36" s="40">
        <f t="shared" si="97"/>
        <v>0</v>
      </c>
      <c r="I36" s="40">
        <f t="shared" ref="I36:J36" si="98">IF($C$2="AV",I39,IF($C$2="Mgmt",I37,IF($C$2="Mgmt (Adj)",I38)))</f>
        <v>0</v>
      </c>
      <c r="J36" s="40">
        <f t="shared" si="98"/>
        <v>0</v>
      </c>
      <c r="K36" s="40">
        <f t="shared" ref="K36" si="99">IF($C$2="AV",K39,IF($C$2="Mgmt",K37,IF($C$2="Mgmt (Adj)",K38)))</f>
        <v>0</v>
      </c>
      <c r="L36" s="40">
        <f t="shared" ref="L36" si="100">IF($C$2="AV",L39,IF($C$2="Mgmt",L37,IF($C$2="Mgmt (Adj)",L38)))</f>
        <v>0</v>
      </c>
      <c r="M36" s="40">
        <f t="shared" ref="M36:N36" si="101">IF($C$2="AV",M39,IF($C$2="Mgmt",M37,IF($C$2="Mgmt (Adj)",M38)))</f>
        <v>0</v>
      </c>
      <c r="N36" s="40">
        <f t="shared" si="101"/>
        <v>0</v>
      </c>
      <c r="O36" s="40">
        <f>IF($C$2="AV",O39,IF($C$2="Mgmt",O37,IF($C$2="Mgmt (Adj)",O38)))</f>
        <v>0</v>
      </c>
      <c r="P36" s="40">
        <f>IF($C$2="AV",P39,IF($C$2="Mgmt",P37,IF($C$2="Mgmt (Adj)",P38)))</f>
        <v>0</v>
      </c>
      <c r="Q36" s="264">
        <f t="shared" si="62"/>
        <v>0</v>
      </c>
      <c r="R36" s="77"/>
      <c r="S36" s="39">
        <f>IF($C$2="AV",S39,IF($C$2="Mgmt",S37,IF($C$2="Mgmt (Adj)",S38)))</f>
        <v>0</v>
      </c>
      <c r="T36" s="39">
        <f>IF($C$2="AV",T39,IF($C$2="Mgmt",T37,IF($C$2="Mgmt (Adj)",T38)))</f>
        <v>0</v>
      </c>
      <c r="U36" s="39">
        <f>IF($C$2="AV",U39,IF($C$2="Mgmt",U37,IF($C$2="Mgmt (Adj)",U38)))</f>
        <v>0</v>
      </c>
      <c r="V36" s="40">
        <f t="shared" ref="V36:AD36" si="102">IF($C$2="AV",V39,IF($C$2="Mgmt",V37,IF($C$2="Mgmt (Adj)",V38)))</f>
        <v>0</v>
      </c>
      <c r="W36" s="40">
        <f t="shared" si="102"/>
        <v>0</v>
      </c>
      <c r="X36" s="40">
        <f t="shared" si="102"/>
        <v>0</v>
      </c>
      <c r="Y36" s="40">
        <f t="shared" si="102"/>
        <v>0</v>
      </c>
      <c r="Z36" s="40" t="s">
        <v>48</v>
      </c>
      <c r="AA36" s="40">
        <f t="shared" si="102"/>
        <v>0</v>
      </c>
      <c r="AB36" s="40">
        <f t="shared" si="102"/>
        <v>0</v>
      </c>
      <c r="AC36" s="40">
        <f t="shared" si="102"/>
        <v>0</v>
      </c>
      <c r="AD36" s="40">
        <f t="shared" si="102"/>
        <v>0</v>
      </c>
      <c r="AE36" s="76">
        <f t="shared" si="64"/>
        <v>0</v>
      </c>
      <c r="AF36" s="77"/>
      <c r="AG36" s="58"/>
      <c r="AH36" s="59">
        <f t="shared" si="13"/>
        <v>0</v>
      </c>
      <c r="AI36" s="55">
        <f t="shared" si="14"/>
        <v>0</v>
      </c>
      <c r="AJ36" s="50"/>
      <c r="AK36" s="78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</row>
    <row r="37" spans="1:66" ht="16.5" hidden="1" customHeight="1" outlineLevel="1" x14ac:dyDescent="0.4">
      <c r="A37" s="79"/>
      <c r="B37" s="80"/>
      <c r="C37" s="81" t="s">
        <v>44</v>
      </c>
      <c r="D37" s="82"/>
      <c r="E37" s="83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265">
        <f t="shared" si="62"/>
        <v>0</v>
      </c>
      <c r="R37" s="87"/>
      <c r="S37" s="83"/>
      <c r="T37" s="83"/>
      <c r="U37" s="83"/>
      <c r="V37" s="84"/>
      <c r="W37" s="84"/>
      <c r="X37" s="84"/>
      <c r="Y37" s="84"/>
      <c r="Z37" s="84"/>
      <c r="AA37" s="84"/>
      <c r="AB37" s="84"/>
      <c r="AC37" s="84"/>
      <c r="AD37" s="84"/>
      <c r="AE37" s="86">
        <f t="shared" si="64"/>
        <v>0</v>
      </c>
      <c r="AF37" s="87"/>
      <c r="AG37" s="88"/>
      <c r="AH37" s="89">
        <f t="shared" si="13"/>
        <v>0</v>
      </c>
      <c r="AI37" s="85">
        <f t="shared" si="14"/>
        <v>0</v>
      </c>
      <c r="AJ37" s="79"/>
      <c r="AK37" s="90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</row>
    <row r="38" spans="1:66" ht="16.5" hidden="1" customHeight="1" outlineLevel="1" x14ac:dyDescent="0.4">
      <c r="A38" s="79"/>
      <c r="B38" s="80"/>
      <c r="C38" s="81" t="s">
        <v>45</v>
      </c>
      <c r="D38" s="82"/>
      <c r="E38" s="83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265">
        <f t="shared" si="62"/>
        <v>0</v>
      </c>
      <c r="R38" s="87"/>
      <c r="S38" s="83"/>
      <c r="T38" s="83"/>
      <c r="U38" s="83"/>
      <c r="V38" s="84"/>
      <c r="W38" s="84"/>
      <c r="X38" s="84"/>
      <c r="Y38" s="84"/>
      <c r="Z38" s="84"/>
      <c r="AA38" s="84"/>
      <c r="AB38" s="84"/>
      <c r="AC38" s="84"/>
      <c r="AD38" s="84"/>
      <c r="AE38" s="86">
        <f t="shared" si="64"/>
        <v>0</v>
      </c>
      <c r="AF38" s="87"/>
      <c r="AG38" s="88"/>
      <c r="AH38" s="89">
        <f t="shared" si="13"/>
        <v>0</v>
      </c>
      <c r="AI38" s="85">
        <f t="shared" si="14"/>
        <v>0</v>
      </c>
      <c r="AJ38" s="79"/>
      <c r="AK38" s="90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</row>
    <row r="39" spans="1:66" ht="16.5" hidden="1" customHeight="1" outlineLevel="1" x14ac:dyDescent="0.4">
      <c r="A39" s="79"/>
      <c r="B39" s="80"/>
      <c r="C39" s="81" t="s">
        <v>46</v>
      </c>
      <c r="D39" s="82"/>
      <c r="E39" s="83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265">
        <f t="shared" si="62"/>
        <v>0</v>
      </c>
      <c r="R39" s="87"/>
      <c r="S39" s="83"/>
      <c r="T39" s="83"/>
      <c r="U39" s="83"/>
      <c r="V39" s="84"/>
      <c r="W39" s="84"/>
      <c r="X39" s="84"/>
      <c r="Y39" s="84"/>
      <c r="Z39" s="84"/>
      <c r="AA39" s="84"/>
      <c r="AB39" s="84"/>
      <c r="AC39" s="84"/>
      <c r="AD39" s="84"/>
      <c r="AE39" s="86">
        <f t="shared" si="64"/>
        <v>0</v>
      </c>
      <c r="AF39" s="87"/>
      <c r="AG39" s="88"/>
      <c r="AH39" s="89">
        <f t="shared" si="13"/>
        <v>0</v>
      </c>
      <c r="AI39" s="85">
        <f t="shared" si="14"/>
        <v>0</v>
      </c>
      <c r="AJ39" s="79"/>
      <c r="AK39" s="90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</row>
    <row r="40" spans="1:66" ht="15.75" customHeight="1" collapsed="1" x14ac:dyDescent="0.4">
      <c r="B40" s="65" t="s">
        <v>52</v>
      </c>
      <c r="C40" s="66" t="s">
        <v>41</v>
      </c>
      <c r="D40" s="29"/>
      <c r="E40" s="91">
        <f>E19</f>
        <v>5053.2296927537809</v>
      </c>
      <c r="F40" s="92">
        <f t="shared" ref="F40:H40" si="103">F19</f>
        <v>5050.7412298016579</v>
      </c>
      <c r="G40" s="92">
        <f t="shared" si="103"/>
        <v>25050.250476449764</v>
      </c>
      <c r="H40" s="92">
        <f t="shared" si="103"/>
        <v>5075.6411652600063</v>
      </c>
      <c r="I40" s="92">
        <f t="shared" ref="I40:J40" si="104">I19</f>
        <v>5083.0620954403448</v>
      </c>
      <c r="J40" s="92">
        <f t="shared" si="104"/>
        <v>5101.8234537398148</v>
      </c>
      <c r="K40" s="92">
        <f t="shared" ref="K40" si="105">K19</f>
        <v>5100</v>
      </c>
      <c r="L40" s="92">
        <f t="shared" ref="L40" si="106">L19</f>
        <v>10000.002722940775</v>
      </c>
      <c r="M40" s="92">
        <f t="shared" ref="M40:N40" si="107">M19</f>
        <v>37200</v>
      </c>
      <c r="N40" s="92">
        <f t="shared" si="107"/>
        <v>-17200</v>
      </c>
      <c r="O40" s="92">
        <f>O19</f>
        <v>10000</v>
      </c>
      <c r="P40" s="92">
        <f>P19</f>
        <v>-10000.000906658472</v>
      </c>
      <c r="Q40" s="266">
        <f t="shared" si="62"/>
        <v>85514.749929727666</v>
      </c>
      <c r="S40" s="91">
        <f>S19</f>
        <v>10000</v>
      </c>
      <c r="T40" s="91">
        <f>T19</f>
        <v>10000.000000000002</v>
      </c>
      <c r="U40" s="91">
        <f>U19</f>
        <v>9999.9972776151917</v>
      </c>
      <c r="V40" s="92"/>
      <c r="W40" s="92"/>
      <c r="X40" s="92"/>
      <c r="Y40" s="92"/>
      <c r="Z40" s="92"/>
      <c r="AA40" s="92"/>
      <c r="AB40" s="92"/>
      <c r="AC40" s="92"/>
      <c r="AD40" s="92"/>
      <c r="AE40" s="94">
        <f t="shared" si="64"/>
        <v>29999.997277615192</v>
      </c>
      <c r="AG40" s="21"/>
      <c r="AH40" s="95">
        <f t="shared" si="13"/>
        <v>10000</v>
      </c>
      <c r="AI40" s="96">
        <f t="shared" si="14"/>
        <v>10000</v>
      </c>
      <c r="AK40" s="26"/>
    </row>
    <row r="41" spans="1:66" ht="15" customHeight="1" x14ac:dyDescent="0.4">
      <c r="A41" s="50"/>
      <c r="B41" s="73"/>
      <c r="C41" s="74" t="str">
        <f>IF($C$2="AV",C44,IF($C$2="Mgmt",C42,IF($C$2="Mgmt (Adj)",C43)))</f>
        <v>plan (AV)</v>
      </c>
      <c r="D41" s="75"/>
      <c r="E41" s="39">
        <f t="shared" ref="E41:H41" si="108">IF($C$2="AV",E44,IF($C$2="Mgmt",E42,IF($C$2="Mgmt (Adj)",E43)))</f>
        <v>0</v>
      </c>
      <c r="F41" s="40">
        <f t="shared" si="108"/>
        <v>0</v>
      </c>
      <c r="G41" s="40">
        <f t="shared" si="108"/>
        <v>0</v>
      </c>
      <c r="H41" s="40">
        <f t="shared" si="108"/>
        <v>0</v>
      </c>
      <c r="I41" s="40">
        <f t="shared" ref="I41:J41" si="109">IF($C$2="AV",I44,IF($C$2="Mgmt",I42,IF($C$2="Mgmt (Adj)",I43)))</f>
        <v>0</v>
      </c>
      <c r="J41" s="40">
        <f t="shared" si="109"/>
        <v>0</v>
      </c>
      <c r="K41" s="40">
        <f t="shared" ref="K41" si="110">IF($C$2="AV",K44,IF($C$2="Mgmt",K42,IF($C$2="Mgmt (Adj)",K43)))</f>
        <v>0</v>
      </c>
      <c r="L41" s="40">
        <f t="shared" ref="L41" si="111">IF($C$2="AV",L44,IF($C$2="Mgmt",L42,IF($C$2="Mgmt (Adj)",L43)))</f>
        <v>0</v>
      </c>
      <c r="M41" s="40">
        <f t="shared" ref="M41:N41" si="112">IF($C$2="AV",M44,IF($C$2="Mgmt",M42,IF($C$2="Mgmt (Adj)",M43)))</f>
        <v>0</v>
      </c>
      <c r="N41" s="40">
        <f t="shared" si="112"/>
        <v>0</v>
      </c>
      <c r="O41" s="40">
        <f>IF($C$2="AV",O44,IF($C$2="Mgmt",O42,IF($C$2="Mgmt (Adj)",O43)))</f>
        <v>0</v>
      </c>
      <c r="P41" s="40">
        <f>IF($C$2="AV",P44,IF($C$2="Mgmt",P42,IF($C$2="Mgmt (Adj)",P43)))</f>
        <v>0</v>
      </c>
      <c r="Q41" s="264">
        <f t="shared" si="62"/>
        <v>0</v>
      </c>
      <c r="R41" s="77"/>
      <c r="S41" s="39">
        <f>IF($C$2="AV",S44,IF($C$2="Mgmt",S42,IF($C$2="Mgmt (Adj)",S43)))</f>
        <v>0</v>
      </c>
      <c r="T41" s="39">
        <f>IF($C$2="AV",T44,IF($C$2="Mgmt",T42,IF($C$2="Mgmt (Adj)",T43)))</f>
        <v>0</v>
      </c>
      <c r="U41" s="39">
        <f>IF($C$2="AV",U44,IF($C$2="Mgmt",U42,IF($C$2="Mgmt (Adj)",U43)))</f>
        <v>0</v>
      </c>
      <c r="V41" s="40">
        <f t="shared" ref="V41:AD41" si="113">IF($C$2="AV",V44,IF($C$2="Mgmt",V42,IF($C$2="Mgmt (Adj)",V43)))</f>
        <v>0</v>
      </c>
      <c r="W41" s="40">
        <f t="shared" si="113"/>
        <v>0</v>
      </c>
      <c r="X41" s="40">
        <f t="shared" si="113"/>
        <v>0</v>
      </c>
      <c r="Y41" s="40">
        <f t="shared" si="113"/>
        <v>0</v>
      </c>
      <c r="Z41" s="40">
        <f t="shared" si="113"/>
        <v>0</v>
      </c>
      <c r="AA41" s="40">
        <f t="shared" si="113"/>
        <v>0</v>
      </c>
      <c r="AB41" s="40">
        <f t="shared" si="113"/>
        <v>0</v>
      </c>
      <c r="AC41" s="40">
        <f t="shared" si="113"/>
        <v>0</v>
      </c>
      <c r="AD41" s="40">
        <f t="shared" si="113"/>
        <v>0</v>
      </c>
      <c r="AE41" s="76">
        <f t="shared" si="64"/>
        <v>0</v>
      </c>
      <c r="AF41" s="77"/>
      <c r="AG41" s="58"/>
      <c r="AH41" s="59">
        <f t="shared" si="13"/>
        <v>0</v>
      </c>
      <c r="AI41" s="55">
        <f t="shared" si="14"/>
        <v>0</v>
      </c>
      <c r="AJ41" s="50"/>
      <c r="AK41" s="78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</row>
    <row r="42" spans="1:66" ht="16.5" hidden="1" customHeight="1" outlineLevel="1" x14ac:dyDescent="0.4">
      <c r="A42" s="79"/>
      <c r="B42" s="80"/>
      <c r="C42" s="81" t="s">
        <v>44</v>
      </c>
      <c r="D42" s="82"/>
      <c r="E42" s="83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265">
        <f t="shared" si="62"/>
        <v>0</v>
      </c>
      <c r="R42" s="87"/>
      <c r="S42" s="83"/>
      <c r="T42" s="83"/>
      <c r="U42" s="83"/>
      <c r="V42" s="84"/>
      <c r="W42" s="84"/>
      <c r="X42" s="84"/>
      <c r="Y42" s="84"/>
      <c r="Z42" s="84"/>
      <c r="AA42" s="84"/>
      <c r="AB42" s="84"/>
      <c r="AC42" s="84"/>
      <c r="AD42" s="84"/>
      <c r="AE42" s="86">
        <f t="shared" si="64"/>
        <v>0</v>
      </c>
      <c r="AF42" s="87"/>
      <c r="AG42" s="88"/>
      <c r="AH42" s="89">
        <f t="shared" si="13"/>
        <v>0</v>
      </c>
      <c r="AI42" s="85">
        <f t="shared" si="14"/>
        <v>0</v>
      </c>
      <c r="AJ42" s="79"/>
      <c r="AK42" s="97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</row>
    <row r="43" spans="1:66" ht="16.5" hidden="1" customHeight="1" outlineLevel="1" x14ac:dyDescent="0.4">
      <c r="A43" s="79"/>
      <c r="B43" s="80"/>
      <c r="C43" s="81" t="s">
        <v>45</v>
      </c>
      <c r="D43" s="82"/>
      <c r="E43" s="83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265">
        <f t="shared" si="62"/>
        <v>0</v>
      </c>
      <c r="R43" s="87"/>
      <c r="S43" s="83"/>
      <c r="T43" s="83"/>
      <c r="U43" s="83"/>
      <c r="V43" s="84"/>
      <c r="W43" s="84"/>
      <c r="X43" s="84"/>
      <c r="Y43" s="84"/>
      <c r="Z43" s="84"/>
      <c r="AA43" s="84"/>
      <c r="AB43" s="84"/>
      <c r="AC43" s="84"/>
      <c r="AD43" s="84"/>
      <c r="AE43" s="86">
        <f t="shared" si="64"/>
        <v>0</v>
      </c>
      <c r="AF43" s="87"/>
      <c r="AG43" s="88"/>
      <c r="AH43" s="89">
        <f t="shared" si="13"/>
        <v>0</v>
      </c>
      <c r="AI43" s="85">
        <f t="shared" si="14"/>
        <v>0</v>
      </c>
      <c r="AJ43" s="79"/>
      <c r="AK43" s="97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</row>
    <row r="44" spans="1:66" ht="16.5" hidden="1" customHeight="1" outlineLevel="1" x14ac:dyDescent="0.4">
      <c r="A44" s="79"/>
      <c r="B44" s="80"/>
      <c r="C44" s="81" t="s">
        <v>46</v>
      </c>
      <c r="D44" s="82"/>
      <c r="E44" s="83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265">
        <f t="shared" si="62"/>
        <v>0</v>
      </c>
      <c r="R44" s="87"/>
      <c r="S44" s="83"/>
      <c r="T44" s="83"/>
      <c r="U44" s="83"/>
      <c r="V44" s="84"/>
      <c r="W44" s="84"/>
      <c r="X44" s="84"/>
      <c r="Y44" s="84"/>
      <c r="Z44" s="84"/>
      <c r="AA44" s="84"/>
      <c r="AB44" s="84"/>
      <c r="AC44" s="84"/>
      <c r="AD44" s="84"/>
      <c r="AE44" s="86">
        <f t="shared" si="64"/>
        <v>0</v>
      </c>
      <c r="AF44" s="87"/>
      <c r="AG44" s="88"/>
      <c r="AH44" s="89">
        <f t="shared" si="13"/>
        <v>0</v>
      </c>
      <c r="AI44" s="85">
        <f t="shared" si="14"/>
        <v>0</v>
      </c>
      <c r="AJ44" s="79"/>
      <c r="AK44" s="97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</row>
    <row r="45" spans="1:66" ht="15.75" customHeight="1" collapsed="1" x14ac:dyDescent="0.4">
      <c r="B45" s="65" t="s">
        <v>53</v>
      </c>
      <c r="C45" s="66" t="s">
        <v>41</v>
      </c>
      <c r="D45" s="29"/>
      <c r="E45" s="91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266">
        <f t="shared" si="62"/>
        <v>0</v>
      </c>
      <c r="S45" s="91"/>
      <c r="T45" s="91"/>
      <c r="U45" s="91"/>
      <c r="V45" s="92"/>
      <c r="W45" s="92"/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92"/>
      <c r="AD45" s="92">
        <v>0</v>
      </c>
      <c r="AE45" s="94">
        <f t="shared" si="64"/>
        <v>0</v>
      </c>
      <c r="AG45" s="21"/>
      <c r="AH45" s="95">
        <f t="shared" si="13"/>
        <v>0</v>
      </c>
      <c r="AI45" s="96">
        <f t="shared" si="14"/>
        <v>0</v>
      </c>
      <c r="AK45" s="26"/>
    </row>
    <row r="46" spans="1:66" ht="15" customHeight="1" x14ac:dyDescent="0.4">
      <c r="A46" s="50"/>
      <c r="B46" s="73"/>
      <c r="C46" s="74" t="str">
        <f>IF($C$2="AV",C49,IF($C$2="Mgmt",C47,IF($C$2="Mgmt (Adj)",C48)))</f>
        <v>plan (AV)</v>
      </c>
      <c r="D46" s="75"/>
      <c r="E46" s="99">
        <f t="shared" ref="E46:H46" si="114">IF($C$2="AV",E49,IF($C$2="Mgmt",E47,IF($C$2="Mgmt (Adj)",E48)))</f>
        <v>0</v>
      </c>
      <c r="F46" s="100">
        <f t="shared" si="114"/>
        <v>0</v>
      </c>
      <c r="G46" s="100">
        <f t="shared" si="114"/>
        <v>0</v>
      </c>
      <c r="H46" s="100">
        <f t="shared" si="114"/>
        <v>0</v>
      </c>
      <c r="I46" s="100">
        <f t="shared" ref="I46:J46" si="115">IF($C$2="AV",I49,IF($C$2="Mgmt",I47,IF($C$2="Mgmt (Adj)",I48)))</f>
        <v>0</v>
      </c>
      <c r="J46" s="100">
        <f t="shared" si="115"/>
        <v>0</v>
      </c>
      <c r="K46" s="100">
        <f t="shared" ref="K46" si="116">IF($C$2="AV",K49,IF($C$2="Mgmt",K47,IF($C$2="Mgmt (Adj)",K48)))</f>
        <v>0</v>
      </c>
      <c r="L46" s="100">
        <f t="shared" ref="L46" si="117">IF($C$2="AV",L49,IF($C$2="Mgmt",L47,IF($C$2="Mgmt (Adj)",L48)))</f>
        <v>0</v>
      </c>
      <c r="M46" s="100">
        <f t="shared" ref="M46:N46" si="118">IF($C$2="AV",M49,IF($C$2="Mgmt",M47,IF($C$2="Mgmt (Adj)",M48)))</f>
        <v>0</v>
      </c>
      <c r="N46" s="100">
        <f t="shared" si="118"/>
        <v>0</v>
      </c>
      <c r="O46" s="100">
        <f>IF($C$2="AV",O49,IF($C$2="Mgmt",O47,IF($C$2="Mgmt (Adj)",O48)))</f>
        <v>0</v>
      </c>
      <c r="P46" s="100">
        <f>IF($C$2="AV",P49,IF($C$2="Mgmt",P47,IF($C$2="Mgmt (Adj)",P48)))</f>
        <v>0</v>
      </c>
      <c r="Q46" s="267">
        <f t="shared" si="62"/>
        <v>0</v>
      </c>
      <c r="R46" s="77"/>
      <c r="S46" s="99">
        <f>IF($C$2="AV",S49,IF($C$2="Mgmt",S47,IF($C$2="Mgmt (Adj)",S48)))</f>
        <v>0</v>
      </c>
      <c r="T46" s="99">
        <f>IF($C$2="AV",T49,IF($C$2="Mgmt",T47,IF($C$2="Mgmt (Adj)",T48)))</f>
        <v>0</v>
      </c>
      <c r="U46" s="99">
        <f>IF($C$2="AV",U49,IF($C$2="Mgmt",U47,IF($C$2="Mgmt (Adj)",U48)))</f>
        <v>0</v>
      </c>
      <c r="V46" s="100">
        <f t="shared" ref="V46:AD46" si="119">IF($C$2="AV",V49,IF($C$2="Mgmt",V47,IF($C$2="Mgmt (Adj)",V48)))</f>
        <v>0</v>
      </c>
      <c r="W46" s="100">
        <f t="shared" si="119"/>
        <v>0</v>
      </c>
      <c r="X46" s="100">
        <f t="shared" si="119"/>
        <v>0</v>
      </c>
      <c r="Y46" s="100">
        <f t="shared" si="119"/>
        <v>0</v>
      </c>
      <c r="Z46" s="100">
        <f t="shared" si="119"/>
        <v>0</v>
      </c>
      <c r="AA46" s="100">
        <f t="shared" si="119"/>
        <v>0</v>
      </c>
      <c r="AB46" s="100">
        <f t="shared" si="119"/>
        <v>0</v>
      </c>
      <c r="AC46" s="100">
        <f t="shared" si="119"/>
        <v>0</v>
      </c>
      <c r="AD46" s="100">
        <f t="shared" si="119"/>
        <v>0</v>
      </c>
      <c r="AE46" s="101">
        <f t="shared" si="64"/>
        <v>0</v>
      </c>
      <c r="AF46" s="77"/>
      <c r="AG46" s="58"/>
      <c r="AH46" s="59">
        <f t="shared" si="13"/>
        <v>0</v>
      </c>
      <c r="AI46" s="55">
        <f t="shared" si="14"/>
        <v>0</v>
      </c>
      <c r="AJ46" s="50"/>
      <c r="AK46" s="78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</row>
    <row r="47" spans="1:66" ht="16.5" hidden="1" customHeight="1" outlineLevel="1" x14ac:dyDescent="0.4">
      <c r="A47" s="79"/>
      <c r="B47" s="80"/>
      <c r="C47" s="81" t="s">
        <v>44</v>
      </c>
      <c r="D47" s="102"/>
      <c r="E47" s="103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5"/>
      <c r="Q47" s="268">
        <f t="shared" si="62"/>
        <v>0</v>
      </c>
      <c r="R47" s="104"/>
      <c r="S47" s="103"/>
      <c r="T47" s="103"/>
      <c r="U47" s="103"/>
      <c r="V47" s="84"/>
      <c r="W47" s="84"/>
      <c r="X47" s="84"/>
      <c r="Y47" s="84"/>
      <c r="Z47" s="84"/>
      <c r="AA47" s="84"/>
      <c r="AB47" s="84"/>
      <c r="AC47" s="84"/>
      <c r="AD47" s="85"/>
      <c r="AE47" s="85">
        <f t="shared" si="64"/>
        <v>0</v>
      </c>
      <c r="AF47" s="104"/>
      <c r="AG47" s="88"/>
      <c r="AH47" s="89">
        <f t="shared" si="13"/>
        <v>0</v>
      </c>
      <c r="AI47" s="85">
        <f t="shared" si="14"/>
        <v>0</v>
      </c>
      <c r="AJ47" s="79"/>
      <c r="AK47" s="97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</row>
    <row r="48" spans="1:66" ht="16.5" hidden="1" customHeight="1" outlineLevel="1" x14ac:dyDescent="0.4">
      <c r="A48" s="79"/>
      <c r="B48" s="80"/>
      <c r="C48" s="81" t="s">
        <v>45</v>
      </c>
      <c r="D48" s="102"/>
      <c r="E48" s="103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5"/>
      <c r="Q48" s="268">
        <f t="shared" si="62"/>
        <v>0</v>
      </c>
      <c r="R48" s="104"/>
      <c r="S48" s="103"/>
      <c r="T48" s="103"/>
      <c r="U48" s="103"/>
      <c r="V48" s="84"/>
      <c r="W48" s="84"/>
      <c r="X48" s="84"/>
      <c r="Y48" s="84"/>
      <c r="Z48" s="84"/>
      <c r="AA48" s="84"/>
      <c r="AB48" s="84"/>
      <c r="AC48" s="84"/>
      <c r="AD48" s="85"/>
      <c r="AE48" s="85">
        <f t="shared" si="64"/>
        <v>0</v>
      </c>
      <c r="AF48" s="104"/>
      <c r="AG48" s="88"/>
      <c r="AH48" s="89">
        <f t="shared" si="13"/>
        <v>0</v>
      </c>
      <c r="AI48" s="85">
        <f t="shared" si="14"/>
        <v>0</v>
      </c>
      <c r="AJ48" s="79"/>
      <c r="AK48" s="97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</row>
    <row r="49" spans="1:66" ht="16.5" hidden="1" customHeight="1" outlineLevel="1" x14ac:dyDescent="0.4">
      <c r="A49" s="79"/>
      <c r="B49" s="80"/>
      <c r="C49" s="81" t="s">
        <v>46</v>
      </c>
      <c r="D49" s="102"/>
      <c r="E49" s="103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5"/>
      <c r="Q49" s="268">
        <f t="shared" si="62"/>
        <v>0</v>
      </c>
      <c r="R49" s="104"/>
      <c r="S49" s="103"/>
      <c r="T49" s="103"/>
      <c r="U49" s="103"/>
      <c r="V49" s="84"/>
      <c r="W49" s="84"/>
      <c r="X49" s="84"/>
      <c r="Y49" s="84"/>
      <c r="Z49" s="84"/>
      <c r="AA49" s="84"/>
      <c r="AB49" s="84"/>
      <c r="AC49" s="84"/>
      <c r="AD49" s="85"/>
      <c r="AE49" s="85">
        <f t="shared" si="64"/>
        <v>0</v>
      </c>
      <c r="AF49" s="104"/>
      <c r="AG49" s="88"/>
      <c r="AH49" s="89">
        <f t="shared" si="13"/>
        <v>0</v>
      </c>
      <c r="AI49" s="85">
        <f t="shared" si="14"/>
        <v>0</v>
      </c>
      <c r="AJ49" s="79"/>
      <c r="AK49" s="97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</row>
    <row r="50" spans="1:66" ht="15" customHeight="1" collapsed="1" x14ac:dyDescent="0.4">
      <c r="B50" s="114"/>
      <c r="C50" s="115"/>
      <c r="D50" s="38"/>
      <c r="E50" s="116">
        <f>E51+'[2]Detailed FS_$ Cons. (formating)'!BR21</f>
        <v>0</v>
      </c>
      <c r="F50" s="116">
        <f>F51+'[2]Detailed FS_$ Cons. (formating)'!BS21</f>
        <v>0</v>
      </c>
      <c r="G50" s="116">
        <f>G51+'[2]Detailed FS_$ Cons. (formating)'!BT21</f>
        <v>0</v>
      </c>
      <c r="H50" s="116">
        <f>H51+'[2]Detailed FS_$ Cons. (formating)'!BU21</f>
        <v>0</v>
      </c>
      <c r="I50" s="116">
        <f>I51+'[2]Detailed FS_$ Cons. (formating)'!BV21</f>
        <v>0</v>
      </c>
      <c r="J50" s="116">
        <f>J51+'[2]Detailed FS_$ Cons. (formating)'!BW21</f>
        <v>0</v>
      </c>
      <c r="K50" s="116">
        <f>K51+'[2]Detailed FS_$ Cons. (formating)'!BX21</f>
        <v>0</v>
      </c>
      <c r="L50" s="116">
        <f>L51+'[2]Detailed FS_$ Cons. (formating)'!BY21</f>
        <v>0</v>
      </c>
      <c r="M50" s="116">
        <f>M51+'[2]Detailed FS_$ Cons. (formating)'!BZ21</f>
        <v>0</v>
      </c>
      <c r="N50" s="116">
        <f>N51+'[2]Detailed FS_$ Cons. (formating)'!CA21</f>
        <v>0</v>
      </c>
      <c r="O50" s="116">
        <f>O51+'[2]Detailed FS_$ Cons. (formating)'!CB21</f>
        <v>0</v>
      </c>
      <c r="P50" s="117"/>
      <c r="Q50" s="272"/>
      <c r="R50" s="35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7"/>
      <c r="AE50" s="118"/>
      <c r="AF50" s="35"/>
      <c r="AG50" s="21"/>
      <c r="AH50" s="119">
        <f t="shared" si="13"/>
        <v>0</v>
      </c>
      <c r="AI50" s="118">
        <f t="shared" si="14"/>
        <v>0</v>
      </c>
      <c r="AK50" s="26"/>
    </row>
    <row r="51" spans="1:66" ht="15.75" customHeight="1" x14ac:dyDescent="0.4">
      <c r="B51" s="43" t="s">
        <v>54</v>
      </c>
      <c r="C51" s="44" t="s">
        <v>41</v>
      </c>
      <c r="D51" s="38"/>
      <c r="E51" s="45">
        <f>E56+E61+E66+E76+E71</f>
        <v>-9999.8638714946901</v>
      </c>
      <c r="F51" s="46">
        <f t="shared" ref="F51:H51" si="120">F56+F61+F66+F76+F71</f>
        <v>-9999.8638714946901</v>
      </c>
      <c r="G51" s="46">
        <f t="shared" si="120"/>
        <v>-10000</v>
      </c>
      <c r="H51" s="46">
        <f t="shared" si="120"/>
        <v>-10000</v>
      </c>
      <c r="I51" s="46">
        <f t="shared" ref="I51:J51" si="121">I56+I61+I66+I76+I71</f>
        <v>40000</v>
      </c>
      <c r="J51" s="46">
        <f t="shared" si="121"/>
        <v>0</v>
      </c>
      <c r="K51" s="46">
        <f t="shared" ref="K51" si="122">K56+K61+K66+K76+K71</f>
        <v>0</v>
      </c>
      <c r="L51" s="46">
        <f t="shared" ref="L51" si="123">L56+L61+L66+L76+L71</f>
        <v>0</v>
      </c>
      <c r="M51" s="46">
        <f t="shared" ref="M51:N51" si="124">M56+M61+M66+M76+M71</f>
        <v>0</v>
      </c>
      <c r="N51" s="46">
        <f t="shared" si="124"/>
        <v>-9936.1448407296502</v>
      </c>
      <c r="O51" s="46">
        <f>O56+O61+O66+O76+O71</f>
        <v>-3199.5643887830111</v>
      </c>
      <c r="P51" s="46">
        <f>P56+P61+P66+P76+P71</f>
        <v>-3580.5118431799619</v>
      </c>
      <c r="Q51" s="270">
        <f t="shared" ref="Q51:Q61" si="125">SUM(E51:P51)</f>
        <v>-16715.948815682001</v>
      </c>
      <c r="R51" s="35"/>
      <c r="S51" s="45">
        <f>S56+S61+S66+S76+S71</f>
        <v>-2187.2011979308468</v>
      </c>
      <c r="T51" s="45">
        <f>T56+T61+T66+T76+T71</f>
        <v>-2187.2011979308468</v>
      </c>
      <c r="U51" s="45">
        <f>U56+U61+U66+U76+U71</f>
        <v>-2187.2011979308468</v>
      </c>
      <c r="V51" s="46">
        <f t="shared" ref="V51:AD51" si="126">V56+V61+V66+V76+V71</f>
        <v>0</v>
      </c>
      <c r="W51" s="46">
        <f t="shared" si="126"/>
        <v>0</v>
      </c>
      <c r="X51" s="46">
        <f t="shared" si="126"/>
        <v>0</v>
      </c>
      <c r="Y51" s="46">
        <f t="shared" si="126"/>
        <v>0</v>
      </c>
      <c r="Z51" s="46">
        <f t="shared" si="126"/>
        <v>0</v>
      </c>
      <c r="AA51" s="46">
        <f t="shared" si="126"/>
        <v>0</v>
      </c>
      <c r="AB51" s="46">
        <f t="shared" si="126"/>
        <v>0</v>
      </c>
      <c r="AC51" s="46">
        <f t="shared" si="126"/>
        <v>0</v>
      </c>
      <c r="AD51" s="46">
        <f t="shared" si="126"/>
        <v>0</v>
      </c>
      <c r="AE51" s="48">
        <f t="shared" ref="AE51:AE80" si="127">SUM(S51:AD51)</f>
        <v>-6561.6035937925408</v>
      </c>
      <c r="AF51" s="35"/>
      <c r="AG51" s="21"/>
      <c r="AH51" s="49">
        <f t="shared" si="13"/>
        <v>-2187.2011979308468</v>
      </c>
      <c r="AI51" s="48">
        <f t="shared" si="14"/>
        <v>-2187.2011979308468</v>
      </c>
      <c r="AK51" s="26"/>
    </row>
    <row r="52" spans="1:66" ht="15" customHeight="1" x14ac:dyDescent="0.4">
      <c r="B52" s="111"/>
      <c r="C52" s="37" t="str">
        <f>IF($C$2="AV",C55,IF($C$2="Mgmt",C53,IF($C$2="Mgmt (Adj)",C54)))</f>
        <v>plan (AV)</v>
      </c>
      <c r="D52" s="38"/>
      <c r="E52" s="112">
        <f t="shared" ref="E52:H52" si="128">IF($C$2="AV",E55,IF($C$2="Mgmt",E53,IF($C$2="Mgmt (Adj)",E54)))</f>
        <v>0</v>
      </c>
      <c r="F52" s="18">
        <f t="shared" si="128"/>
        <v>0</v>
      </c>
      <c r="G52" s="18">
        <f t="shared" si="128"/>
        <v>0</v>
      </c>
      <c r="H52" s="18">
        <f t="shared" si="128"/>
        <v>0</v>
      </c>
      <c r="I52" s="18">
        <f t="shared" ref="I52:J52" si="129">IF($C$2="AV",I55,IF($C$2="Mgmt",I53,IF($C$2="Mgmt (Adj)",I54)))</f>
        <v>0</v>
      </c>
      <c r="J52" s="18">
        <f t="shared" si="129"/>
        <v>0</v>
      </c>
      <c r="K52" s="18">
        <f t="shared" ref="K52" si="130">IF($C$2="AV",K55,IF($C$2="Mgmt",K53,IF($C$2="Mgmt (Adj)",K54)))</f>
        <v>0</v>
      </c>
      <c r="L52" s="18">
        <f t="shared" ref="L52" si="131">IF($C$2="AV",L55,IF($C$2="Mgmt",L53,IF($C$2="Mgmt (Adj)",L54)))</f>
        <v>0</v>
      </c>
      <c r="M52" s="18">
        <f t="shared" ref="M52:N52" si="132">IF($C$2="AV",M55,IF($C$2="Mgmt",M53,IF($C$2="Mgmt (Adj)",M54)))</f>
        <v>0</v>
      </c>
      <c r="N52" s="18">
        <f t="shared" si="132"/>
        <v>0</v>
      </c>
      <c r="O52" s="18">
        <f>IF($C$2="AV",O55,IF($C$2="Mgmt",O53,IF($C$2="Mgmt (Adj)",O54)))</f>
        <v>0</v>
      </c>
      <c r="P52" s="18">
        <f>IF($C$2="AV",P55,IF($C$2="Mgmt",P53,IF($C$2="Mgmt (Adj)",P54)))</f>
        <v>0</v>
      </c>
      <c r="Q52" s="271">
        <f t="shared" si="125"/>
        <v>0</v>
      </c>
      <c r="R52" s="35"/>
      <c r="S52" s="112">
        <f>IF($C$2="AV",S55,IF($C$2="Mgmt",S53,IF($C$2="Mgmt (Adj)",S54)))</f>
        <v>0</v>
      </c>
      <c r="T52" s="112">
        <f>IF($C$2="AV",T55,IF($C$2="Mgmt",T53,IF($C$2="Mgmt (Adj)",T54)))</f>
        <v>0</v>
      </c>
      <c r="U52" s="112">
        <f>IF($C$2="AV",U55,IF($C$2="Mgmt",U53,IF($C$2="Mgmt (Adj)",U54)))</f>
        <v>0</v>
      </c>
      <c r="V52" s="18">
        <f t="shared" ref="V52:AD52" si="133">IF($C$2="AV",V55,IF($C$2="Mgmt",V53,IF($C$2="Mgmt (Adj)",V54)))</f>
        <v>0</v>
      </c>
      <c r="W52" s="18">
        <f t="shared" si="133"/>
        <v>0</v>
      </c>
      <c r="X52" s="18">
        <f t="shared" si="133"/>
        <v>0</v>
      </c>
      <c r="Y52" s="18">
        <f t="shared" si="133"/>
        <v>0</v>
      </c>
      <c r="Z52" s="18">
        <f t="shared" si="133"/>
        <v>0</v>
      </c>
      <c r="AA52" s="18">
        <f t="shared" si="133"/>
        <v>0</v>
      </c>
      <c r="AB52" s="18">
        <f t="shared" si="133"/>
        <v>0</v>
      </c>
      <c r="AC52" s="18">
        <f t="shared" si="133"/>
        <v>0</v>
      </c>
      <c r="AD52" s="18">
        <f t="shared" si="133"/>
        <v>0</v>
      </c>
      <c r="AE52" s="121">
        <f t="shared" si="127"/>
        <v>0</v>
      </c>
      <c r="AF52" s="35"/>
      <c r="AG52" s="21"/>
      <c r="AH52" s="122">
        <f t="shared" si="13"/>
        <v>0</v>
      </c>
      <c r="AI52" s="121">
        <f t="shared" si="14"/>
        <v>0</v>
      </c>
      <c r="AK52" s="26"/>
    </row>
    <row r="53" spans="1:66" ht="15.75" hidden="1" customHeight="1" outlineLevel="1" x14ac:dyDescent="0.4">
      <c r="A53" s="50"/>
      <c r="B53" s="123"/>
      <c r="C53" s="124" t="s">
        <v>44</v>
      </c>
      <c r="D53" s="53"/>
      <c r="E53" s="63">
        <f t="shared" ref="E53:H55" si="134">E58+E63+E68+E78+E73</f>
        <v>0</v>
      </c>
      <c r="F53" s="40">
        <f t="shared" si="134"/>
        <v>0</v>
      </c>
      <c r="G53" s="40">
        <f t="shared" si="134"/>
        <v>0</v>
      </c>
      <c r="H53" s="40">
        <f t="shared" si="134"/>
        <v>0</v>
      </c>
      <c r="I53" s="40">
        <f t="shared" ref="I53:J53" si="135">I58+I63+I68+I78+I73</f>
        <v>0</v>
      </c>
      <c r="J53" s="40">
        <f t="shared" si="135"/>
        <v>0</v>
      </c>
      <c r="K53" s="40">
        <f t="shared" ref="K53" si="136">K58+K63+K68+K78+K73</f>
        <v>0</v>
      </c>
      <c r="L53" s="40">
        <f t="shared" ref="L53" si="137">L58+L63+L68+L78+L73</f>
        <v>0</v>
      </c>
      <c r="M53" s="40">
        <f t="shared" ref="M53:N53" si="138">M58+M63+M68+M78+M73</f>
        <v>0</v>
      </c>
      <c r="N53" s="40">
        <f t="shared" si="138"/>
        <v>0</v>
      </c>
      <c r="O53" s="40">
        <f t="shared" ref="O53:P55" si="139">O58+O63+O68+O78+O73</f>
        <v>0</v>
      </c>
      <c r="P53" s="40">
        <f t="shared" si="139"/>
        <v>0</v>
      </c>
      <c r="Q53" s="261">
        <f t="shared" si="125"/>
        <v>0</v>
      </c>
      <c r="R53" s="56"/>
      <c r="S53" s="63">
        <f t="shared" ref="S53:T53" si="140">S58+S63+S68+S78+S73</f>
        <v>0</v>
      </c>
      <c r="T53" s="63">
        <f t="shared" si="140"/>
        <v>0</v>
      </c>
      <c r="U53" s="63">
        <f t="shared" ref="U53" si="141">U58+U63+U68+U78+U73</f>
        <v>0</v>
      </c>
      <c r="V53" s="40">
        <f t="shared" ref="V53:AD55" si="142">V58+V63+V68+V78+V73</f>
        <v>0</v>
      </c>
      <c r="W53" s="40">
        <f t="shared" si="142"/>
        <v>0</v>
      </c>
      <c r="X53" s="40">
        <f t="shared" si="142"/>
        <v>0</v>
      </c>
      <c r="Y53" s="40">
        <f t="shared" si="142"/>
        <v>0</v>
      </c>
      <c r="Z53" s="40">
        <f t="shared" si="142"/>
        <v>0</v>
      </c>
      <c r="AA53" s="40">
        <f t="shared" si="142"/>
        <v>0</v>
      </c>
      <c r="AB53" s="40">
        <f t="shared" si="142"/>
        <v>0</v>
      </c>
      <c r="AC53" s="40">
        <f t="shared" si="142"/>
        <v>0</v>
      </c>
      <c r="AD53" s="40">
        <f t="shared" si="142"/>
        <v>0</v>
      </c>
      <c r="AE53" s="125">
        <f t="shared" si="127"/>
        <v>0</v>
      </c>
      <c r="AF53" s="56"/>
      <c r="AG53" s="58"/>
      <c r="AH53" s="126">
        <f t="shared" si="13"/>
        <v>0</v>
      </c>
      <c r="AI53" s="125">
        <f t="shared" si="14"/>
        <v>0</v>
      </c>
      <c r="AJ53" s="50"/>
      <c r="AK53" s="6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</row>
    <row r="54" spans="1:66" ht="15.75" hidden="1" customHeight="1" outlineLevel="1" x14ac:dyDescent="0.4">
      <c r="A54" s="50"/>
      <c r="B54" s="123"/>
      <c r="C54" s="124" t="s">
        <v>45</v>
      </c>
      <c r="D54" s="75"/>
      <c r="E54" s="39">
        <f t="shared" si="134"/>
        <v>0</v>
      </c>
      <c r="F54" s="40">
        <f t="shared" si="134"/>
        <v>0</v>
      </c>
      <c r="G54" s="40">
        <f t="shared" si="134"/>
        <v>0</v>
      </c>
      <c r="H54" s="40">
        <f t="shared" si="134"/>
        <v>0</v>
      </c>
      <c r="I54" s="40">
        <f t="shared" ref="I54:J54" si="143">I59+I64+I69+I79+I74</f>
        <v>0</v>
      </c>
      <c r="J54" s="40">
        <f t="shared" si="143"/>
        <v>0</v>
      </c>
      <c r="K54" s="40">
        <f t="shared" ref="K54" si="144">K59+K64+K69+K79+K74</f>
        <v>0</v>
      </c>
      <c r="L54" s="40">
        <f t="shared" ref="L54" si="145">L59+L64+L69+L79+L74</f>
        <v>0</v>
      </c>
      <c r="M54" s="40">
        <f t="shared" ref="M54:N54" si="146">M59+M64+M69+M79+M74</f>
        <v>0</v>
      </c>
      <c r="N54" s="40">
        <f t="shared" si="146"/>
        <v>0</v>
      </c>
      <c r="O54" s="40">
        <f t="shared" si="139"/>
        <v>0</v>
      </c>
      <c r="P54" s="40">
        <f t="shared" si="139"/>
        <v>0</v>
      </c>
      <c r="Q54" s="261">
        <f t="shared" si="125"/>
        <v>0</v>
      </c>
      <c r="R54" s="56"/>
      <c r="S54" s="39">
        <f t="shared" ref="S54:T54" si="147">S59+S64+S69+S79+S74</f>
        <v>0</v>
      </c>
      <c r="T54" s="39">
        <f t="shared" si="147"/>
        <v>0</v>
      </c>
      <c r="U54" s="39">
        <f t="shared" ref="U54" si="148">U59+U64+U69+U79+U74</f>
        <v>0</v>
      </c>
      <c r="V54" s="40">
        <f t="shared" si="142"/>
        <v>0</v>
      </c>
      <c r="W54" s="40">
        <f t="shared" si="142"/>
        <v>0</v>
      </c>
      <c r="X54" s="40">
        <f t="shared" si="142"/>
        <v>0</v>
      </c>
      <c r="Y54" s="40">
        <f t="shared" si="142"/>
        <v>0</v>
      </c>
      <c r="Z54" s="40">
        <f t="shared" si="142"/>
        <v>0</v>
      </c>
      <c r="AA54" s="40">
        <f t="shared" si="142"/>
        <v>0</v>
      </c>
      <c r="AB54" s="40">
        <f t="shared" si="142"/>
        <v>0</v>
      </c>
      <c r="AC54" s="40">
        <f t="shared" si="142"/>
        <v>0</v>
      </c>
      <c r="AD54" s="40">
        <f t="shared" si="142"/>
        <v>0</v>
      </c>
      <c r="AE54" s="125">
        <f t="shared" si="127"/>
        <v>0</v>
      </c>
      <c r="AF54" s="56"/>
      <c r="AG54" s="58"/>
      <c r="AH54" s="126">
        <f t="shared" si="13"/>
        <v>0</v>
      </c>
      <c r="AI54" s="125">
        <f t="shared" si="14"/>
        <v>0</v>
      </c>
      <c r="AJ54" s="50"/>
      <c r="AK54" s="6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</row>
    <row r="55" spans="1:66" ht="15.75" hidden="1" customHeight="1" outlineLevel="1" x14ac:dyDescent="0.4">
      <c r="A55" s="50"/>
      <c r="B55" s="123"/>
      <c r="C55" s="124" t="s">
        <v>46</v>
      </c>
      <c r="D55" s="75"/>
      <c r="E55" s="39">
        <f t="shared" si="134"/>
        <v>0</v>
      </c>
      <c r="F55" s="40">
        <f t="shared" si="134"/>
        <v>0</v>
      </c>
      <c r="G55" s="40">
        <f t="shared" si="134"/>
        <v>0</v>
      </c>
      <c r="H55" s="40">
        <f t="shared" si="134"/>
        <v>0</v>
      </c>
      <c r="I55" s="40">
        <f t="shared" ref="I55:J55" si="149">I60+I65+I70+I80+I75</f>
        <v>0</v>
      </c>
      <c r="J55" s="40">
        <f t="shared" si="149"/>
        <v>0</v>
      </c>
      <c r="K55" s="40">
        <f t="shared" ref="K55" si="150">K60+K65+K70+K80+K75</f>
        <v>0</v>
      </c>
      <c r="L55" s="40">
        <f t="shared" ref="L55" si="151">L60+L65+L70+L80+L75</f>
        <v>0</v>
      </c>
      <c r="M55" s="40">
        <f t="shared" ref="M55:N55" si="152">M60+M65+M70+M80+M75</f>
        <v>0</v>
      </c>
      <c r="N55" s="40">
        <f t="shared" si="152"/>
        <v>0</v>
      </c>
      <c r="O55" s="40">
        <f t="shared" si="139"/>
        <v>0</v>
      </c>
      <c r="P55" s="40">
        <f t="shared" si="139"/>
        <v>0</v>
      </c>
      <c r="Q55" s="261">
        <f t="shared" si="125"/>
        <v>0</v>
      </c>
      <c r="R55" s="56"/>
      <c r="S55" s="39">
        <f t="shared" ref="S55:T55" si="153">S60+S65+S70+S80+S75</f>
        <v>0</v>
      </c>
      <c r="T55" s="39">
        <f t="shared" si="153"/>
        <v>0</v>
      </c>
      <c r="U55" s="39">
        <f t="shared" ref="U55" si="154">U60+U65+U70+U80+U75</f>
        <v>0</v>
      </c>
      <c r="V55" s="40">
        <f t="shared" si="142"/>
        <v>0</v>
      </c>
      <c r="W55" s="40">
        <f t="shared" si="142"/>
        <v>0</v>
      </c>
      <c r="X55" s="40">
        <f t="shared" si="142"/>
        <v>0</v>
      </c>
      <c r="Y55" s="40">
        <f t="shared" si="142"/>
        <v>0</v>
      </c>
      <c r="Z55" s="40">
        <f t="shared" si="142"/>
        <v>0</v>
      </c>
      <c r="AA55" s="40">
        <f t="shared" si="142"/>
        <v>0</v>
      </c>
      <c r="AB55" s="40">
        <f t="shared" si="142"/>
        <v>0</v>
      </c>
      <c r="AC55" s="40">
        <f t="shared" si="142"/>
        <v>0</v>
      </c>
      <c r="AD55" s="40">
        <f t="shared" si="142"/>
        <v>0</v>
      </c>
      <c r="AE55" s="125">
        <f t="shared" si="127"/>
        <v>0</v>
      </c>
      <c r="AF55" s="56"/>
      <c r="AG55" s="58"/>
      <c r="AH55" s="126">
        <f t="shared" si="13"/>
        <v>0</v>
      </c>
      <c r="AI55" s="125">
        <f t="shared" si="14"/>
        <v>0</v>
      </c>
      <c r="AJ55" s="50"/>
      <c r="AK55" s="6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</row>
    <row r="56" spans="1:66" ht="15.75" customHeight="1" collapsed="1" x14ac:dyDescent="0.4">
      <c r="B56" s="65" t="s">
        <v>55</v>
      </c>
      <c r="C56" s="66" t="s">
        <v>41</v>
      </c>
      <c r="D56" s="38"/>
      <c r="E56" s="127"/>
      <c r="F56" s="92"/>
      <c r="G56" s="92"/>
      <c r="H56" s="92"/>
      <c r="I56" s="92"/>
      <c r="J56" s="92"/>
      <c r="K56" s="92"/>
      <c r="L56" s="92"/>
      <c r="M56" s="92"/>
      <c r="N56" s="92">
        <f>'[2]Detailed FS_$ Cons. (formating)'!CA$15*-1</f>
        <v>-9936.1448407296502</v>
      </c>
      <c r="O56" s="92">
        <f>'[2]Detailed FS_$ Cons. (formating)'!CB$15*-1</f>
        <v>-3199.5643887830111</v>
      </c>
      <c r="P56" s="92">
        <f>'[2]Detailed FS_$ Cons. (formating)'!CC$15*-1</f>
        <v>-3580.5118431799619</v>
      </c>
      <c r="Q56" s="273">
        <f t="shared" si="125"/>
        <v>-16716.221072692621</v>
      </c>
      <c r="R56" s="35"/>
      <c r="S56" s="127">
        <f>'[2]Detailed FS_$ Cons. (formating)'!CF$15*-1</f>
        <v>-2187.2011979308468</v>
      </c>
      <c r="T56" s="127">
        <f>'[2]Detailed FS_$ Cons. (formating)'!CG$15*-1</f>
        <v>-2187.2011979308468</v>
      </c>
      <c r="U56" s="127">
        <f>'[2]Detailed FS_$ Cons. (formating)'!CH$15*-1</f>
        <v>-2187.2011979308468</v>
      </c>
      <c r="V56" s="92"/>
      <c r="W56" s="92"/>
      <c r="X56" s="92"/>
      <c r="Y56" s="92"/>
      <c r="Z56" s="92"/>
      <c r="AA56" s="92"/>
      <c r="AB56" s="92"/>
      <c r="AC56" s="92"/>
      <c r="AD56" s="92"/>
      <c r="AE56" s="96">
        <f t="shared" si="127"/>
        <v>-6561.6035937925408</v>
      </c>
      <c r="AF56" s="35"/>
      <c r="AG56" s="21"/>
      <c r="AH56" s="95">
        <f t="shared" si="13"/>
        <v>-2187.2011979308468</v>
      </c>
      <c r="AI56" s="96">
        <f t="shared" si="14"/>
        <v>-2187.2011979308468</v>
      </c>
      <c r="AK56" s="26"/>
    </row>
    <row r="57" spans="1:66" ht="15" customHeight="1" x14ac:dyDescent="0.4">
      <c r="A57" s="50"/>
      <c r="B57" s="73"/>
      <c r="C57" s="74" t="str">
        <f>IF($C$2="AV",C60,IF($C$2="Mgmt",C58,IF($C$2="Mgmt (Adj)",C59)))</f>
        <v>plan (AV)</v>
      </c>
      <c r="D57" s="53"/>
      <c r="E57" s="63">
        <f t="shared" ref="E57:H57" si="155">IF($C$2="AV",E60,IF($C$2="Mgmt",E58,IF($C$2="Mgmt (Adj)",E59)))</f>
        <v>0</v>
      </c>
      <c r="F57" s="40">
        <f t="shared" si="155"/>
        <v>0</v>
      </c>
      <c r="G57" s="40">
        <f t="shared" si="155"/>
        <v>0</v>
      </c>
      <c r="H57" s="40">
        <f t="shared" si="155"/>
        <v>0</v>
      </c>
      <c r="I57" s="40">
        <f t="shared" ref="I57:J57" si="156">IF($C$2="AV",I60,IF($C$2="Mgmt",I58,IF($C$2="Mgmt (Adj)",I59)))</f>
        <v>0</v>
      </c>
      <c r="J57" s="40">
        <f t="shared" si="156"/>
        <v>0</v>
      </c>
      <c r="K57" s="40">
        <f t="shared" ref="K57" si="157">IF($C$2="AV",K60,IF($C$2="Mgmt",K58,IF($C$2="Mgmt (Adj)",K59)))</f>
        <v>0</v>
      </c>
      <c r="L57" s="40">
        <f t="shared" ref="L57" si="158">IF($C$2="AV",L60,IF($C$2="Mgmt",L58,IF($C$2="Mgmt (Adj)",L59)))</f>
        <v>0</v>
      </c>
      <c r="M57" s="40">
        <f t="shared" ref="M57:N57" si="159">IF($C$2="AV",M60,IF($C$2="Mgmt",M58,IF($C$2="Mgmt (Adj)",M59)))</f>
        <v>0</v>
      </c>
      <c r="N57" s="40">
        <f t="shared" si="159"/>
        <v>0</v>
      </c>
      <c r="O57" s="40">
        <f>IF($C$2="AV",O60,IF($C$2="Mgmt",O58,IF($C$2="Mgmt (Adj)",O59)))</f>
        <v>0</v>
      </c>
      <c r="P57" s="40">
        <f>IF($C$2="AV",P60,IF($C$2="Mgmt",P58,IF($C$2="Mgmt (Adj)",P59)))</f>
        <v>0</v>
      </c>
      <c r="Q57" s="261">
        <f t="shared" si="125"/>
        <v>0</v>
      </c>
      <c r="R57" s="56"/>
      <c r="S57" s="63">
        <f>IF($C$2="AV",S60,IF($C$2="Mgmt",S58,IF($C$2="Mgmt (Adj)",S59)))</f>
        <v>0</v>
      </c>
      <c r="T57" s="63">
        <f>IF($C$2="AV",T60,IF($C$2="Mgmt",T58,IF($C$2="Mgmt (Adj)",T59)))</f>
        <v>0</v>
      </c>
      <c r="U57" s="63">
        <f>IF($C$2="AV",U60,IF($C$2="Mgmt",U58,IF($C$2="Mgmt (Adj)",U59)))</f>
        <v>0</v>
      </c>
      <c r="V57" s="40">
        <f t="shared" ref="V57:AD57" si="160">IF($C$2="AV",V60,IF($C$2="Mgmt",V58,IF($C$2="Mgmt (Adj)",V59)))</f>
        <v>0</v>
      </c>
      <c r="W57" s="40">
        <f t="shared" si="160"/>
        <v>0</v>
      </c>
      <c r="X57" s="40">
        <f t="shared" si="160"/>
        <v>0</v>
      </c>
      <c r="Y57" s="40">
        <f t="shared" si="160"/>
        <v>0</v>
      </c>
      <c r="Z57" s="40">
        <f t="shared" si="160"/>
        <v>0</v>
      </c>
      <c r="AA57" s="40">
        <f t="shared" si="160"/>
        <v>0</v>
      </c>
      <c r="AB57" s="40">
        <f t="shared" si="160"/>
        <v>0</v>
      </c>
      <c r="AC57" s="40">
        <f t="shared" si="160"/>
        <v>0</v>
      </c>
      <c r="AD57" s="40">
        <f t="shared" si="160"/>
        <v>0</v>
      </c>
      <c r="AE57" s="55">
        <f t="shared" si="127"/>
        <v>0</v>
      </c>
      <c r="AF57" s="56"/>
      <c r="AG57" s="58"/>
      <c r="AH57" s="59">
        <f t="shared" si="13"/>
        <v>0</v>
      </c>
      <c r="AI57" s="55">
        <f t="shared" si="14"/>
        <v>0</v>
      </c>
      <c r="AJ57" s="50"/>
      <c r="AK57" s="78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</row>
    <row r="58" spans="1:66" ht="16.5" hidden="1" customHeight="1" outlineLevel="1" x14ac:dyDescent="0.4">
      <c r="A58" s="79"/>
      <c r="B58" s="80"/>
      <c r="C58" s="81" t="s">
        <v>44</v>
      </c>
      <c r="D58" s="102"/>
      <c r="E58" s="103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268">
        <f t="shared" si="125"/>
        <v>0</v>
      </c>
      <c r="R58" s="104"/>
      <c r="S58" s="103"/>
      <c r="T58" s="103"/>
      <c r="U58" s="103"/>
      <c r="V58" s="84"/>
      <c r="W58" s="84"/>
      <c r="X58" s="84"/>
      <c r="Y58" s="84"/>
      <c r="Z58" s="84"/>
      <c r="AA58" s="84"/>
      <c r="AB58" s="84"/>
      <c r="AC58" s="84"/>
      <c r="AD58" s="84"/>
      <c r="AE58" s="85">
        <f t="shared" si="127"/>
        <v>0</v>
      </c>
      <c r="AF58" s="104"/>
      <c r="AG58" s="88"/>
      <c r="AH58" s="89">
        <f t="shared" si="13"/>
        <v>0</v>
      </c>
      <c r="AI58" s="85">
        <f t="shared" si="14"/>
        <v>0</v>
      </c>
      <c r="AJ58" s="79"/>
      <c r="AK58" s="97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</row>
    <row r="59" spans="1:66" ht="16.5" hidden="1" customHeight="1" outlineLevel="1" x14ac:dyDescent="0.4">
      <c r="A59" s="79"/>
      <c r="B59" s="80"/>
      <c r="C59" s="81" t="s">
        <v>45</v>
      </c>
      <c r="D59" s="102"/>
      <c r="E59" s="103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268">
        <f t="shared" si="125"/>
        <v>0</v>
      </c>
      <c r="R59" s="104"/>
      <c r="S59" s="103"/>
      <c r="T59" s="103"/>
      <c r="U59" s="103"/>
      <c r="V59" s="84"/>
      <c r="W59" s="84"/>
      <c r="X59" s="84"/>
      <c r="Y59" s="84"/>
      <c r="Z59" s="84"/>
      <c r="AA59" s="84"/>
      <c r="AB59" s="84"/>
      <c r="AC59" s="84"/>
      <c r="AD59" s="84"/>
      <c r="AE59" s="85">
        <f t="shared" si="127"/>
        <v>0</v>
      </c>
      <c r="AF59" s="104"/>
      <c r="AG59" s="88"/>
      <c r="AH59" s="89">
        <f t="shared" si="13"/>
        <v>0</v>
      </c>
      <c r="AI59" s="85">
        <f t="shared" si="14"/>
        <v>0</v>
      </c>
      <c r="AJ59" s="79"/>
      <c r="AK59" s="97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</row>
    <row r="60" spans="1:66" ht="16.5" hidden="1" customHeight="1" outlineLevel="1" x14ac:dyDescent="0.4">
      <c r="A60" s="79"/>
      <c r="B60" s="80"/>
      <c r="C60" s="81" t="s">
        <v>46</v>
      </c>
      <c r="D60" s="102"/>
      <c r="E60" s="103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268">
        <f t="shared" si="125"/>
        <v>0</v>
      </c>
      <c r="R60" s="104"/>
      <c r="S60" s="103"/>
      <c r="T60" s="103"/>
      <c r="U60" s="103"/>
      <c r="V60" s="84"/>
      <c r="W60" s="84"/>
      <c r="X60" s="84"/>
      <c r="Y60" s="84"/>
      <c r="Z60" s="84"/>
      <c r="AA60" s="84"/>
      <c r="AB60" s="84"/>
      <c r="AC60" s="84"/>
      <c r="AD60" s="84"/>
      <c r="AE60" s="85">
        <f t="shared" si="127"/>
        <v>0</v>
      </c>
      <c r="AF60" s="104"/>
      <c r="AG60" s="88"/>
      <c r="AH60" s="89">
        <f t="shared" si="13"/>
        <v>0</v>
      </c>
      <c r="AI60" s="85">
        <f t="shared" si="14"/>
        <v>0</v>
      </c>
      <c r="AJ60" s="79"/>
      <c r="AK60" s="97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</row>
    <row r="61" spans="1:66" ht="15.75" customHeight="1" collapsed="1" x14ac:dyDescent="0.4">
      <c r="A61" s="50"/>
      <c r="B61" s="65" t="s">
        <v>56</v>
      </c>
      <c r="C61" s="66" t="s">
        <v>41</v>
      </c>
      <c r="D61" s="38"/>
      <c r="E61" s="127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273">
        <f t="shared" si="125"/>
        <v>0</v>
      </c>
      <c r="R61" s="35"/>
      <c r="S61" s="127"/>
      <c r="T61" s="127"/>
      <c r="U61" s="127"/>
      <c r="V61" s="92"/>
      <c r="W61" s="92"/>
      <c r="X61" s="92"/>
      <c r="Y61" s="92"/>
      <c r="Z61" s="92"/>
      <c r="AA61" s="92"/>
      <c r="AB61" s="92"/>
      <c r="AC61" s="92"/>
      <c r="AD61" s="92"/>
      <c r="AE61" s="71">
        <f t="shared" si="127"/>
        <v>0</v>
      </c>
      <c r="AF61" s="35"/>
      <c r="AG61" s="21"/>
      <c r="AH61" s="70">
        <f t="shared" si="13"/>
        <v>0</v>
      </c>
      <c r="AI61" s="71">
        <f t="shared" si="14"/>
        <v>0</v>
      </c>
      <c r="AK61" s="26"/>
    </row>
    <row r="62" spans="1:66" ht="15" customHeight="1" x14ac:dyDescent="0.4">
      <c r="A62" s="50"/>
      <c r="B62" s="73"/>
      <c r="C62" s="74" t="str">
        <f>IF($C$2="AV",C65,IF($C$2="Mgmt",C63,IF($C$2="Mgmt (Adj)",C64)))</f>
        <v>plan (AV)</v>
      </c>
      <c r="D62" s="75"/>
      <c r="E62" s="39">
        <f t="shared" ref="E62:H62" si="161">IF($C$2="AV",E65,IF($C$2="Mgmt",E63,IF($C$2="Mgmt (Adj)",E64)))</f>
        <v>0</v>
      </c>
      <c r="F62" s="40">
        <f t="shared" si="161"/>
        <v>0</v>
      </c>
      <c r="G62" s="40">
        <f t="shared" si="161"/>
        <v>0</v>
      </c>
      <c r="H62" s="40">
        <f t="shared" si="161"/>
        <v>0</v>
      </c>
      <c r="I62" s="40">
        <f t="shared" ref="I62:J62" si="162">IF($C$2="AV",I65,IF($C$2="Mgmt",I63,IF($C$2="Mgmt (Adj)",I64)))</f>
        <v>0</v>
      </c>
      <c r="J62" s="40">
        <f t="shared" si="162"/>
        <v>0</v>
      </c>
      <c r="K62" s="40">
        <f t="shared" ref="K62" si="163">IF($C$2="AV",K65,IF($C$2="Mgmt",K63,IF($C$2="Mgmt (Adj)",K64)))</f>
        <v>0</v>
      </c>
      <c r="L62" s="40">
        <f t="shared" ref="L62" si="164">IF($C$2="AV",L65,IF($C$2="Mgmt",L63,IF($C$2="Mgmt (Adj)",L64)))</f>
        <v>0</v>
      </c>
      <c r="M62" s="40">
        <f t="shared" ref="M62:N62" si="165">IF($C$2="AV",M65,IF($C$2="Mgmt",M63,IF($C$2="Mgmt (Adj)",M64)))</f>
        <v>0</v>
      </c>
      <c r="N62" s="40">
        <f t="shared" si="165"/>
        <v>0</v>
      </c>
      <c r="O62" s="40">
        <f>IF($C$2="AV",O65,IF($C$2="Mgmt",O63,IF($C$2="Mgmt (Adj)",O64)))</f>
        <v>0</v>
      </c>
      <c r="P62" s="40">
        <f>IF($C$2="AV",P65,IF($C$2="Mgmt",P63,IF($C$2="Mgmt (Adj)",P64)))</f>
        <v>0</v>
      </c>
      <c r="Q62" s="261">
        <f>SUM(E62:P62)</f>
        <v>0</v>
      </c>
      <c r="R62" s="56"/>
      <c r="S62" s="39">
        <f>IF($C$2="AV",S65,IF($C$2="Mgmt",S63,IF($C$2="Mgmt (Adj)",S64)))</f>
        <v>0</v>
      </c>
      <c r="T62" s="39">
        <f>IF($C$2="AV",T65,IF($C$2="Mgmt",T63,IF($C$2="Mgmt (Adj)",T64)))</f>
        <v>0</v>
      </c>
      <c r="U62" s="39">
        <f>IF($C$2="AV",U65,IF($C$2="Mgmt",U63,IF($C$2="Mgmt (Adj)",U64)))</f>
        <v>0</v>
      </c>
      <c r="V62" s="40">
        <f t="shared" ref="V62:AD62" si="166">IF($C$2="AV",V65,IF($C$2="Mgmt",V63,IF($C$2="Mgmt (Adj)",V64)))</f>
        <v>0</v>
      </c>
      <c r="W62" s="40">
        <f t="shared" si="166"/>
        <v>0</v>
      </c>
      <c r="X62" s="40">
        <f t="shared" si="166"/>
        <v>0</v>
      </c>
      <c r="Y62" s="40">
        <f t="shared" si="166"/>
        <v>0</v>
      </c>
      <c r="Z62" s="40">
        <f t="shared" si="166"/>
        <v>0</v>
      </c>
      <c r="AA62" s="40">
        <f t="shared" si="166"/>
        <v>0</v>
      </c>
      <c r="AB62" s="40">
        <f t="shared" si="166"/>
        <v>0</v>
      </c>
      <c r="AC62" s="40">
        <f t="shared" si="166"/>
        <v>0</v>
      </c>
      <c r="AD62" s="40">
        <f t="shared" si="166"/>
        <v>0</v>
      </c>
      <c r="AE62" s="55">
        <f>SUM(S62:AD62)</f>
        <v>0</v>
      </c>
      <c r="AF62" s="56"/>
      <c r="AG62" s="58"/>
      <c r="AH62" s="59">
        <f t="shared" si="13"/>
        <v>0</v>
      </c>
      <c r="AI62" s="55">
        <f t="shared" si="14"/>
        <v>0</v>
      </c>
      <c r="AJ62" s="50"/>
      <c r="AK62" s="78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</row>
    <row r="63" spans="1:66" ht="16.5" hidden="1" customHeight="1" outlineLevel="1" x14ac:dyDescent="0.4">
      <c r="A63" s="79"/>
      <c r="B63" s="80"/>
      <c r="C63" s="81" t="s">
        <v>44</v>
      </c>
      <c r="D63" s="82"/>
      <c r="E63" s="83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268">
        <f>SUM(E63:P63)</f>
        <v>0</v>
      </c>
      <c r="R63" s="104"/>
      <c r="S63" s="83"/>
      <c r="T63" s="83"/>
      <c r="U63" s="83"/>
      <c r="V63" s="84"/>
      <c r="W63" s="84"/>
      <c r="X63" s="84"/>
      <c r="Y63" s="84"/>
      <c r="Z63" s="84"/>
      <c r="AA63" s="84"/>
      <c r="AB63" s="84"/>
      <c r="AC63" s="84"/>
      <c r="AD63" s="84"/>
      <c r="AE63" s="85">
        <f>SUM(S63:AD63)</f>
        <v>0</v>
      </c>
      <c r="AF63" s="104"/>
      <c r="AG63" s="88"/>
      <c r="AH63" s="89">
        <f t="shared" si="13"/>
        <v>0</v>
      </c>
      <c r="AI63" s="85">
        <f t="shared" si="14"/>
        <v>0</v>
      </c>
      <c r="AJ63" s="79"/>
      <c r="AK63" s="97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</row>
    <row r="64" spans="1:66" ht="16.5" hidden="1" customHeight="1" outlineLevel="1" x14ac:dyDescent="0.4">
      <c r="A64" s="79"/>
      <c r="B64" s="80"/>
      <c r="C64" s="81" t="s">
        <v>45</v>
      </c>
      <c r="D64" s="82"/>
      <c r="E64" s="83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268">
        <f>SUM(E64:P64)</f>
        <v>0</v>
      </c>
      <c r="R64" s="104"/>
      <c r="S64" s="83"/>
      <c r="T64" s="83"/>
      <c r="U64" s="83"/>
      <c r="V64" s="84"/>
      <c r="W64" s="84"/>
      <c r="X64" s="84"/>
      <c r="Y64" s="84"/>
      <c r="Z64" s="84"/>
      <c r="AA64" s="84"/>
      <c r="AB64" s="84"/>
      <c r="AC64" s="84"/>
      <c r="AD64" s="84"/>
      <c r="AE64" s="85">
        <f>SUM(S64:AD64)</f>
        <v>0</v>
      </c>
      <c r="AF64" s="104"/>
      <c r="AG64" s="88"/>
      <c r="AH64" s="89">
        <f t="shared" si="13"/>
        <v>0</v>
      </c>
      <c r="AI64" s="85">
        <f t="shared" si="14"/>
        <v>0</v>
      </c>
      <c r="AJ64" s="79"/>
      <c r="AK64" s="97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</row>
    <row r="65" spans="1:66" ht="16.5" hidden="1" customHeight="1" outlineLevel="1" x14ac:dyDescent="0.4">
      <c r="A65" s="79"/>
      <c r="B65" s="80"/>
      <c r="C65" s="81" t="s">
        <v>46</v>
      </c>
      <c r="D65" s="82"/>
      <c r="E65" s="83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268">
        <f>SUM(E65:P65)</f>
        <v>0</v>
      </c>
      <c r="R65" s="104"/>
      <c r="S65" s="83"/>
      <c r="T65" s="83"/>
      <c r="U65" s="83"/>
      <c r="V65" s="84"/>
      <c r="W65" s="84"/>
      <c r="X65" s="84"/>
      <c r="Y65" s="84"/>
      <c r="Z65" s="84"/>
      <c r="AA65" s="84"/>
      <c r="AB65" s="84"/>
      <c r="AC65" s="84"/>
      <c r="AD65" s="84"/>
      <c r="AE65" s="85">
        <f>SUM(S65:AD65)</f>
        <v>0</v>
      </c>
      <c r="AF65" s="104"/>
      <c r="AG65" s="88"/>
      <c r="AH65" s="89">
        <f t="shared" si="13"/>
        <v>0</v>
      </c>
      <c r="AI65" s="85">
        <f t="shared" si="14"/>
        <v>0</v>
      </c>
      <c r="AJ65" s="79"/>
      <c r="AK65" s="97"/>
      <c r="AL65" s="79"/>
      <c r="AM65" s="79">
        <v>-1</v>
      </c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</row>
    <row r="66" spans="1:66" ht="16.5" customHeight="1" collapsed="1" x14ac:dyDescent="0.4">
      <c r="A66" s="50"/>
      <c r="B66" s="65" t="s">
        <v>57</v>
      </c>
      <c r="C66" s="66" t="s">
        <v>41</v>
      </c>
      <c r="D66" s="29"/>
      <c r="E66" s="91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273">
        <f>SUM(E66:P66)</f>
        <v>0</v>
      </c>
      <c r="R66" s="35"/>
      <c r="S66" s="91"/>
      <c r="T66" s="91"/>
      <c r="U66" s="91"/>
      <c r="V66" s="92"/>
      <c r="W66" s="92"/>
      <c r="X66" s="92"/>
      <c r="Y66" s="92"/>
      <c r="Z66" s="92"/>
      <c r="AA66" s="92"/>
      <c r="AB66" s="92"/>
      <c r="AC66" s="92"/>
      <c r="AD66" s="92"/>
      <c r="AE66" s="71">
        <f>SUM(S66:AD66)</f>
        <v>0</v>
      </c>
      <c r="AF66" s="35"/>
      <c r="AG66" s="21"/>
      <c r="AH66" s="70">
        <f t="shared" si="13"/>
        <v>0</v>
      </c>
      <c r="AI66" s="71">
        <f t="shared" si="14"/>
        <v>0</v>
      </c>
      <c r="AK66" s="26"/>
    </row>
    <row r="67" spans="1:66" ht="15" customHeight="1" x14ac:dyDescent="0.4">
      <c r="A67" s="50"/>
      <c r="B67" s="73"/>
      <c r="C67" s="74" t="str">
        <f>IF($C$2="AV",C70,IF($C$2="Mgmt",C68,IF($C$2="Mgmt (Adj)",C69)))</f>
        <v>plan (AV)</v>
      </c>
      <c r="D67" s="75"/>
      <c r="E67" s="39">
        <f t="shared" ref="E67:H67" si="167">IF($C$2="AV",E70,IF($C$2="Mgmt",E68,IF($C$2="Mgmt (Adj)",E69)))</f>
        <v>0</v>
      </c>
      <c r="F67" s="40">
        <f t="shared" si="167"/>
        <v>0</v>
      </c>
      <c r="G67" s="40">
        <f t="shared" si="167"/>
        <v>0</v>
      </c>
      <c r="H67" s="40">
        <f t="shared" si="167"/>
        <v>0</v>
      </c>
      <c r="I67" s="40">
        <f t="shared" ref="I67:J67" si="168">IF($C$2="AV",I70,IF($C$2="Mgmt",I68,IF($C$2="Mgmt (Adj)",I69)))</f>
        <v>0</v>
      </c>
      <c r="J67" s="40">
        <f t="shared" si="168"/>
        <v>0</v>
      </c>
      <c r="K67" s="40">
        <f t="shared" ref="K67" si="169">IF($C$2="AV",K70,IF($C$2="Mgmt",K68,IF($C$2="Mgmt (Adj)",K69)))</f>
        <v>0</v>
      </c>
      <c r="L67" s="40">
        <f t="shared" ref="L67" si="170">IF($C$2="AV",L70,IF($C$2="Mgmt",L68,IF($C$2="Mgmt (Adj)",L69)))</f>
        <v>0</v>
      </c>
      <c r="M67" s="40">
        <f t="shared" ref="M67:N67" si="171">IF($C$2="AV",M70,IF($C$2="Mgmt",M68,IF($C$2="Mgmt (Adj)",M69)))</f>
        <v>0</v>
      </c>
      <c r="N67" s="40">
        <f t="shared" si="171"/>
        <v>0</v>
      </c>
      <c r="O67" s="40">
        <f>IF($C$2="AV",O70,IF($C$2="Mgmt",O68,IF($C$2="Mgmt (Adj)",O69)))</f>
        <v>0</v>
      </c>
      <c r="P67" s="40">
        <f>IF($C$2="AV",P70,IF($C$2="Mgmt",P68,IF($C$2="Mgmt (Adj)",P69)))</f>
        <v>0</v>
      </c>
      <c r="Q67" s="261">
        <f t="shared" ref="Q67:Q80" si="172">SUM(E67:P67)</f>
        <v>0</v>
      </c>
      <c r="R67" s="56"/>
      <c r="S67" s="39">
        <f>IF($C$2="AV",S70,IF($C$2="Mgmt",S68,IF($C$2="Mgmt (Adj)",S69)))</f>
        <v>0</v>
      </c>
      <c r="T67" s="39">
        <f>IF($C$2="AV",T70,IF($C$2="Mgmt",T68,IF($C$2="Mgmt (Adj)",T69)))</f>
        <v>0</v>
      </c>
      <c r="U67" s="39">
        <f>IF($C$2="AV",U70,IF($C$2="Mgmt",U68,IF($C$2="Mgmt (Adj)",U69)))</f>
        <v>0</v>
      </c>
      <c r="V67" s="40">
        <f t="shared" ref="V67:AD67" si="173">IF($C$2="AV",V70,IF($C$2="Mgmt",V68,IF($C$2="Mgmt (Adj)",V69)))</f>
        <v>0</v>
      </c>
      <c r="W67" s="40">
        <f t="shared" si="173"/>
        <v>0</v>
      </c>
      <c r="X67" s="40">
        <f t="shared" si="173"/>
        <v>0</v>
      </c>
      <c r="Y67" s="40">
        <f t="shared" si="173"/>
        <v>0</v>
      </c>
      <c r="Z67" s="40">
        <f t="shared" si="173"/>
        <v>0</v>
      </c>
      <c r="AA67" s="40">
        <f t="shared" si="173"/>
        <v>0</v>
      </c>
      <c r="AB67" s="40">
        <f t="shared" si="173"/>
        <v>0</v>
      </c>
      <c r="AC67" s="40">
        <f t="shared" si="173"/>
        <v>0</v>
      </c>
      <c r="AD67" s="40">
        <f t="shared" si="173"/>
        <v>0</v>
      </c>
      <c r="AE67" s="55">
        <f t="shared" si="127"/>
        <v>0</v>
      </c>
      <c r="AF67" s="56"/>
      <c r="AG67" s="58"/>
      <c r="AH67" s="59">
        <f t="shared" si="13"/>
        <v>0</v>
      </c>
      <c r="AI67" s="55">
        <f t="shared" si="14"/>
        <v>0</v>
      </c>
      <c r="AJ67" s="50"/>
      <c r="AK67" s="78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</row>
    <row r="68" spans="1:66" ht="16.5" hidden="1" customHeight="1" outlineLevel="1" x14ac:dyDescent="0.4">
      <c r="A68" s="79"/>
      <c r="B68" s="80"/>
      <c r="C68" s="81" t="s">
        <v>44</v>
      </c>
      <c r="D68" s="82"/>
      <c r="E68" s="83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268">
        <f t="shared" si="172"/>
        <v>0</v>
      </c>
      <c r="R68" s="104"/>
      <c r="S68" s="83"/>
      <c r="T68" s="83"/>
      <c r="U68" s="83"/>
      <c r="V68" s="84"/>
      <c r="W68" s="84"/>
      <c r="X68" s="84"/>
      <c r="Y68" s="84"/>
      <c r="Z68" s="84"/>
      <c r="AA68" s="84"/>
      <c r="AB68" s="84"/>
      <c r="AC68" s="84"/>
      <c r="AD68" s="84"/>
      <c r="AE68" s="85">
        <f t="shared" si="127"/>
        <v>0</v>
      </c>
      <c r="AF68" s="104"/>
      <c r="AG68" s="88"/>
      <c r="AH68" s="89">
        <f t="shared" si="13"/>
        <v>0</v>
      </c>
      <c r="AI68" s="85">
        <f t="shared" si="14"/>
        <v>0</v>
      </c>
      <c r="AJ68" s="79"/>
      <c r="AK68" s="97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</row>
    <row r="69" spans="1:66" ht="16.5" hidden="1" customHeight="1" outlineLevel="1" x14ac:dyDescent="0.4">
      <c r="A69" s="79"/>
      <c r="B69" s="80"/>
      <c r="C69" s="81" t="s">
        <v>45</v>
      </c>
      <c r="D69" s="82"/>
      <c r="E69" s="83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268">
        <f t="shared" si="172"/>
        <v>0</v>
      </c>
      <c r="R69" s="104"/>
      <c r="S69" s="83"/>
      <c r="T69" s="83"/>
      <c r="U69" s="83"/>
      <c r="V69" s="84"/>
      <c r="W69" s="84"/>
      <c r="X69" s="84"/>
      <c r="Y69" s="84"/>
      <c r="Z69" s="84"/>
      <c r="AA69" s="84"/>
      <c r="AB69" s="84"/>
      <c r="AC69" s="84"/>
      <c r="AD69" s="84"/>
      <c r="AE69" s="85">
        <f t="shared" si="127"/>
        <v>0</v>
      </c>
      <c r="AF69" s="104"/>
      <c r="AG69" s="88"/>
      <c r="AH69" s="89">
        <f t="shared" si="13"/>
        <v>0</v>
      </c>
      <c r="AI69" s="85">
        <f t="shared" si="14"/>
        <v>0</v>
      </c>
      <c r="AJ69" s="79"/>
      <c r="AK69" s="97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</row>
    <row r="70" spans="1:66" ht="16.5" hidden="1" customHeight="1" outlineLevel="1" x14ac:dyDescent="0.4">
      <c r="A70" s="79"/>
      <c r="B70" s="80"/>
      <c r="C70" s="81" t="s">
        <v>46</v>
      </c>
      <c r="D70" s="82"/>
      <c r="E70" s="83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268">
        <f t="shared" si="172"/>
        <v>0</v>
      </c>
      <c r="R70" s="104"/>
      <c r="S70" s="83"/>
      <c r="T70" s="83"/>
      <c r="U70" s="83"/>
      <c r="V70" s="84"/>
      <c r="W70" s="84"/>
      <c r="X70" s="84"/>
      <c r="Y70" s="84"/>
      <c r="Z70" s="84"/>
      <c r="AA70" s="84"/>
      <c r="AB70" s="84"/>
      <c r="AC70" s="84"/>
      <c r="AD70" s="84"/>
      <c r="AE70" s="85">
        <f t="shared" si="127"/>
        <v>0</v>
      </c>
      <c r="AF70" s="104"/>
      <c r="AG70" s="88"/>
      <c r="AH70" s="89">
        <f t="shared" si="13"/>
        <v>0</v>
      </c>
      <c r="AI70" s="85">
        <f t="shared" si="14"/>
        <v>0</v>
      </c>
      <c r="AJ70" s="79"/>
      <c r="AK70" s="97"/>
      <c r="AL70" s="79"/>
      <c r="AM70" s="79">
        <v>-1</v>
      </c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</row>
    <row r="71" spans="1:66" ht="16.5" customHeight="1" collapsed="1" x14ac:dyDescent="0.4">
      <c r="A71" s="50"/>
      <c r="B71" s="65" t="s">
        <v>58</v>
      </c>
      <c r="C71" s="66" t="s">
        <v>41</v>
      </c>
      <c r="D71" s="29"/>
      <c r="E71" s="91">
        <f>'[2]Detailed FS_$ Cons. (formating)'!BR$17*-1</f>
        <v>-9999.8638714946901</v>
      </c>
      <c r="F71" s="92">
        <f>'[2]Detailed FS_$ Cons. (formating)'!BS$17*-1</f>
        <v>-9999.8638714946901</v>
      </c>
      <c r="G71" s="92">
        <f>'[2]Detailed FS_$ Cons. (formating)'!BT$17*-1</f>
        <v>-10000</v>
      </c>
      <c r="H71" s="92">
        <f>'[2]Detailed FS_$ Cons. (formating)'!BU$17*-1</f>
        <v>-10000</v>
      </c>
      <c r="I71" s="92">
        <f>'[2]Detailed FS_$ Cons. (formating)'!BV$17*-1</f>
        <v>40000</v>
      </c>
      <c r="J71" s="92">
        <f>'[2]Detailed FS_$ Cons. (formating)'!BW$17*-1</f>
        <v>0</v>
      </c>
      <c r="K71" s="92">
        <f>'[2]Detailed FS_$ Cons. (formating)'!BX$17*-1</f>
        <v>0</v>
      </c>
      <c r="L71" s="92">
        <f>'[2]Detailed FS_$ Cons. (formating)'!BY$17*-1</f>
        <v>0</v>
      </c>
      <c r="M71" s="92">
        <f>'[2]Detailed FS_$ Cons. (formating)'!BZ$17*-1</f>
        <v>0</v>
      </c>
      <c r="N71" s="92">
        <f>'[2]Detailed FS_$ Cons. (formating)'!CA$17*-1</f>
        <v>0</v>
      </c>
      <c r="O71" s="92">
        <f>'[2]Detailed FS_$ Cons. (formating)'!CB$17*-1</f>
        <v>0</v>
      </c>
      <c r="P71" s="92">
        <f>'[2]Detailed FS_$ Cons. (formating)'!CC$17*-1</f>
        <v>0</v>
      </c>
      <c r="Q71" s="273">
        <f>SUM(E71:P71)</f>
        <v>0.27225701061979635</v>
      </c>
      <c r="R71" s="35"/>
      <c r="S71" s="91">
        <f>'[2]Detailed FS_$ Cons. (formating)'!CF$17*-1</f>
        <v>0</v>
      </c>
      <c r="T71" s="91">
        <f>'[2]Detailed FS_$ Cons. (formating)'!CG$17*-1</f>
        <v>0</v>
      </c>
      <c r="U71" s="91">
        <f>'[2]Detailed FS_$ Cons. (formating)'!CH$17*-1</f>
        <v>0</v>
      </c>
      <c r="V71" s="92"/>
      <c r="W71" s="92"/>
      <c r="X71" s="92"/>
      <c r="Y71" s="92"/>
      <c r="Z71" s="92"/>
      <c r="AA71" s="92"/>
      <c r="AB71" s="92"/>
      <c r="AC71" s="92"/>
      <c r="AD71" s="92"/>
      <c r="AE71" s="71">
        <f>SUM(S71:AD71)</f>
        <v>0</v>
      </c>
      <c r="AF71" s="35"/>
      <c r="AG71" s="21"/>
      <c r="AH71" s="70">
        <f t="shared" si="13"/>
        <v>0</v>
      </c>
      <c r="AI71" s="71">
        <f t="shared" si="14"/>
        <v>0</v>
      </c>
      <c r="AK71" s="26"/>
    </row>
    <row r="72" spans="1:66" ht="15" customHeight="1" x14ac:dyDescent="0.4">
      <c r="A72" s="50"/>
      <c r="B72" s="73"/>
      <c r="C72" s="74" t="str">
        <f>IF($C$2="AV",C75,IF($C$2="Mgmt",C73,IF($C$2="Mgmt (Adj)",C74)))</f>
        <v>plan (AV)</v>
      </c>
      <c r="D72" s="75"/>
      <c r="E72" s="39">
        <f t="shared" ref="E72:H72" si="174">IF($C$2="AV",E75,IF($C$2="Mgmt",E73,IF($C$2="Mgmt (Adj)",E74)))</f>
        <v>0</v>
      </c>
      <c r="F72" s="40">
        <f t="shared" si="174"/>
        <v>0</v>
      </c>
      <c r="G72" s="40">
        <f t="shared" si="174"/>
        <v>0</v>
      </c>
      <c r="H72" s="40">
        <f t="shared" si="174"/>
        <v>0</v>
      </c>
      <c r="I72" s="40">
        <f t="shared" ref="I72:J72" si="175">IF($C$2="AV",I75,IF($C$2="Mgmt",I73,IF($C$2="Mgmt (Adj)",I74)))</f>
        <v>0</v>
      </c>
      <c r="J72" s="40">
        <f t="shared" si="175"/>
        <v>0</v>
      </c>
      <c r="K72" s="40">
        <f t="shared" ref="K72" si="176">IF($C$2="AV",K75,IF($C$2="Mgmt",K73,IF($C$2="Mgmt (Adj)",K74)))</f>
        <v>0</v>
      </c>
      <c r="L72" s="40">
        <f t="shared" ref="L72" si="177">IF($C$2="AV",L75,IF($C$2="Mgmt",L73,IF($C$2="Mgmt (Adj)",L74)))</f>
        <v>0</v>
      </c>
      <c r="M72" s="40">
        <f t="shared" ref="M72:N72" si="178">IF($C$2="AV",M75,IF($C$2="Mgmt",M73,IF($C$2="Mgmt (Adj)",M74)))</f>
        <v>0</v>
      </c>
      <c r="N72" s="40">
        <f t="shared" si="178"/>
        <v>0</v>
      </c>
      <c r="O72" s="40">
        <f>IF($C$2="AV",O75,IF($C$2="Mgmt",O73,IF($C$2="Mgmt (Adj)",O74)))</f>
        <v>0</v>
      </c>
      <c r="P72" s="40">
        <f>IF($C$2="AV",P75,IF($C$2="Mgmt",P73,IF($C$2="Mgmt (Adj)",P74)))</f>
        <v>0</v>
      </c>
      <c r="Q72" s="261">
        <f t="shared" ref="Q72:Q75" si="179">SUM(E72:P72)</f>
        <v>0</v>
      </c>
      <c r="R72" s="56"/>
      <c r="S72" s="39">
        <f>IF($C$2="AV",S75,IF($C$2="Mgmt",S73,IF($C$2="Mgmt (Adj)",S74)))</f>
        <v>0</v>
      </c>
      <c r="T72" s="39">
        <f>IF($C$2="AV",T75,IF($C$2="Mgmt",T73,IF($C$2="Mgmt (Adj)",T74)))</f>
        <v>0</v>
      </c>
      <c r="U72" s="39">
        <f>IF($C$2="AV",U75,IF($C$2="Mgmt",U73,IF($C$2="Mgmt (Adj)",U74)))</f>
        <v>0</v>
      </c>
      <c r="V72" s="40">
        <f t="shared" ref="V72:AD72" si="180">IF($C$2="AV",V75,IF($C$2="Mgmt",V73,IF($C$2="Mgmt (Adj)",V74)))</f>
        <v>0</v>
      </c>
      <c r="W72" s="40">
        <f t="shared" si="180"/>
        <v>0</v>
      </c>
      <c r="X72" s="40">
        <f t="shared" si="180"/>
        <v>0</v>
      </c>
      <c r="Y72" s="40">
        <f t="shared" si="180"/>
        <v>0</v>
      </c>
      <c r="Z72" s="40">
        <f t="shared" si="180"/>
        <v>0</v>
      </c>
      <c r="AA72" s="40">
        <f t="shared" si="180"/>
        <v>0</v>
      </c>
      <c r="AB72" s="40">
        <f t="shared" si="180"/>
        <v>0</v>
      </c>
      <c r="AC72" s="40">
        <f t="shared" si="180"/>
        <v>0</v>
      </c>
      <c r="AD72" s="40">
        <f t="shared" si="180"/>
        <v>0</v>
      </c>
      <c r="AE72" s="55">
        <f t="shared" ref="AE72:AE75" si="181">SUM(S72:AD72)</f>
        <v>0</v>
      </c>
      <c r="AF72" s="56"/>
      <c r="AG72" s="58"/>
      <c r="AH72" s="59">
        <f t="shared" si="13"/>
        <v>0</v>
      </c>
      <c r="AI72" s="55">
        <f t="shared" si="14"/>
        <v>0</v>
      </c>
      <c r="AJ72" s="50"/>
      <c r="AK72" s="78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</row>
    <row r="73" spans="1:66" ht="16.5" hidden="1" customHeight="1" outlineLevel="1" x14ac:dyDescent="0.4">
      <c r="A73" s="79"/>
      <c r="B73" s="80"/>
      <c r="C73" s="81" t="s">
        <v>44</v>
      </c>
      <c r="D73" s="82"/>
      <c r="E73" s="83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268">
        <f t="shared" si="179"/>
        <v>0</v>
      </c>
      <c r="R73" s="104"/>
      <c r="S73" s="83"/>
      <c r="T73" s="83"/>
      <c r="U73" s="83"/>
      <c r="V73" s="84"/>
      <c r="W73" s="84"/>
      <c r="X73" s="84"/>
      <c r="Y73" s="84"/>
      <c r="Z73" s="84"/>
      <c r="AA73" s="84"/>
      <c r="AB73" s="84"/>
      <c r="AC73" s="84"/>
      <c r="AD73" s="84"/>
      <c r="AE73" s="85">
        <f t="shared" si="181"/>
        <v>0</v>
      </c>
      <c r="AF73" s="104"/>
      <c r="AG73" s="88"/>
      <c r="AH73" s="89">
        <f t="shared" si="13"/>
        <v>0</v>
      </c>
      <c r="AI73" s="85">
        <f t="shared" si="14"/>
        <v>0</v>
      </c>
      <c r="AJ73" s="79"/>
      <c r="AK73" s="97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</row>
    <row r="74" spans="1:66" ht="16.5" hidden="1" customHeight="1" outlineLevel="1" x14ac:dyDescent="0.4">
      <c r="A74" s="79"/>
      <c r="B74" s="80"/>
      <c r="C74" s="81" t="s">
        <v>45</v>
      </c>
      <c r="D74" s="82"/>
      <c r="E74" s="83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268">
        <f t="shared" si="179"/>
        <v>0</v>
      </c>
      <c r="R74" s="104"/>
      <c r="S74" s="83"/>
      <c r="T74" s="83"/>
      <c r="U74" s="83"/>
      <c r="V74" s="84"/>
      <c r="W74" s="84"/>
      <c r="X74" s="84"/>
      <c r="Y74" s="84"/>
      <c r="Z74" s="84"/>
      <c r="AA74" s="84"/>
      <c r="AB74" s="84"/>
      <c r="AC74" s="84"/>
      <c r="AD74" s="84"/>
      <c r="AE74" s="85">
        <f t="shared" si="181"/>
        <v>0</v>
      </c>
      <c r="AF74" s="104"/>
      <c r="AG74" s="88"/>
      <c r="AH74" s="89">
        <f t="shared" ref="AH74:AH83" si="182">SUMPRODUCT($E$6:$AD$6,E74:AD74)</f>
        <v>0</v>
      </c>
      <c r="AI74" s="85">
        <f t="shared" ref="AI74:AI83" si="183">SUMPRODUCT($E$5:$AD$5,E74:AD74)</f>
        <v>0</v>
      </c>
      <c r="AJ74" s="79"/>
      <c r="AK74" s="97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</row>
    <row r="75" spans="1:66" ht="16.5" hidden="1" customHeight="1" outlineLevel="1" x14ac:dyDescent="0.4">
      <c r="A75" s="79"/>
      <c r="B75" s="80"/>
      <c r="C75" s="81" t="s">
        <v>46</v>
      </c>
      <c r="D75" s="82"/>
      <c r="E75" s="83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268">
        <f t="shared" si="179"/>
        <v>0</v>
      </c>
      <c r="R75" s="104"/>
      <c r="S75" s="83"/>
      <c r="T75" s="83"/>
      <c r="U75" s="83"/>
      <c r="V75" s="84"/>
      <c r="W75" s="84"/>
      <c r="X75" s="84"/>
      <c r="Y75" s="84"/>
      <c r="Z75" s="84"/>
      <c r="AA75" s="84"/>
      <c r="AB75" s="84"/>
      <c r="AC75" s="84"/>
      <c r="AD75" s="84"/>
      <c r="AE75" s="85">
        <f t="shared" si="181"/>
        <v>0</v>
      </c>
      <c r="AF75" s="104"/>
      <c r="AG75" s="88"/>
      <c r="AH75" s="89">
        <f t="shared" si="182"/>
        <v>0</v>
      </c>
      <c r="AI75" s="85">
        <f t="shared" si="183"/>
        <v>0</v>
      </c>
      <c r="AJ75" s="79"/>
      <c r="AK75" s="97"/>
      <c r="AL75" s="79"/>
      <c r="AM75" s="79">
        <v>-1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</row>
    <row r="76" spans="1:66" ht="16.5" customHeight="1" collapsed="1" x14ac:dyDescent="0.4">
      <c r="A76" s="50"/>
      <c r="B76" s="65" t="s">
        <v>49</v>
      </c>
      <c r="C76" s="66" t="s">
        <v>41</v>
      </c>
      <c r="D76" s="29"/>
      <c r="E76" s="91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273">
        <f t="shared" si="172"/>
        <v>0</v>
      </c>
      <c r="R76" s="35"/>
      <c r="S76" s="91"/>
      <c r="T76" s="91"/>
      <c r="U76" s="91"/>
      <c r="V76" s="92"/>
      <c r="W76" s="92"/>
      <c r="X76" s="92"/>
      <c r="Y76" s="92"/>
      <c r="Z76" s="92"/>
      <c r="AA76" s="92"/>
      <c r="AB76" s="92"/>
      <c r="AC76" s="92"/>
      <c r="AD76" s="92"/>
      <c r="AE76" s="71">
        <f t="shared" si="127"/>
        <v>0</v>
      </c>
      <c r="AF76" s="35"/>
      <c r="AG76" s="21"/>
      <c r="AH76" s="70">
        <f t="shared" si="182"/>
        <v>0</v>
      </c>
      <c r="AI76" s="71">
        <f t="shared" si="183"/>
        <v>0</v>
      </c>
      <c r="AK76" s="26"/>
    </row>
    <row r="77" spans="1:66" ht="15" customHeight="1" x14ac:dyDescent="0.4">
      <c r="A77" s="50"/>
      <c r="B77" s="73"/>
      <c r="C77" s="74" t="str">
        <f>IF($C$2="AV",C80,IF($C$2="Mgmt",C78,IF($C$2="Mgmt (Adj)",C79)))</f>
        <v>plan (AV)</v>
      </c>
      <c r="D77" s="75"/>
      <c r="E77" s="39">
        <f t="shared" ref="E77:H77" si="184">IF($C$2="AV",E80,IF($C$2="Mgmt",E78,IF($C$2="Mgmt (Adj)",E79)))</f>
        <v>0</v>
      </c>
      <c r="F77" s="40">
        <f t="shared" si="184"/>
        <v>0</v>
      </c>
      <c r="G77" s="40">
        <f t="shared" si="184"/>
        <v>0</v>
      </c>
      <c r="H77" s="40">
        <f t="shared" si="184"/>
        <v>0</v>
      </c>
      <c r="I77" s="40">
        <f t="shared" ref="I77:J77" si="185">IF($C$2="AV",I80,IF($C$2="Mgmt",I78,IF($C$2="Mgmt (Adj)",I79)))</f>
        <v>0</v>
      </c>
      <c r="J77" s="40">
        <f t="shared" si="185"/>
        <v>0</v>
      </c>
      <c r="K77" s="40">
        <f t="shared" ref="K77" si="186">IF($C$2="AV",K80,IF($C$2="Mgmt",K78,IF($C$2="Mgmt (Adj)",K79)))</f>
        <v>0</v>
      </c>
      <c r="L77" s="40">
        <f t="shared" ref="L77" si="187">IF($C$2="AV",L80,IF($C$2="Mgmt",L78,IF($C$2="Mgmt (Adj)",L79)))</f>
        <v>0</v>
      </c>
      <c r="M77" s="40">
        <f t="shared" ref="M77:N77" si="188">IF($C$2="AV",M80,IF($C$2="Mgmt",M78,IF($C$2="Mgmt (Adj)",M79)))</f>
        <v>0</v>
      </c>
      <c r="N77" s="40">
        <f t="shared" si="188"/>
        <v>0</v>
      </c>
      <c r="O77" s="40">
        <f>IF($C$2="AV",O80,IF($C$2="Mgmt",O78,IF($C$2="Mgmt (Adj)",O79)))</f>
        <v>0</v>
      </c>
      <c r="P77" s="40">
        <f>IF($C$2="AV",P80,IF($C$2="Mgmt",P78,IF($C$2="Mgmt (Adj)",P79)))</f>
        <v>0</v>
      </c>
      <c r="Q77" s="261">
        <f t="shared" si="172"/>
        <v>0</v>
      </c>
      <c r="R77" s="56"/>
      <c r="S77" s="39">
        <f>IF($C$2="AV",S80,IF($C$2="Mgmt",S78,IF($C$2="Mgmt (Adj)",S79)))</f>
        <v>0</v>
      </c>
      <c r="T77" s="39">
        <f>IF($C$2="AV",T80,IF($C$2="Mgmt",T78,IF($C$2="Mgmt (Adj)",T79)))</f>
        <v>0</v>
      </c>
      <c r="U77" s="39">
        <f>IF($C$2="AV",U80,IF($C$2="Mgmt",U78,IF($C$2="Mgmt (Adj)",U79)))</f>
        <v>0</v>
      </c>
      <c r="V77" s="40">
        <f t="shared" ref="V77:AD77" si="189">IF($C$2="AV",V80,IF($C$2="Mgmt",V78,IF($C$2="Mgmt (Adj)",V79)))</f>
        <v>0</v>
      </c>
      <c r="W77" s="40">
        <f t="shared" si="189"/>
        <v>0</v>
      </c>
      <c r="X77" s="40">
        <f t="shared" si="189"/>
        <v>0</v>
      </c>
      <c r="Y77" s="40">
        <f t="shared" si="189"/>
        <v>0</v>
      </c>
      <c r="Z77" s="40">
        <f t="shared" si="189"/>
        <v>0</v>
      </c>
      <c r="AA77" s="40">
        <f t="shared" si="189"/>
        <v>0</v>
      </c>
      <c r="AB77" s="40">
        <f t="shared" si="189"/>
        <v>0</v>
      </c>
      <c r="AC77" s="40">
        <f t="shared" si="189"/>
        <v>0</v>
      </c>
      <c r="AD77" s="40">
        <f t="shared" si="189"/>
        <v>0</v>
      </c>
      <c r="AE77" s="55">
        <f t="shared" si="127"/>
        <v>0</v>
      </c>
      <c r="AF77" s="56"/>
      <c r="AG77" s="58"/>
      <c r="AH77" s="59">
        <f t="shared" si="182"/>
        <v>0</v>
      </c>
      <c r="AI77" s="55">
        <f t="shared" si="183"/>
        <v>0</v>
      </c>
      <c r="AJ77" s="50"/>
      <c r="AK77" s="78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</row>
    <row r="78" spans="1:66" ht="15.75" hidden="1" customHeight="1" outlineLevel="1" x14ac:dyDescent="0.4">
      <c r="A78" s="79"/>
      <c r="B78" s="80"/>
      <c r="C78" s="81" t="s">
        <v>44</v>
      </c>
      <c r="D78" s="102"/>
      <c r="E78" s="103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268">
        <f t="shared" si="172"/>
        <v>0</v>
      </c>
      <c r="R78" s="104"/>
      <c r="S78" s="103"/>
      <c r="T78" s="103"/>
      <c r="U78" s="103"/>
      <c r="V78" s="84"/>
      <c r="W78" s="84"/>
      <c r="X78" s="84"/>
      <c r="Y78" s="84"/>
      <c r="Z78" s="84"/>
      <c r="AA78" s="84"/>
      <c r="AB78" s="84"/>
      <c r="AC78" s="84"/>
      <c r="AD78" s="84"/>
      <c r="AE78" s="85">
        <f t="shared" si="127"/>
        <v>0</v>
      </c>
      <c r="AF78" s="104"/>
      <c r="AG78" s="88"/>
      <c r="AH78" s="89">
        <f t="shared" si="182"/>
        <v>0</v>
      </c>
      <c r="AI78" s="85">
        <f t="shared" si="183"/>
        <v>0</v>
      </c>
      <c r="AJ78" s="79"/>
      <c r="AK78" s="97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</row>
    <row r="79" spans="1:66" ht="15.75" hidden="1" customHeight="1" outlineLevel="1" x14ac:dyDescent="0.4">
      <c r="A79" s="79"/>
      <c r="B79" s="80"/>
      <c r="C79" s="81" t="s">
        <v>45</v>
      </c>
      <c r="D79" s="102"/>
      <c r="E79" s="103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268">
        <f t="shared" si="172"/>
        <v>0</v>
      </c>
      <c r="R79" s="104"/>
      <c r="S79" s="103"/>
      <c r="T79" s="103"/>
      <c r="U79" s="103"/>
      <c r="V79" s="84"/>
      <c r="W79" s="84"/>
      <c r="X79" s="84"/>
      <c r="Y79" s="84"/>
      <c r="Z79" s="84"/>
      <c r="AA79" s="84"/>
      <c r="AB79" s="84"/>
      <c r="AC79" s="84"/>
      <c r="AD79" s="84"/>
      <c r="AE79" s="85">
        <f t="shared" si="127"/>
        <v>0</v>
      </c>
      <c r="AF79" s="104"/>
      <c r="AG79" s="88"/>
      <c r="AH79" s="89">
        <f t="shared" si="182"/>
        <v>0</v>
      </c>
      <c r="AI79" s="85">
        <f t="shared" si="183"/>
        <v>0</v>
      </c>
      <c r="AJ79" s="79"/>
      <c r="AK79" s="97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</row>
    <row r="80" spans="1:66" ht="15.75" hidden="1" customHeight="1" outlineLevel="1" x14ac:dyDescent="0.4">
      <c r="A80" s="79"/>
      <c r="B80" s="80"/>
      <c r="C80" s="81" t="s">
        <v>46</v>
      </c>
      <c r="D80" s="102"/>
      <c r="E80" s="103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268">
        <f t="shared" si="172"/>
        <v>0</v>
      </c>
      <c r="R80" s="104"/>
      <c r="S80" s="103"/>
      <c r="T80" s="103"/>
      <c r="U80" s="103"/>
      <c r="V80" s="84"/>
      <c r="W80" s="84"/>
      <c r="X80" s="84"/>
      <c r="Y80" s="84"/>
      <c r="Z80" s="84"/>
      <c r="AA80" s="84"/>
      <c r="AB80" s="84"/>
      <c r="AC80" s="84"/>
      <c r="AD80" s="84"/>
      <c r="AE80" s="85">
        <f t="shared" si="127"/>
        <v>0</v>
      </c>
      <c r="AF80" s="104"/>
      <c r="AG80" s="88"/>
      <c r="AH80" s="89">
        <f t="shared" si="182"/>
        <v>0</v>
      </c>
      <c r="AI80" s="85">
        <f t="shared" si="183"/>
        <v>0</v>
      </c>
      <c r="AJ80" s="79"/>
      <c r="AK80" s="97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</row>
    <row r="81" spans="1:66" ht="15" customHeight="1" collapsed="1" x14ac:dyDescent="0.4">
      <c r="B81" s="114"/>
      <c r="C81" s="115"/>
      <c r="D81" s="38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272"/>
      <c r="R81" s="35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18"/>
      <c r="AF81" s="35"/>
      <c r="AG81" s="21"/>
      <c r="AH81" s="119">
        <f t="shared" si="182"/>
        <v>0</v>
      </c>
      <c r="AI81" s="118">
        <f t="shared" si="183"/>
        <v>0</v>
      </c>
      <c r="AK81" s="26"/>
    </row>
    <row r="82" spans="1:66" ht="15.75" customHeight="1" x14ac:dyDescent="0.4">
      <c r="B82" s="43" t="s">
        <v>59</v>
      </c>
      <c r="C82" s="44" t="s">
        <v>41</v>
      </c>
      <c r="D82" s="38"/>
      <c r="E82" s="131">
        <f>E30+E51</f>
        <v>5853.3658212590908</v>
      </c>
      <c r="F82" s="132">
        <f t="shared" ref="F82:H82" si="190">F30+F51</f>
        <v>-4949.1226416930322</v>
      </c>
      <c r="G82" s="132">
        <f t="shared" si="190"/>
        <v>15050.250476449764</v>
      </c>
      <c r="H82" s="132">
        <f t="shared" si="190"/>
        <v>-4924.3588347399937</v>
      </c>
      <c r="I82" s="132">
        <f t="shared" ref="I82:J82" si="191">I30+I51</f>
        <v>45083.062095440342</v>
      </c>
      <c r="J82" s="132">
        <f t="shared" si="191"/>
        <v>5101.8234537398148</v>
      </c>
      <c r="K82" s="132">
        <f t="shared" ref="K82" si="192">K30+K51</f>
        <v>5100</v>
      </c>
      <c r="L82" s="132">
        <f t="shared" ref="L82" si="193">L30+L51</f>
        <v>10000.002722940775</v>
      </c>
      <c r="M82" s="132">
        <f t="shared" ref="M82:N82" si="194">M30+M51</f>
        <v>37200</v>
      </c>
      <c r="N82" s="132">
        <f t="shared" si="194"/>
        <v>-9336.1421177888751</v>
      </c>
      <c r="O82" s="132">
        <f>O30+O51</f>
        <v>8400.435611216988</v>
      </c>
      <c r="P82" s="132">
        <f>P30+P51</f>
        <v>286919.48725016165</v>
      </c>
      <c r="Q82" s="270">
        <f>SUM(E82:P82)</f>
        <v>399498.80383698654</v>
      </c>
      <c r="R82" s="35"/>
      <c r="S82" s="131">
        <f>S30+S51</f>
        <v>9412.8015250099306</v>
      </c>
      <c r="T82" s="131">
        <f>T30+T51</f>
        <v>9412.8015250099324</v>
      </c>
      <c r="U82" s="131">
        <f>U30+U51</f>
        <v>395162.7974409138</v>
      </c>
      <c r="V82" s="132">
        <f t="shared" ref="V82:AD82" si="195">V30+V51</f>
        <v>0</v>
      </c>
      <c r="W82" s="132">
        <f t="shared" si="195"/>
        <v>0</v>
      </c>
      <c r="X82" s="132">
        <f t="shared" si="195"/>
        <v>0</v>
      </c>
      <c r="Y82" s="132">
        <f t="shared" si="195"/>
        <v>0</v>
      </c>
      <c r="Z82" s="132">
        <f t="shared" si="195"/>
        <v>0</v>
      </c>
      <c r="AA82" s="132">
        <f t="shared" si="195"/>
        <v>0</v>
      </c>
      <c r="AB82" s="132">
        <f t="shared" si="195"/>
        <v>0</v>
      </c>
      <c r="AC82" s="132">
        <f t="shared" si="195"/>
        <v>0</v>
      </c>
      <c r="AD82" s="132">
        <f t="shared" si="195"/>
        <v>0</v>
      </c>
      <c r="AE82" s="48">
        <f>SUM(S82:AD82)</f>
        <v>413988.40049093368</v>
      </c>
      <c r="AF82" s="35"/>
      <c r="AG82" s="21"/>
      <c r="AH82" s="49">
        <f t="shared" si="182"/>
        <v>9412.8015250099306</v>
      </c>
      <c r="AI82" s="48">
        <f t="shared" si="183"/>
        <v>9412.8015250099306</v>
      </c>
      <c r="AK82" s="26"/>
    </row>
    <row r="83" spans="1:66" ht="15.75" customHeight="1" x14ac:dyDescent="0.4">
      <c r="A83" s="50"/>
      <c r="B83" s="61"/>
      <c r="C83" s="62" t="str">
        <f>IF($C$2="AV",C86,IF($C$2="Mgmt",C84,IF($C$2="Mgmt (Adj)",C85)))</f>
        <v>plan (AV)</v>
      </c>
      <c r="D83" s="53"/>
      <c r="E83" s="63">
        <f t="shared" ref="E83:H83" si="196">IF($C$2="AV",E86,IF($C$2="Mgmt",E84,IF($C$2="Mgmt (Adj)",E85)))</f>
        <v>0</v>
      </c>
      <c r="F83" s="40">
        <f t="shared" si="196"/>
        <v>0</v>
      </c>
      <c r="G83" s="40">
        <f t="shared" si="196"/>
        <v>0</v>
      </c>
      <c r="H83" s="40">
        <f t="shared" si="196"/>
        <v>0</v>
      </c>
      <c r="I83" s="40">
        <f t="shared" ref="I83:J83" si="197">IF($C$2="AV",I86,IF($C$2="Mgmt",I84,IF($C$2="Mgmt (Adj)",I85)))</f>
        <v>0</v>
      </c>
      <c r="J83" s="40">
        <f t="shared" si="197"/>
        <v>0</v>
      </c>
      <c r="K83" s="40">
        <f t="shared" ref="K83" si="198">IF($C$2="AV",K86,IF($C$2="Mgmt",K84,IF($C$2="Mgmt (Adj)",K85)))</f>
        <v>0</v>
      </c>
      <c r="L83" s="40">
        <f t="shared" ref="L83" si="199">IF($C$2="AV",L86,IF($C$2="Mgmt",L84,IF($C$2="Mgmt (Adj)",L85)))</f>
        <v>0</v>
      </c>
      <c r="M83" s="40">
        <f t="shared" ref="M83:N83" si="200">IF($C$2="AV",M86,IF($C$2="Mgmt",M84,IF($C$2="Mgmt (Adj)",M85)))</f>
        <v>0</v>
      </c>
      <c r="N83" s="40">
        <f t="shared" si="200"/>
        <v>0</v>
      </c>
      <c r="O83" s="40">
        <f>IF($C$2="AV",O86,IF($C$2="Mgmt",O84,IF($C$2="Mgmt (Adj)",O85)))</f>
        <v>0</v>
      </c>
      <c r="P83" s="40">
        <f>IF($C$2="AV",P86,IF($C$2="Mgmt",P84,IF($C$2="Mgmt (Adj)",P85)))</f>
        <v>0</v>
      </c>
      <c r="Q83" s="261">
        <f>SUM(E83:P83)</f>
        <v>0</v>
      </c>
      <c r="R83" s="56"/>
      <c r="S83" s="63">
        <f>IF($C$2="AV",S86,IF($C$2="Mgmt",S84,IF($C$2="Mgmt (Adj)",S85)))</f>
        <v>0</v>
      </c>
      <c r="T83" s="63">
        <f>IF($C$2="AV",T86,IF($C$2="Mgmt",T84,IF($C$2="Mgmt (Adj)",T85)))</f>
        <v>0</v>
      </c>
      <c r="U83" s="63">
        <f>IF($C$2="AV",U86,IF($C$2="Mgmt",U84,IF($C$2="Mgmt (Adj)",U85)))</f>
        <v>0</v>
      </c>
      <c r="V83" s="40">
        <f t="shared" ref="V83:AD83" si="201">IF($C$2="AV",V86,IF($C$2="Mgmt",V84,IF($C$2="Mgmt (Adj)",V85)))</f>
        <v>0</v>
      </c>
      <c r="W83" s="40">
        <f t="shared" si="201"/>
        <v>0</v>
      </c>
      <c r="X83" s="40">
        <f t="shared" si="201"/>
        <v>0</v>
      </c>
      <c r="Y83" s="40">
        <f t="shared" si="201"/>
        <v>0</v>
      </c>
      <c r="Z83" s="40">
        <f t="shared" si="201"/>
        <v>0</v>
      </c>
      <c r="AA83" s="40">
        <f t="shared" si="201"/>
        <v>0</v>
      </c>
      <c r="AB83" s="40">
        <f t="shared" si="201"/>
        <v>0</v>
      </c>
      <c r="AC83" s="40">
        <f t="shared" si="201"/>
        <v>0</v>
      </c>
      <c r="AD83" s="40">
        <f t="shared" si="201"/>
        <v>0</v>
      </c>
      <c r="AE83" s="55">
        <f>SUM(S83:AD83)</f>
        <v>0</v>
      </c>
      <c r="AF83" s="56"/>
      <c r="AG83" s="58"/>
      <c r="AH83" s="59">
        <f t="shared" si="182"/>
        <v>0</v>
      </c>
      <c r="AI83" s="55">
        <f t="shared" si="183"/>
        <v>0</v>
      </c>
      <c r="AJ83" s="50"/>
      <c r="AK83" s="6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</row>
    <row r="84" spans="1:66" ht="15.75" hidden="1" customHeight="1" outlineLevel="1" x14ac:dyDescent="0.4">
      <c r="A84" s="50"/>
      <c r="B84" s="61"/>
      <c r="C84" s="62" t="s">
        <v>44</v>
      </c>
      <c r="D84" s="53"/>
      <c r="E84" s="63">
        <f t="shared" ref="E84:H86" si="202">E32+E53</f>
        <v>0</v>
      </c>
      <c r="F84" s="40">
        <f t="shared" si="202"/>
        <v>0</v>
      </c>
      <c r="G84" s="40">
        <f t="shared" si="202"/>
        <v>0</v>
      </c>
      <c r="H84" s="40">
        <f t="shared" si="202"/>
        <v>0</v>
      </c>
      <c r="I84" s="40">
        <f t="shared" ref="I84:J84" si="203">I32+I53</f>
        <v>0</v>
      </c>
      <c r="J84" s="40">
        <f t="shared" si="203"/>
        <v>0</v>
      </c>
      <c r="K84" s="40">
        <f t="shared" ref="K84" si="204">K32+K53</f>
        <v>0</v>
      </c>
      <c r="L84" s="40">
        <f t="shared" ref="L84" si="205">L32+L53</f>
        <v>0</v>
      </c>
      <c r="M84" s="40">
        <f t="shared" ref="M84:N84" si="206">M32+M53</f>
        <v>0</v>
      </c>
      <c r="N84" s="40">
        <f t="shared" si="206"/>
        <v>0</v>
      </c>
      <c r="O84" s="40">
        <f t="shared" ref="O84:P86" si="207">O32+O53</f>
        <v>0</v>
      </c>
      <c r="P84" s="40">
        <f t="shared" si="207"/>
        <v>0</v>
      </c>
      <c r="Q84" s="261">
        <f>SUM(E84:P84)</f>
        <v>0</v>
      </c>
      <c r="R84" s="56"/>
      <c r="S84" s="63">
        <f t="shared" ref="S84:T84" si="208">S32+S53</f>
        <v>0</v>
      </c>
      <c r="T84" s="63">
        <f t="shared" si="208"/>
        <v>0</v>
      </c>
      <c r="U84" s="63">
        <f t="shared" ref="U84" si="209">U32+U53</f>
        <v>0</v>
      </c>
      <c r="V84" s="40">
        <f t="shared" ref="V84:AD86" si="210">V32+V53</f>
        <v>0</v>
      </c>
      <c r="W84" s="40">
        <f t="shared" si="210"/>
        <v>0</v>
      </c>
      <c r="X84" s="40">
        <f t="shared" si="210"/>
        <v>0</v>
      </c>
      <c r="Y84" s="40">
        <f t="shared" si="210"/>
        <v>0</v>
      </c>
      <c r="Z84" s="40">
        <f t="shared" si="210"/>
        <v>0</v>
      </c>
      <c r="AA84" s="40">
        <f t="shared" si="210"/>
        <v>0</v>
      </c>
      <c r="AB84" s="40">
        <f t="shared" si="210"/>
        <v>0</v>
      </c>
      <c r="AC84" s="40">
        <f t="shared" si="210"/>
        <v>0</v>
      </c>
      <c r="AD84" s="40">
        <f t="shared" si="210"/>
        <v>0</v>
      </c>
      <c r="AE84" s="133">
        <f>SUM(S84:AD84)</f>
        <v>0</v>
      </c>
      <c r="AF84" s="56"/>
      <c r="AG84" s="58"/>
      <c r="AH84" s="134">
        <f t="shared" ref="AH84:AH86" si="211">SUMPRODUCT($S$6:$AD$6,S84:AD84)</f>
        <v>0</v>
      </c>
      <c r="AI84" s="133">
        <f t="shared" ref="AI84:AI118" si="212">SUMPRODUCT($S$5:$AD$5,S84:AD84)</f>
        <v>0</v>
      </c>
      <c r="AJ84" s="50"/>
      <c r="AK84" s="6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</row>
    <row r="85" spans="1:66" ht="15.75" hidden="1" customHeight="1" outlineLevel="1" x14ac:dyDescent="0.4">
      <c r="A85" s="50"/>
      <c r="B85" s="61"/>
      <c r="C85" s="62" t="s">
        <v>45</v>
      </c>
      <c r="D85" s="53"/>
      <c r="E85" s="63">
        <f t="shared" si="202"/>
        <v>0</v>
      </c>
      <c r="F85" s="40">
        <f t="shared" si="202"/>
        <v>0</v>
      </c>
      <c r="G85" s="40">
        <f t="shared" si="202"/>
        <v>0</v>
      </c>
      <c r="H85" s="40">
        <f t="shared" si="202"/>
        <v>0</v>
      </c>
      <c r="I85" s="40">
        <f t="shared" ref="I85:J85" si="213">I33+I54</f>
        <v>0</v>
      </c>
      <c r="J85" s="40">
        <f t="shared" si="213"/>
        <v>0</v>
      </c>
      <c r="K85" s="40">
        <f t="shared" ref="K85" si="214">K33+K54</f>
        <v>0</v>
      </c>
      <c r="L85" s="40">
        <f t="shared" ref="L85" si="215">L33+L54</f>
        <v>0</v>
      </c>
      <c r="M85" s="40">
        <f t="shared" ref="M85:N85" si="216">M33+M54</f>
        <v>0</v>
      </c>
      <c r="N85" s="40">
        <f t="shared" si="216"/>
        <v>0</v>
      </c>
      <c r="O85" s="40">
        <f t="shared" si="207"/>
        <v>0</v>
      </c>
      <c r="P85" s="40">
        <f t="shared" si="207"/>
        <v>0</v>
      </c>
      <c r="Q85" s="261">
        <f>SUM(E85:P85)</f>
        <v>0</v>
      </c>
      <c r="R85" s="56"/>
      <c r="S85" s="63">
        <f t="shared" ref="S85:T85" si="217">S33+S54</f>
        <v>0</v>
      </c>
      <c r="T85" s="63">
        <f t="shared" si="217"/>
        <v>0</v>
      </c>
      <c r="U85" s="63">
        <f t="shared" ref="U85" si="218">U33+U54</f>
        <v>0</v>
      </c>
      <c r="V85" s="40">
        <f t="shared" si="210"/>
        <v>0</v>
      </c>
      <c r="W85" s="40">
        <f t="shared" si="210"/>
        <v>0</v>
      </c>
      <c r="X85" s="40">
        <f t="shared" si="210"/>
        <v>0</v>
      </c>
      <c r="Y85" s="40">
        <f t="shared" si="210"/>
        <v>0</v>
      </c>
      <c r="Z85" s="40">
        <f t="shared" si="210"/>
        <v>0</v>
      </c>
      <c r="AA85" s="40">
        <f t="shared" si="210"/>
        <v>0</v>
      </c>
      <c r="AB85" s="40">
        <f t="shared" si="210"/>
        <v>0</v>
      </c>
      <c r="AC85" s="40">
        <f t="shared" si="210"/>
        <v>0</v>
      </c>
      <c r="AD85" s="40">
        <f t="shared" si="210"/>
        <v>0</v>
      </c>
      <c r="AE85" s="133">
        <f>SUM(S85:AD85)</f>
        <v>0</v>
      </c>
      <c r="AF85" s="56"/>
      <c r="AG85" s="58"/>
      <c r="AH85" s="134">
        <f t="shared" si="211"/>
        <v>0</v>
      </c>
      <c r="AI85" s="133">
        <f t="shared" si="212"/>
        <v>0</v>
      </c>
      <c r="AJ85" s="50"/>
      <c r="AK85" s="6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</row>
    <row r="86" spans="1:66" ht="15.75" hidden="1" customHeight="1" outlineLevel="1" x14ac:dyDescent="0.4">
      <c r="A86" s="50"/>
      <c r="B86" s="61"/>
      <c r="C86" s="52" t="s">
        <v>46</v>
      </c>
      <c r="D86" s="53"/>
      <c r="E86" s="63">
        <f t="shared" si="202"/>
        <v>0</v>
      </c>
      <c r="F86" s="40">
        <f t="shared" si="202"/>
        <v>0</v>
      </c>
      <c r="G86" s="40">
        <f t="shared" si="202"/>
        <v>0</v>
      </c>
      <c r="H86" s="40">
        <f t="shared" si="202"/>
        <v>0</v>
      </c>
      <c r="I86" s="40">
        <f t="shared" ref="I86:J86" si="219">I34+I55</f>
        <v>0</v>
      </c>
      <c r="J86" s="40">
        <f t="shared" si="219"/>
        <v>0</v>
      </c>
      <c r="K86" s="40">
        <f t="shared" ref="K86" si="220">K34+K55</f>
        <v>0</v>
      </c>
      <c r="L86" s="40">
        <f t="shared" ref="L86" si="221">L34+L55</f>
        <v>0</v>
      </c>
      <c r="M86" s="40">
        <f t="shared" ref="M86:N86" si="222">M34+M55</f>
        <v>0</v>
      </c>
      <c r="N86" s="40">
        <f t="shared" si="222"/>
        <v>0</v>
      </c>
      <c r="O86" s="40">
        <f t="shared" si="207"/>
        <v>0</v>
      </c>
      <c r="P86" s="40">
        <f t="shared" si="207"/>
        <v>0</v>
      </c>
      <c r="Q86" s="261">
        <f>SUM(E86:P86)</f>
        <v>0</v>
      </c>
      <c r="R86" s="56"/>
      <c r="S86" s="63">
        <f t="shared" ref="S86:T86" si="223">S34+S55</f>
        <v>0</v>
      </c>
      <c r="T86" s="63">
        <f t="shared" si="223"/>
        <v>0</v>
      </c>
      <c r="U86" s="63">
        <f t="shared" ref="U86" si="224">U34+U55</f>
        <v>0</v>
      </c>
      <c r="V86" s="40">
        <f t="shared" si="210"/>
        <v>0</v>
      </c>
      <c r="W86" s="40">
        <f t="shared" si="210"/>
        <v>0</v>
      </c>
      <c r="X86" s="40">
        <f t="shared" si="210"/>
        <v>0</v>
      </c>
      <c r="Y86" s="40">
        <f t="shared" si="210"/>
        <v>0</v>
      </c>
      <c r="Z86" s="40">
        <f t="shared" si="210"/>
        <v>0</v>
      </c>
      <c r="AA86" s="40">
        <f t="shared" si="210"/>
        <v>0</v>
      </c>
      <c r="AB86" s="40">
        <f t="shared" si="210"/>
        <v>0</v>
      </c>
      <c r="AC86" s="40">
        <f t="shared" si="210"/>
        <v>0</v>
      </c>
      <c r="AD86" s="40">
        <f t="shared" si="210"/>
        <v>0</v>
      </c>
      <c r="AE86" s="133">
        <f>SUM(S86:AD86)</f>
        <v>0</v>
      </c>
      <c r="AF86" s="56"/>
      <c r="AG86" s="58"/>
      <c r="AH86" s="134">
        <f t="shared" si="211"/>
        <v>0</v>
      </c>
      <c r="AI86" s="133">
        <f t="shared" si="212"/>
        <v>0</v>
      </c>
      <c r="AJ86" s="50"/>
      <c r="AK86" s="60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</row>
    <row r="87" spans="1:66" ht="15.75" customHeight="1" collapsed="1" x14ac:dyDescent="0.4">
      <c r="B87" s="136" t="s">
        <v>60</v>
      </c>
      <c r="C87" s="137"/>
      <c r="D87" s="138"/>
      <c r="E87" s="139">
        <f t="shared" ref="E87:Q87" si="225">E82/E30</f>
        <v>0.3692222931668338</v>
      </c>
      <c r="F87" s="140">
        <f t="shared" si="225"/>
        <v>-0.9798804604145962</v>
      </c>
      <c r="G87" s="140">
        <f t="shared" si="225"/>
        <v>0.60080239479436748</v>
      </c>
      <c r="H87" s="140">
        <f t="shared" si="225"/>
        <v>-0.97019443936355121</v>
      </c>
      <c r="I87" s="140">
        <f t="shared" ref="I87:J87" si="226">I82/I30</f>
        <v>8.8692723498068542</v>
      </c>
      <c r="J87" s="140">
        <f t="shared" si="226"/>
        <v>1</v>
      </c>
      <c r="K87" s="140">
        <f t="shared" ref="K87" si="227">K82/K30</f>
        <v>1</v>
      </c>
      <c r="L87" s="140">
        <f t="shared" ref="L87" si="228">L82/L30</f>
        <v>1</v>
      </c>
      <c r="M87" s="140">
        <f t="shared" ref="M87:N87" si="229">M82/M30</f>
        <v>1</v>
      </c>
      <c r="N87" s="140">
        <f t="shared" si="229"/>
        <v>-15.560166247296221</v>
      </c>
      <c r="O87" s="140">
        <f>O82/O30</f>
        <v>0.72417548372560236</v>
      </c>
      <c r="P87" s="140">
        <f>P82/P30</f>
        <v>0.98767465798845155</v>
      </c>
      <c r="Q87" s="274">
        <f t="shared" si="225"/>
        <v>0.95983816357025808</v>
      </c>
      <c r="R87" s="142"/>
      <c r="S87" s="139">
        <f>S82/S30</f>
        <v>0.81144821685211144</v>
      </c>
      <c r="T87" s="139">
        <f>T82/T30</f>
        <v>0.81144821685211144</v>
      </c>
      <c r="U87" s="139">
        <f>U82/U30</f>
        <v>0.99449552987184275</v>
      </c>
      <c r="V87" s="140" t="e">
        <f t="shared" ref="V87:AE87" si="230">V82/V30</f>
        <v>#DIV/0!</v>
      </c>
      <c r="W87" s="140" t="e">
        <f t="shared" si="230"/>
        <v>#DIV/0!</v>
      </c>
      <c r="X87" s="140" t="e">
        <f t="shared" si="230"/>
        <v>#DIV/0!</v>
      </c>
      <c r="Y87" s="140" t="e">
        <f t="shared" si="230"/>
        <v>#DIV/0!</v>
      </c>
      <c r="Z87" s="140" t="e">
        <f t="shared" si="230"/>
        <v>#DIV/0!</v>
      </c>
      <c r="AA87" s="140" t="e">
        <f t="shared" si="230"/>
        <v>#DIV/0!</v>
      </c>
      <c r="AB87" s="140" t="e">
        <f t="shared" si="230"/>
        <v>#DIV/0!</v>
      </c>
      <c r="AC87" s="140" t="e">
        <f t="shared" si="230"/>
        <v>#DIV/0!</v>
      </c>
      <c r="AD87" s="140" t="e">
        <f t="shared" si="230"/>
        <v>#DIV/0!</v>
      </c>
      <c r="AE87" s="141">
        <f t="shared" si="230"/>
        <v>0.98439756621076957</v>
      </c>
      <c r="AF87" s="142"/>
      <c r="AG87" s="144"/>
      <c r="AH87" s="143">
        <f t="shared" ref="AH87:AI87" si="231">AH82/AH30</f>
        <v>0.81144821685211144</v>
      </c>
      <c r="AI87" s="141">
        <f t="shared" si="231"/>
        <v>0.81144821685211144</v>
      </c>
      <c r="AK87" s="26"/>
    </row>
    <row r="88" spans="1:66" ht="15.75" customHeight="1" x14ac:dyDescent="0.4">
      <c r="B88" s="29"/>
      <c r="C88" s="37"/>
      <c r="D88" s="38"/>
      <c r="E88" s="63">
        <f>E89-'[2]Detailed FS_$ Cons. (formating)'!BR112</f>
        <v>0</v>
      </c>
      <c r="F88" s="40">
        <f>F89-'[2]Detailed FS_$ Cons. (formating)'!BS112</f>
        <v>0</v>
      </c>
      <c r="G88" s="40">
        <f>G89-'[2]Detailed FS_$ Cons. (formating)'!BT112</f>
        <v>0</v>
      </c>
      <c r="H88" s="40">
        <f>H89-'[2]Detailed FS_$ Cons. (formating)'!BU112</f>
        <v>0</v>
      </c>
      <c r="I88" s="40">
        <f>I89-'[2]Detailed FS_$ Cons. (formating)'!BV112</f>
        <v>0</v>
      </c>
      <c r="J88" s="40">
        <f>J89-'[2]Detailed FS_$ Cons. (formating)'!BW112</f>
        <v>0</v>
      </c>
      <c r="K88" s="40">
        <f>K89-'[2]Detailed FS_$ Cons. (formating)'!BX112</f>
        <v>0</v>
      </c>
      <c r="L88" s="40">
        <f>L89-'[2]Detailed FS_$ Cons. (formating)'!BY112</f>
        <v>0</v>
      </c>
      <c r="M88" s="40">
        <f>M89-'[2]Detailed FS_$ Cons. (formating)'!BZ112</f>
        <v>0</v>
      </c>
      <c r="N88" s="40">
        <f>N89-'[2]Detailed FS_$ Cons. (formating)'!CA112</f>
        <v>0</v>
      </c>
      <c r="O88" s="40">
        <f>O89-'[2]Detailed FS_$ Cons. (formating)'!CB112</f>
        <v>0</v>
      </c>
      <c r="P88" s="40">
        <f>P89-'[2]Detailed FS_$ Cons. (formating)'!CC112</f>
        <v>0</v>
      </c>
      <c r="Q88" s="271"/>
      <c r="R88" s="35"/>
      <c r="S88" s="63">
        <f>S89-'[2]Detailed FS_$ Cons. (formating)'!CF112</f>
        <v>0</v>
      </c>
      <c r="T88" s="63">
        <f>T89-'[2]Detailed FS_$ Cons. (formating)'!CG112</f>
        <v>0</v>
      </c>
      <c r="U88" s="63">
        <f>U89-'[2]Detailed FS_$ Cons. (formating)'!CH112</f>
        <v>0</v>
      </c>
      <c r="V88" s="40"/>
      <c r="W88" s="40"/>
      <c r="X88" s="40"/>
      <c r="Y88" s="40"/>
      <c r="Z88" s="40"/>
      <c r="AA88" s="40"/>
      <c r="AB88" s="40"/>
      <c r="AC88" s="40"/>
      <c r="AD88" s="40"/>
      <c r="AE88" s="42"/>
      <c r="AF88" s="35"/>
      <c r="AG88" s="21"/>
      <c r="AH88" s="41"/>
      <c r="AI88" s="42">
        <f t="shared" si="212"/>
        <v>0</v>
      </c>
      <c r="AK88" s="26"/>
    </row>
    <row r="89" spans="1:66" ht="15.75" customHeight="1" x14ac:dyDescent="0.4">
      <c r="B89" s="43" t="s">
        <v>61</v>
      </c>
      <c r="C89" s="44" t="s">
        <v>41</v>
      </c>
      <c r="D89" s="29"/>
      <c r="E89" s="45">
        <f>E94+E99+E104+E114+E109</f>
        <v>206049.16106367245</v>
      </c>
      <c r="F89" s="46">
        <f t="shared" ref="F89:H89" si="232">F94+F99+F104+F114+F109</f>
        <v>249147.00684291718</v>
      </c>
      <c r="G89" s="46">
        <f t="shared" si="232"/>
        <v>251754.66449918158</v>
      </c>
      <c r="H89" s="46">
        <f t="shared" si="232"/>
        <v>248064.29373704805</v>
      </c>
      <c r="I89" s="46">
        <f t="shared" ref="I89:J89" si="233">I94+I99+I104+I114+I109</f>
        <v>337124.98734567827</v>
      </c>
      <c r="J89" s="46">
        <f t="shared" si="233"/>
        <v>229478.86212754942</v>
      </c>
      <c r="K89" s="46">
        <f t="shared" ref="K89" si="234">K94+K99+K104+K114+K109</f>
        <v>382120.28740453511</v>
      </c>
      <c r="L89" s="46">
        <f t="shared" ref="L89" si="235">L94+L99+L104+L114+L109</f>
        <v>258243.75707710156</v>
      </c>
      <c r="M89" s="46">
        <f t="shared" ref="M89:N89" si="236">M94+M99+M104+M114+M109</f>
        <v>244703.75726787082</v>
      </c>
      <c r="N89" s="46">
        <f t="shared" si="236"/>
        <v>258756.42181110912</v>
      </c>
      <c r="O89" s="46">
        <f>O94+O99+O104+O114+O109</f>
        <v>281687.34852328995</v>
      </c>
      <c r="P89" s="46">
        <f>P94+P99+P104+P114+P109</f>
        <v>318995.23589524435</v>
      </c>
      <c r="Q89" s="270">
        <f t="shared" ref="Q89:Q118" si="237">SUM(E89:P89)</f>
        <v>3266125.7835951978</v>
      </c>
      <c r="R89" s="35"/>
      <c r="S89" s="45">
        <f>S94+S99+S104+S114+S109</f>
        <v>375896.89579029701</v>
      </c>
      <c r="T89" s="45">
        <f>T94+T99+T104+T114+T109</f>
        <v>355785.82685200399</v>
      </c>
      <c r="U89" s="45">
        <f>U94+U99+U104+U114+U109</f>
        <v>330258.97723625455</v>
      </c>
      <c r="V89" s="46">
        <f t="shared" ref="V89:AD89" si="238">V94+V99+V104+V114+V109</f>
        <v>0</v>
      </c>
      <c r="W89" s="46">
        <f t="shared" si="238"/>
        <v>0</v>
      </c>
      <c r="X89" s="46">
        <f t="shared" si="238"/>
        <v>0</v>
      </c>
      <c r="Y89" s="46">
        <f t="shared" si="238"/>
        <v>0</v>
      </c>
      <c r="Z89" s="46">
        <f t="shared" si="238"/>
        <v>0</v>
      </c>
      <c r="AA89" s="46">
        <f t="shared" si="238"/>
        <v>0</v>
      </c>
      <c r="AB89" s="46">
        <f t="shared" si="238"/>
        <v>0</v>
      </c>
      <c r="AC89" s="46">
        <f t="shared" si="238"/>
        <v>0</v>
      </c>
      <c r="AD89" s="46">
        <f t="shared" si="238"/>
        <v>0</v>
      </c>
      <c r="AE89" s="48">
        <f t="shared" ref="AE89:AE118" si="239">SUM(S89:AD89)</f>
        <v>1061941.6998785555</v>
      </c>
      <c r="AF89" s="35"/>
      <c r="AG89" s="21"/>
      <c r="AH89" s="49">
        <f t="shared" ref="AH89:AH115" si="240">SUMPRODUCT($E$6:$AD$6,E89:AD89)</f>
        <v>375896.89579029701</v>
      </c>
      <c r="AI89" s="48">
        <f t="shared" ref="AI89:AI115" si="241">SUMPRODUCT($E$5:$AD$5,E89:AD89)</f>
        <v>375896.89579029701</v>
      </c>
      <c r="AK89" s="26"/>
    </row>
    <row r="90" spans="1:66" ht="15" customHeight="1" x14ac:dyDescent="0.4">
      <c r="A90" s="50"/>
      <c r="B90" s="61"/>
      <c r="C90" s="62" t="str">
        <f>IF($C$2="AV",C93,IF($C$2="Mgmt",C91,IF($C$2="Mgmt (Adj)",C92)))</f>
        <v>plan (AV)</v>
      </c>
      <c r="D90" s="75"/>
      <c r="E90" s="63">
        <f t="shared" ref="E90:H90" si="242">IF($C$2="AV",E93,IF($C$2="Mgmt",E91,IF($C$2="Mgmt (Adj)",E92)))</f>
        <v>0</v>
      </c>
      <c r="F90" s="40">
        <f t="shared" si="242"/>
        <v>0</v>
      </c>
      <c r="G90" s="40">
        <f t="shared" si="242"/>
        <v>0</v>
      </c>
      <c r="H90" s="40">
        <f t="shared" si="242"/>
        <v>0</v>
      </c>
      <c r="I90" s="40">
        <f t="shared" ref="I90:J90" si="243">IF($C$2="AV",I93,IF($C$2="Mgmt",I91,IF($C$2="Mgmt (Adj)",I92)))</f>
        <v>0</v>
      </c>
      <c r="J90" s="40">
        <f t="shared" si="243"/>
        <v>0</v>
      </c>
      <c r="K90" s="40">
        <f t="shared" ref="K90" si="244">IF($C$2="AV",K93,IF($C$2="Mgmt",K91,IF($C$2="Mgmt (Adj)",K92)))</f>
        <v>0</v>
      </c>
      <c r="L90" s="40">
        <f t="shared" ref="L90" si="245">IF($C$2="AV",L93,IF($C$2="Mgmt",L91,IF($C$2="Mgmt (Adj)",L92)))</f>
        <v>0</v>
      </c>
      <c r="M90" s="40">
        <f t="shared" ref="M90:N90" si="246">IF($C$2="AV",M93,IF($C$2="Mgmt",M91,IF($C$2="Mgmt (Adj)",M92)))</f>
        <v>0</v>
      </c>
      <c r="N90" s="40">
        <f t="shared" si="246"/>
        <v>0</v>
      </c>
      <c r="O90" s="40">
        <f>IF($C$2="AV",O93,IF($C$2="Mgmt",O91,IF($C$2="Mgmt (Adj)",O92)))</f>
        <v>0</v>
      </c>
      <c r="P90" s="40">
        <f>IF($C$2="AV",P93,IF($C$2="Mgmt",P91,IF($C$2="Mgmt (Adj)",P92)))</f>
        <v>0</v>
      </c>
      <c r="Q90" s="261">
        <f t="shared" si="237"/>
        <v>0</v>
      </c>
      <c r="R90" s="56"/>
      <c r="S90" s="63">
        <f>IF($C$2="AV",S93,IF($C$2="Mgmt",S91,IF($C$2="Mgmt (Adj)",S92)))</f>
        <v>0</v>
      </c>
      <c r="T90" s="63">
        <f>IF($C$2="AV",T93,IF($C$2="Mgmt",T91,IF($C$2="Mgmt (Adj)",T92)))</f>
        <v>0</v>
      </c>
      <c r="U90" s="63">
        <f>IF($C$2="AV",U93,IF($C$2="Mgmt",U91,IF($C$2="Mgmt (Adj)",U92)))</f>
        <v>0</v>
      </c>
      <c r="V90" s="40">
        <f t="shared" ref="V90:AD90" si="247">IF($C$2="AV",V93,IF($C$2="Mgmt",V91,IF($C$2="Mgmt (Adj)",V92)))</f>
        <v>0</v>
      </c>
      <c r="W90" s="40">
        <f t="shared" si="247"/>
        <v>0</v>
      </c>
      <c r="X90" s="40">
        <f t="shared" si="247"/>
        <v>0</v>
      </c>
      <c r="Y90" s="40">
        <f t="shared" si="247"/>
        <v>0</v>
      </c>
      <c r="Z90" s="40">
        <f t="shared" si="247"/>
        <v>0</v>
      </c>
      <c r="AA90" s="40">
        <f t="shared" si="247"/>
        <v>0</v>
      </c>
      <c r="AB90" s="40">
        <f t="shared" si="247"/>
        <v>0</v>
      </c>
      <c r="AC90" s="40">
        <f t="shared" si="247"/>
        <v>0</v>
      </c>
      <c r="AD90" s="40">
        <f t="shared" si="247"/>
        <v>0</v>
      </c>
      <c r="AE90" s="55">
        <f t="shared" si="239"/>
        <v>0</v>
      </c>
      <c r="AF90" s="56"/>
      <c r="AG90" s="58"/>
      <c r="AH90" s="59">
        <f t="shared" si="240"/>
        <v>0</v>
      </c>
      <c r="AI90" s="55">
        <f t="shared" si="241"/>
        <v>0</v>
      </c>
      <c r="AJ90" s="50"/>
      <c r="AK90" s="6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</row>
    <row r="91" spans="1:66" ht="15.75" hidden="1" customHeight="1" outlineLevel="1" x14ac:dyDescent="0.4">
      <c r="A91" s="50"/>
      <c r="B91" s="61"/>
      <c r="C91" s="62" t="s">
        <v>44</v>
      </c>
      <c r="D91" s="75"/>
      <c r="E91" s="63">
        <f t="shared" ref="E91:H93" si="248">E96+E101+E106+E116</f>
        <v>0</v>
      </c>
      <c r="F91" s="40">
        <f t="shared" si="248"/>
        <v>0</v>
      </c>
      <c r="G91" s="40">
        <f t="shared" si="248"/>
        <v>0</v>
      </c>
      <c r="H91" s="40">
        <f t="shared" si="248"/>
        <v>0</v>
      </c>
      <c r="I91" s="40">
        <f t="shared" ref="I91:J91" si="249">I96+I101+I106+I116</f>
        <v>0</v>
      </c>
      <c r="J91" s="40">
        <f t="shared" si="249"/>
        <v>0</v>
      </c>
      <c r="K91" s="40">
        <f t="shared" ref="K91" si="250">K96+K101+K106+K116</f>
        <v>0</v>
      </c>
      <c r="L91" s="40">
        <f t="shared" ref="L91" si="251">L96+L101+L106+L116</f>
        <v>0</v>
      </c>
      <c r="M91" s="40">
        <f t="shared" ref="M91:N91" si="252">M96+M101+M106+M116</f>
        <v>0</v>
      </c>
      <c r="N91" s="40">
        <f t="shared" si="252"/>
        <v>0</v>
      </c>
      <c r="O91" s="40">
        <f t="shared" ref="O91:P93" si="253">O96+O101+O106+O116</f>
        <v>0</v>
      </c>
      <c r="P91" s="40">
        <f t="shared" si="253"/>
        <v>0</v>
      </c>
      <c r="Q91" s="261">
        <f t="shared" si="237"/>
        <v>0</v>
      </c>
      <c r="R91" s="56"/>
      <c r="S91" s="63">
        <f t="shared" ref="S91:T91" si="254">S96+S101+S106+S116</f>
        <v>0</v>
      </c>
      <c r="T91" s="63">
        <f t="shared" si="254"/>
        <v>0</v>
      </c>
      <c r="U91" s="63">
        <f t="shared" ref="U91" si="255">U96+U101+U106+U116</f>
        <v>0</v>
      </c>
      <c r="V91" s="40">
        <f t="shared" ref="V91:AD93" si="256">V96+V101+V106+V116</f>
        <v>0</v>
      </c>
      <c r="W91" s="40">
        <f t="shared" si="256"/>
        <v>0</v>
      </c>
      <c r="X91" s="40">
        <f t="shared" si="256"/>
        <v>0</v>
      </c>
      <c r="Y91" s="40">
        <f t="shared" si="256"/>
        <v>0</v>
      </c>
      <c r="Z91" s="40">
        <f t="shared" si="256"/>
        <v>0</v>
      </c>
      <c r="AA91" s="40">
        <f t="shared" si="256"/>
        <v>0</v>
      </c>
      <c r="AB91" s="40">
        <f t="shared" si="256"/>
        <v>0</v>
      </c>
      <c r="AC91" s="40">
        <f t="shared" si="256"/>
        <v>0</v>
      </c>
      <c r="AD91" s="40">
        <f t="shared" si="256"/>
        <v>0</v>
      </c>
      <c r="AE91" s="133">
        <f t="shared" si="239"/>
        <v>0</v>
      </c>
      <c r="AF91" s="56"/>
      <c r="AG91" s="58"/>
      <c r="AH91" s="134">
        <f t="shared" si="240"/>
        <v>0</v>
      </c>
      <c r="AI91" s="133">
        <f t="shared" si="241"/>
        <v>0</v>
      </c>
      <c r="AJ91" s="50"/>
      <c r="AK91" s="6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</row>
    <row r="92" spans="1:66" ht="15.75" hidden="1" customHeight="1" outlineLevel="1" x14ac:dyDescent="0.4">
      <c r="A92" s="50"/>
      <c r="B92" s="61"/>
      <c r="C92" s="62" t="s">
        <v>45</v>
      </c>
      <c r="D92" s="75"/>
      <c r="E92" s="63">
        <f t="shared" si="248"/>
        <v>0</v>
      </c>
      <c r="F92" s="40">
        <f t="shared" si="248"/>
        <v>0</v>
      </c>
      <c r="G92" s="40">
        <f t="shared" si="248"/>
        <v>0</v>
      </c>
      <c r="H92" s="40">
        <f t="shared" si="248"/>
        <v>0</v>
      </c>
      <c r="I92" s="40">
        <f t="shared" ref="I92:J92" si="257">I97+I102+I107+I117</f>
        <v>0</v>
      </c>
      <c r="J92" s="40">
        <f t="shared" si="257"/>
        <v>0</v>
      </c>
      <c r="K92" s="40">
        <f t="shared" ref="K92" si="258">K97+K102+K107+K117</f>
        <v>0</v>
      </c>
      <c r="L92" s="40">
        <f t="shared" ref="L92" si="259">L97+L102+L107+L117</f>
        <v>0</v>
      </c>
      <c r="M92" s="40">
        <f t="shared" ref="M92:N92" si="260">M97+M102+M107+M117</f>
        <v>0</v>
      </c>
      <c r="N92" s="40">
        <f t="shared" si="260"/>
        <v>0</v>
      </c>
      <c r="O92" s="40">
        <f t="shared" si="253"/>
        <v>0</v>
      </c>
      <c r="P92" s="40">
        <f t="shared" si="253"/>
        <v>0</v>
      </c>
      <c r="Q92" s="261">
        <f t="shared" si="237"/>
        <v>0</v>
      </c>
      <c r="R92" s="56"/>
      <c r="S92" s="63">
        <f t="shared" ref="S92:T92" si="261">S97+S102+S107+S117</f>
        <v>0</v>
      </c>
      <c r="T92" s="63">
        <f t="shared" si="261"/>
        <v>0</v>
      </c>
      <c r="U92" s="63">
        <f t="shared" ref="U92" si="262">U97+U102+U107+U117</f>
        <v>0</v>
      </c>
      <c r="V92" s="40">
        <f t="shared" si="256"/>
        <v>0</v>
      </c>
      <c r="W92" s="40">
        <f t="shared" si="256"/>
        <v>0</v>
      </c>
      <c r="X92" s="40">
        <f t="shared" si="256"/>
        <v>0</v>
      </c>
      <c r="Y92" s="40">
        <f t="shared" si="256"/>
        <v>0</v>
      </c>
      <c r="Z92" s="40">
        <f t="shared" si="256"/>
        <v>0</v>
      </c>
      <c r="AA92" s="40">
        <f t="shared" si="256"/>
        <v>0</v>
      </c>
      <c r="AB92" s="40">
        <f t="shared" si="256"/>
        <v>0</v>
      </c>
      <c r="AC92" s="40">
        <f t="shared" si="256"/>
        <v>0</v>
      </c>
      <c r="AD92" s="40">
        <f t="shared" si="256"/>
        <v>0</v>
      </c>
      <c r="AE92" s="133">
        <f t="shared" si="239"/>
        <v>0</v>
      </c>
      <c r="AF92" s="56"/>
      <c r="AG92" s="58"/>
      <c r="AH92" s="134">
        <f t="shared" si="240"/>
        <v>0</v>
      </c>
      <c r="AI92" s="133">
        <f t="shared" si="241"/>
        <v>0</v>
      </c>
      <c r="AJ92" s="50"/>
      <c r="AK92" s="6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</row>
    <row r="93" spans="1:66" ht="15.75" hidden="1" customHeight="1" outlineLevel="1" x14ac:dyDescent="0.4">
      <c r="A93" s="50"/>
      <c r="B93" s="61"/>
      <c r="C93" s="62" t="s">
        <v>46</v>
      </c>
      <c r="D93" s="75"/>
      <c r="E93" s="63">
        <f t="shared" si="248"/>
        <v>0</v>
      </c>
      <c r="F93" s="40">
        <f t="shared" si="248"/>
        <v>0</v>
      </c>
      <c r="G93" s="40">
        <f t="shared" si="248"/>
        <v>0</v>
      </c>
      <c r="H93" s="40">
        <f t="shared" si="248"/>
        <v>0</v>
      </c>
      <c r="I93" s="40">
        <f t="shared" ref="I93:J93" si="263">I98+I103+I108+I118</f>
        <v>0</v>
      </c>
      <c r="J93" s="40">
        <f t="shared" si="263"/>
        <v>0</v>
      </c>
      <c r="K93" s="40">
        <f t="shared" ref="K93" si="264">K98+K103+K108+K118</f>
        <v>0</v>
      </c>
      <c r="L93" s="40">
        <f t="shared" ref="L93" si="265">L98+L103+L108+L118</f>
        <v>0</v>
      </c>
      <c r="M93" s="40">
        <f t="shared" ref="M93:N93" si="266">M98+M103+M108+M118</f>
        <v>0</v>
      </c>
      <c r="N93" s="40">
        <f t="shared" si="266"/>
        <v>0</v>
      </c>
      <c r="O93" s="40">
        <f t="shared" si="253"/>
        <v>0</v>
      </c>
      <c r="P93" s="40">
        <f t="shared" si="253"/>
        <v>0</v>
      </c>
      <c r="Q93" s="261">
        <f t="shared" si="237"/>
        <v>0</v>
      </c>
      <c r="R93" s="56"/>
      <c r="S93" s="63">
        <f t="shared" ref="S93:T93" si="267">S98+S103+S108+S118</f>
        <v>0</v>
      </c>
      <c r="T93" s="63">
        <f t="shared" si="267"/>
        <v>0</v>
      </c>
      <c r="U93" s="63">
        <f t="shared" ref="U93" si="268">U98+U103+U108+U118</f>
        <v>0</v>
      </c>
      <c r="V93" s="40">
        <f t="shared" si="256"/>
        <v>0</v>
      </c>
      <c r="W93" s="40">
        <f t="shared" si="256"/>
        <v>0</v>
      </c>
      <c r="X93" s="40">
        <f t="shared" si="256"/>
        <v>0</v>
      </c>
      <c r="Y93" s="40">
        <f t="shared" si="256"/>
        <v>0</v>
      </c>
      <c r="Z93" s="40">
        <f t="shared" si="256"/>
        <v>0</v>
      </c>
      <c r="AA93" s="40">
        <f t="shared" si="256"/>
        <v>0</v>
      </c>
      <c r="AB93" s="40">
        <f t="shared" si="256"/>
        <v>0</v>
      </c>
      <c r="AC93" s="40">
        <f t="shared" si="256"/>
        <v>0</v>
      </c>
      <c r="AD93" s="40">
        <f t="shared" si="256"/>
        <v>0</v>
      </c>
      <c r="AE93" s="133">
        <f t="shared" si="239"/>
        <v>0</v>
      </c>
      <c r="AF93" s="56"/>
      <c r="AG93" s="58"/>
      <c r="AH93" s="134">
        <f t="shared" si="240"/>
        <v>0</v>
      </c>
      <c r="AI93" s="133">
        <f t="shared" si="241"/>
        <v>0</v>
      </c>
      <c r="AJ93" s="50"/>
      <c r="AK93" s="6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</row>
    <row r="94" spans="1:66" ht="15.75" customHeight="1" collapsed="1" x14ac:dyDescent="0.4">
      <c r="B94" s="65" t="s">
        <v>62</v>
      </c>
      <c r="C94" s="66" t="s">
        <v>41</v>
      </c>
      <c r="D94" s="29"/>
      <c r="E94" s="91">
        <f>'[3]P&amp;L breakdown'!D10</f>
        <v>150024.29689270773</v>
      </c>
      <c r="F94" s="92">
        <f>'[3]P&amp;L breakdown'!E10</f>
        <v>136851.59325183523</v>
      </c>
      <c r="G94" s="92">
        <f>'[3]P&amp;L breakdown'!F10</f>
        <v>157346.77507437029</v>
      </c>
      <c r="H94" s="92">
        <f>'[3]P&amp;L breakdown'!G10</f>
        <v>164871.86613021573</v>
      </c>
      <c r="I94" s="92">
        <f>'[3]P&amp;L breakdown'!H10</f>
        <v>257134.50334809895</v>
      </c>
      <c r="J94" s="92">
        <f>'[3]P&amp;L breakdown'!I10</f>
        <v>184000.86740236328</v>
      </c>
      <c r="K94" s="92">
        <f>'[3]P&amp;L breakdown'!J10</f>
        <v>327097.7190170479</v>
      </c>
      <c r="L94" s="92">
        <f>'[3]P&amp;L breakdown'!K10</f>
        <v>194164.90102518024</v>
      </c>
      <c r="M94" s="92">
        <f>'[3]P&amp;L breakdown'!L10</f>
        <v>188933.48947038705</v>
      </c>
      <c r="N94" s="92">
        <f>'[3]P&amp;L breakdown'!M10</f>
        <v>209186.44420292779</v>
      </c>
      <c r="O94" s="92">
        <f>'[3]P&amp;L breakdown'!N10</f>
        <v>221283.53688096281</v>
      </c>
      <c r="P94" s="92">
        <f>'[3]P&amp;L breakdown'!O10</f>
        <v>247847.85192697943</v>
      </c>
      <c r="Q94" s="273">
        <f t="shared" si="237"/>
        <v>2438743.8446230767</v>
      </c>
      <c r="R94" s="35"/>
      <c r="S94" s="91">
        <f>'[3]P&amp;L breakdown'!R10</f>
        <v>246017.41653176848</v>
      </c>
      <c r="T94" s="91">
        <f>'[3]P&amp;L breakdown'!S10</f>
        <v>273355.78552805516</v>
      </c>
      <c r="U94" s="91">
        <f>'[3]P&amp;L breakdown'!T10</f>
        <v>233309.11577070542</v>
      </c>
      <c r="V94" s="92"/>
      <c r="W94" s="92"/>
      <c r="X94" s="92"/>
      <c r="Y94" s="92"/>
      <c r="Z94" s="92"/>
      <c r="AA94" s="92"/>
      <c r="AB94" s="92"/>
      <c r="AC94" s="92"/>
      <c r="AD94" s="92"/>
      <c r="AE94" s="71">
        <f t="shared" si="239"/>
        <v>752682.31783052906</v>
      </c>
      <c r="AF94" s="35"/>
      <c r="AG94" s="21"/>
      <c r="AH94" s="70">
        <f t="shared" si="240"/>
        <v>246017.41653176848</v>
      </c>
      <c r="AI94" s="71">
        <f t="shared" si="241"/>
        <v>246017.41653176848</v>
      </c>
      <c r="AK94" s="72"/>
    </row>
    <row r="95" spans="1:66" ht="15" customHeight="1" x14ac:dyDescent="0.4">
      <c r="A95" s="50"/>
      <c r="B95" s="73"/>
      <c r="C95" s="74" t="str">
        <f>IF($C$2="AV",C98,IF($C$2="Mgmt",C96,IF($C$2="Mgmt (Adj)",C97)))</f>
        <v>plan (AV)</v>
      </c>
      <c r="D95" s="53"/>
      <c r="E95" s="63">
        <f t="shared" ref="E95:H95" si="269">IF($C$2="AV",E98,IF($C$2="Mgmt",E96,IF($C$2="Mgmt (Adj)",E97)))</f>
        <v>0</v>
      </c>
      <c r="F95" s="40">
        <f t="shared" si="269"/>
        <v>0</v>
      </c>
      <c r="G95" s="40">
        <f t="shared" si="269"/>
        <v>0</v>
      </c>
      <c r="H95" s="40">
        <f t="shared" si="269"/>
        <v>0</v>
      </c>
      <c r="I95" s="40">
        <f t="shared" ref="I95:J95" si="270">IF($C$2="AV",I98,IF($C$2="Mgmt",I96,IF($C$2="Mgmt (Adj)",I97)))</f>
        <v>0</v>
      </c>
      <c r="J95" s="40">
        <f t="shared" si="270"/>
        <v>0</v>
      </c>
      <c r="K95" s="40">
        <f t="shared" ref="K95" si="271">IF($C$2="AV",K98,IF($C$2="Mgmt",K96,IF($C$2="Mgmt (Adj)",K97)))</f>
        <v>0</v>
      </c>
      <c r="L95" s="40">
        <f t="shared" ref="L95" si="272">IF($C$2="AV",L98,IF($C$2="Mgmt",L96,IF($C$2="Mgmt (Adj)",L97)))</f>
        <v>0</v>
      </c>
      <c r="M95" s="40">
        <f t="shared" ref="M95:N95" si="273">IF($C$2="AV",M98,IF($C$2="Mgmt",M96,IF($C$2="Mgmt (Adj)",M97)))</f>
        <v>0</v>
      </c>
      <c r="N95" s="40">
        <f t="shared" si="273"/>
        <v>0</v>
      </c>
      <c r="O95" s="40">
        <f>IF($C$2="AV",O98,IF($C$2="Mgmt",O96,IF($C$2="Mgmt (Adj)",O97)))</f>
        <v>0</v>
      </c>
      <c r="P95" s="40">
        <f>IF($C$2="AV",P98,IF($C$2="Mgmt",P96,IF($C$2="Mgmt (Adj)",P97)))</f>
        <v>0</v>
      </c>
      <c r="Q95" s="261">
        <f t="shared" si="237"/>
        <v>0</v>
      </c>
      <c r="R95" s="56"/>
      <c r="S95" s="63">
        <f>IF($C$2="AV",S98,IF($C$2="Mgmt",S96,IF($C$2="Mgmt (Adj)",S97)))</f>
        <v>0</v>
      </c>
      <c r="T95" s="63">
        <f>IF($C$2="AV",T98,IF($C$2="Mgmt",T96,IF($C$2="Mgmt (Adj)",T97)))</f>
        <v>0</v>
      </c>
      <c r="U95" s="63">
        <f>IF($C$2="AV",U98,IF($C$2="Mgmt",U96,IF($C$2="Mgmt (Adj)",U97)))</f>
        <v>0</v>
      </c>
      <c r="V95" s="40">
        <f t="shared" ref="V95:AD95" si="274">IF($C$2="AV",V98,IF($C$2="Mgmt",V96,IF($C$2="Mgmt (Adj)",V97)))</f>
        <v>0</v>
      </c>
      <c r="W95" s="40">
        <f t="shared" si="274"/>
        <v>0</v>
      </c>
      <c r="X95" s="40">
        <f t="shared" si="274"/>
        <v>0</v>
      </c>
      <c r="Y95" s="40">
        <f t="shared" si="274"/>
        <v>0</v>
      </c>
      <c r="Z95" s="40">
        <f t="shared" si="274"/>
        <v>0</v>
      </c>
      <c r="AA95" s="40">
        <f t="shared" si="274"/>
        <v>0</v>
      </c>
      <c r="AB95" s="40">
        <f t="shared" si="274"/>
        <v>0</v>
      </c>
      <c r="AC95" s="40">
        <f t="shared" si="274"/>
        <v>0</v>
      </c>
      <c r="AD95" s="40">
        <f t="shared" si="274"/>
        <v>0</v>
      </c>
      <c r="AE95" s="55">
        <f t="shared" si="239"/>
        <v>0</v>
      </c>
      <c r="AF95" s="56"/>
      <c r="AG95" s="58"/>
      <c r="AH95" s="59">
        <f t="shared" si="240"/>
        <v>0</v>
      </c>
      <c r="AI95" s="55">
        <f t="shared" si="241"/>
        <v>0</v>
      </c>
      <c r="AJ95" s="50"/>
      <c r="AK95" s="78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</row>
    <row r="96" spans="1:66" ht="15.75" hidden="1" customHeight="1" outlineLevel="1" x14ac:dyDescent="0.4">
      <c r="A96" s="79"/>
      <c r="B96" s="80"/>
      <c r="C96" s="81" t="s">
        <v>44</v>
      </c>
      <c r="D96" s="102"/>
      <c r="E96" s="103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268">
        <f t="shared" si="237"/>
        <v>0</v>
      </c>
      <c r="R96" s="104"/>
      <c r="S96" s="103"/>
      <c r="T96" s="103"/>
      <c r="U96" s="103"/>
      <c r="V96" s="84"/>
      <c r="W96" s="84"/>
      <c r="X96" s="84"/>
      <c r="Y96" s="84"/>
      <c r="Z96" s="84"/>
      <c r="AA96" s="84"/>
      <c r="AB96" s="84"/>
      <c r="AC96" s="84"/>
      <c r="AD96" s="84"/>
      <c r="AE96" s="85">
        <f t="shared" si="239"/>
        <v>0</v>
      </c>
      <c r="AF96" s="104"/>
      <c r="AG96" s="88"/>
      <c r="AH96" s="89">
        <f t="shared" si="240"/>
        <v>0</v>
      </c>
      <c r="AI96" s="85">
        <f t="shared" si="241"/>
        <v>0</v>
      </c>
      <c r="AJ96" s="79"/>
      <c r="AK96" s="90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</row>
    <row r="97" spans="1:66" ht="15.75" hidden="1" customHeight="1" outlineLevel="1" x14ac:dyDescent="0.4">
      <c r="A97" s="79"/>
      <c r="B97" s="80"/>
      <c r="C97" s="81" t="s">
        <v>45</v>
      </c>
      <c r="D97" s="102"/>
      <c r="E97" s="103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268">
        <f t="shared" si="237"/>
        <v>0</v>
      </c>
      <c r="R97" s="104"/>
      <c r="S97" s="103"/>
      <c r="T97" s="103"/>
      <c r="U97" s="103"/>
      <c r="V97" s="84"/>
      <c r="W97" s="84"/>
      <c r="X97" s="84"/>
      <c r="Y97" s="84"/>
      <c r="Z97" s="84"/>
      <c r="AA97" s="84"/>
      <c r="AB97" s="84"/>
      <c r="AC97" s="84"/>
      <c r="AD97" s="84"/>
      <c r="AE97" s="85">
        <f t="shared" si="239"/>
        <v>0</v>
      </c>
      <c r="AF97" s="104"/>
      <c r="AG97" s="88"/>
      <c r="AH97" s="89">
        <f t="shared" si="240"/>
        <v>0</v>
      </c>
      <c r="AI97" s="85">
        <f t="shared" si="241"/>
        <v>0</v>
      </c>
      <c r="AJ97" s="79"/>
      <c r="AK97" s="90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</row>
    <row r="98" spans="1:66" ht="15.75" hidden="1" customHeight="1" outlineLevel="1" x14ac:dyDescent="0.4">
      <c r="A98" s="79"/>
      <c r="B98" s="80"/>
      <c r="C98" s="81" t="s">
        <v>46</v>
      </c>
      <c r="D98" s="102"/>
      <c r="E98" s="103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268">
        <f t="shared" si="237"/>
        <v>0</v>
      </c>
      <c r="R98" s="104"/>
      <c r="S98" s="103"/>
      <c r="T98" s="103"/>
      <c r="U98" s="103"/>
      <c r="V98" s="84"/>
      <c r="W98" s="84"/>
      <c r="X98" s="84"/>
      <c r="Y98" s="84"/>
      <c r="Z98" s="84"/>
      <c r="AA98" s="84"/>
      <c r="AB98" s="84"/>
      <c r="AC98" s="84"/>
      <c r="AD98" s="84"/>
      <c r="AE98" s="85">
        <f t="shared" si="239"/>
        <v>0</v>
      </c>
      <c r="AF98" s="104"/>
      <c r="AG98" s="88"/>
      <c r="AH98" s="89">
        <f t="shared" si="240"/>
        <v>0</v>
      </c>
      <c r="AI98" s="85">
        <f t="shared" si="241"/>
        <v>0</v>
      </c>
      <c r="AJ98" s="79"/>
      <c r="AK98" s="90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</row>
    <row r="99" spans="1:66" ht="15.75" customHeight="1" collapsed="1" x14ac:dyDescent="0.4">
      <c r="B99" s="65" t="s">
        <v>63</v>
      </c>
      <c r="C99" s="66" t="s">
        <v>41</v>
      </c>
      <c r="D99" s="38"/>
      <c r="E99" s="91">
        <f>'[3]P&amp;L breakdown'!D18</f>
        <v>30366.501826107429</v>
      </c>
      <c r="F99" s="92">
        <f>'[3]P&amp;L breakdown'!E18</f>
        <v>89856.789634129367</v>
      </c>
      <c r="G99" s="92">
        <f>'[3]P&amp;L breakdown'!F18</f>
        <v>36672.77039067915</v>
      </c>
      <c r="H99" s="92">
        <f>'[3]P&amp;L breakdown'!G18</f>
        <v>45575.965071038372</v>
      </c>
      <c r="I99" s="92">
        <f>'[3]P&amp;L breakdown'!H18</f>
        <v>45643.828482912068</v>
      </c>
      <c r="J99" s="92">
        <f>'[3]P&amp;L breakdown'!I18</f>
        <v>32547.694272961537</v>
      </c>
      <c r="K99" s="92">
        <f>'[3]P&amp;L breakdown'!J18</f>
        <v>37718.893517356919</v>
      </c>
      <c r="L99" s="92">
        <f>'[3]P&amp;L breakdown'!K18</f>
        <v>44210.077066887083</v>
      </c>
      <c r="M99" s="92">
        <f>'[3]P&amp;L breakdown'!L18</f>
        <v>38680.954098768569</v>
      </c>
      <c r="N99" s="92">
        <f>'[3]P&amp;L breakdown'!M18</f>
        <v>33940.185659229624</v>
      </c>
      <c r="O99" s="92">
        <f>'[3]P&amp;L breakdown'!N18</f>
        <v>50735.372063569681</v>
      </c>
      <c r="P99" s="92">
        <f>'[3]P&amp;L breakdown'!O18</f>
        <v>53328.028659988697</v>
      </c>
      <c r="Q99" s="273">
        <f t="shared" si="237"/>
        <v>539277.06074362842</v>
      </c>
      <c r="R99" s="35"/>
      <c r="S99" s="91">
        <f>'[3]P&amp;L breakdown'!R18</f>
        <v>78813.21821640314</v>
      </c>
      <c r="T99" s="91">
        <f>'[3]P&amp;L breakdown'!S18</f>
        <v>58709.223141814953</v>
      </c>
      <c r="U99" s="91">
        <f>'[3]P&amp;L breakdown'!T18</f>
        <v>85306.728221341487</v>
      </c>
      <c r="V99" s="92"/>
      <c r="W99" s="92"/>
      <c r="X99" s="92"/>
      <c r="Y99" s="92"/>
      <c r="Z99" s="92"/>
      <c r="AA99" s="92"/>
      <c r="AB99" s="92"/>
      <c r="AC99" s="92"/>
      <c r="AD99" s="92"/>
      <c r="AE99" s="71">
        <f t="shared" si="239"/>
        <v>222829.16957955959</v>
      </c>
      <c r="AF99" s="35"/>
      <c r="AG99" s="21"/>
      <c r="AH99" s="70">
        <f t="shared" si="240"/>
        <v>78813.21821640314</v>
      </c>
      <c r="AI99" s="71">
        <f t="shared" si="241"/>
        <v>78813.21821640314</v>
      </c>
      <c r="AK99" s="72"/>
    </row>
    <row r="100" spans="1:66" ht="15" customHeight="1" x14ac:dyDescent="0.4">
      <c r="A100" s="50"/>
      <c r="B100" s="73"/>
      <c r="C100" s="74" t="str">
        <f>IF($C$2="AV",C103,IF($C$2="Mgmt",C101,IF($C$2="Mgmt (Adj)",C102)))</f>
        <v>plan (AV)</v>
      </c>
      <c r="D100" s="53"/>
      <c r="E100" s="63">
        <f t="shared" ref="E100:H100" si="275">IF($C$2="AV",E103,IF($C$2="Mgmt",E101,IF($C$2="Mgmt (Adj)",E102)))</f>
        <v>0</v>
      </c>
      <c r="F100" s="40">
        <f t="shared" si="275"/>
        <v>0</v>
      </c>
      <c r="G100" s="40">
        <f t="shared" si="275"/>
        <v>0</v>
      </c>
      <c r="H100" s="40">
        <f t="shared" si="275"/>
        <v>0</v>
      </c>
      <c r="I100" s="40">
        <f t="shared" ref="I100:J100" si="276">IF($C$2="AV",I103,IF($C$2="Mgmt",I101,IF($C$2="Mgmt (Adj)",I102)))</f>
        <v>0</v>
      </c>
      <c r="J100" s="40">
        <f t="shared" si="276"/>
        <v>0</v>
      </c>
      <c r="K100" s="40">
        <f t="shared" ref="K100" si="277">IF($C$2="AV",K103,IF($C$2="Mgmt",K101,IF($C$2="Mgmt (Adj)",K102)))</f>
        <v>0</v>
      </c>
      <c r="L100" s="40">
        <f t="shared" ref="L100" si="278">IF($C$2="AV",L103,IF($C$2="Mgmt",L101,IF($C$2="Mgmt (Adj)",L102)))</f>
        <v>0</v>
      </c>
      <c r="M100" s="40">
        <f t="shared" ref="M100:N100" si="279">IF($C$2="AV",M103,IF($C$2="Mgmt",M101,IF($C$2="Mgmt (Adj)",M102)))</f>
        <v>0</v>
      </c>
      <c r="N100" s="40">
        <f t="shared" si="279"/>
        <v>0</v>
      </c>
      <c r="O100" s="40">
        <f>IF($C$2="AV",O103,IF($C$2="Mgmt",O101,IF($C$2="Mgmt (Adj)",O102)))</f>
        <v>0</v>
      </c>
      <c r="P100" s="40">
        <f>IF($C$2="AV",P103,IF($C$2="Mgmt",P101,IF($C$2="Mgmt (Adj)",P102)))</f>
        <v>0</v>
      </c>
      <c r="Q100" s="261">
        <f t="shared" si="237"/>
        <v>0</v>
      </c>
      <c r="R100" s="56"/>
      <c r="S100" s="63">
        <f>IF($C$2="AV",S103,IF($C$2="Mgmt",S101,IF($C$2="Mgmt (Adj)",S102)))</f>
        <v>0</v>
      </c>
      <c r="T100" s="63">
        <f>IF($C$2="AV",T103,IF($C$2="Mgmt",T101,IF($C$2="Mgmt (Adj)",T102)))</f>
        <v>0</v>
      </c>
      <c r="U100" s="63">
        <f>IF($C$2="AV",U103,IF($C$2="Mgmt",U101,IF($C$2="Mgmt (Adj)",U102)))</f>
        <v>0</v>
      </c>
      <c r="V100" s="40">
        <f t="shared" ref="V100:AD100" si="280">IF($C$2="AV",V103,IF($C$2="Mgmt",V101,IF($C$2="Mgmt (Adj)",V102)))</f>
        <v>0</v>
      </c>
      <c r="W100" s="40">
        <f t="shared" si="280"/>
        <v>0</v>
      </c>
      <c r="X100" s="40">
        <f t="shared" si="280"/>
        <v>0</v>
      </c>
      <c r="Y100" s="40">
        <f t="shared" si="280"/>
        <v>0</v>
      </c>
      <c r="Z100" s="40">
        <f t="shared" si="280"/>
        <v>0</v>
      </c>
      <c r="AA100" s="40">
        <f t="shared" si="280"/>
        <v>0</v>
      </c>
      <c r="AB100" s="40">
        <f t="shared" si="280"/>
        <v>0</v>
      </c>
      <c r="AC100" s="40">
        <f t="shared" si="280"/>
        <v>0</v>
      </c>
      <c r="AD100" s="40">
        <f t="shared" si="280"/>
        <v>0</v>
      </c>
      <c r="AE100" s="55">
        <f t="shared" si="239"/>
        <v>0</v>
      </c>
      <c r="AF100" s="56"/>
      <c r="AG100" s="58"/>
      <c r="AH100" s="59">
        <f t="shared" si="240"/>
        <v>0</v>
      </c>
      <c r="AI100" s="55">
        <f t="shared" si="241"/>
        <v>0</v>
      </c>
      <c r="AJ100" s="50"/>
      <c r="AK100" s="78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</row>
    <row r="101" spans="1:66" ht="15.75" hidden="1" customHeight="1" outlineLevel="1" x14ac:dyDescent="0.4">
      <c r="A101" s="79"/>
      <c r="B101" s="80"/>
      <c r="C101" s="81" t="s">
        <v>44</v>
      </c>
      <c r="D101" s="102"/>
      <c r="E101" s="103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268">
        <f t="shared" si="237"/>
        <v>0</v>
      </c>
      <c r="R101" s="104"/>
      <c r="S101" s="103"/>
      <c r="T101" s="103"/>
      <c r="U101" s="103"/>
      <c r="V101" s="84"/>
      <c r="W101" s="84"/>
      <c r="X101" s="84"/>
      <c r="Y101" s="84"/>
      <c r="Z101" s="84"/>
      <c r="AA101" s="84"/>
      <c r="AB101" s="84"/>
      <c r="AC101" s="84"/>
      <c r="AD101" s="84"/>
      <c r="AE101" s="85">
        <f t="shared" si="239"/>
        <v>0</v>
      </c>
      <c r="AF101" s="104"/>
      <c r="AG101" s="88"/>
      <c r="AH101" s="89">
        <f t="shared" si="240"/>
        <v>0</v>
      </c>
      <c r="AI101" s="85">
        <f t="shared" si="241"/>
        <v>0</v>
      </c>
      <c r="AJ101" s="79"/>
      <c r="AK101" s="90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</row>
    <row r="102" spans="1:66" ht="15.75" hidden="1" customHeight="1" outlineLevel="1" x14ac:dyDescent="0.4">
      <c r="A102" s="79"/>
      <c r="B102" s="80"/>
      <c r="C102" s="81" t="s">
        <v>45</v>
      </c>
      <c r="D102" s="102"/>
      <c r="E102" s="103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268">
        <f t="shared" si="237"/>
        <v>0</v>
      </c>
      <c r="R102" s="104"/>
      <c r="S102" s="103"/>
      <c r="T102" s="103"/>
      <c r="U102" s="103"/>
      <c r="V102" s="84"/>
      <c r="W102" s="84"/>
      <c r="X102" s="84"/>
      <c r="Y102" s="84"/>
      <c r="Z102" s="84"/>
      <c r="AA102" s="84"/>
      <c r="AB102" s="84"/>
      <c r="AC102" s="84"/>
      <c r="AD102" s="84"/>
      <c r="AE102" s="85">
        <f t="shared" si="239"/>
        <v>0</v>
      </c>
      <c r="AF102" s="104"/>
      <c r="AG102" s="88"/>
      <c r="AH102" s="89">
        <f t="shared" si="240"/>
        <v>0</v>
      </c>
      <c r="AI102" s="85">
        <f t="shared" si="241"/>
        <v>0</v>
      </c>
      <c r="AJ102" s="79"/>
      <c r="AK102" s="90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</row>
    <row r="103" spans="1:66" ht="15.75" hidden="1" customHeight="1" outlineLevel="1" x14ac:dyDescent="0.4">
      <c r="A103" s="79"/>
      <c r="B103" s="80"/>
      <c r="C103" s="81" t="s">
        <v>46</v>
      </c>
      <c r="D103" s="102"/>
      <c r="E103" s="103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268">
        <f t="shared" si="237"/>
        <v>0</v>
      </c>
      <c r="R103" s="104"/>
      <c r="S103" s="103"/>
      <c r="T103" s="103"/>
      <c r="U103" s="103"/>
      <c r="V103" s="84"/>
      <c r="W103" s="84"/>
      <c r="X103" s="84"/>
      <c r="Y103" s="84"/>
      <c r="Z103" s="84"/>
      <c r="AA103" s="84"/>
      <c r="AB103" s="84"/>
      <c r="AC103" s="84"/>
      <c r="AD103" s="84"/>
      <c r="AE103" s="85">
        <f t="shared" si="239"/>
        <v>0</v>
      </c>
      <c r="AF103" s="104"/>
      <c r="AG103" s="88"/>
      <c r="AH103" s="89">
        <f t="shared" si="240"/>
        <v>0</v>
      </c>
      <c r="AI103" s="85">
        <f t="shared" si="241"/>
        <v>0</v>
      </c>
      <c r="AJ103" s="79"/>
      <c r="AK103" s="90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</row>
    <row r="104" spans="1:66" ht="15.75" customHeight="1" collapsed="1" x14ac:dyDescent="0.4">
      <c r="B104" s="65" t="s">
        <v>64</v>
      </c>
      <c r="C104" s="66" t="s">
        <v>41</v>
      </c>
      <c r="D104" s="38"/>
      <c r="E104" s="91">
        <f>'[3]P&amp;L breakdown'!D26</f>
        <v>8438.1773355676505</v>
      </c>
      <c r="F104" s="92">
        <f>'[3]P&amp;L breakdown'!E26</f>
        <v>5873.0048153165526</v>
      </c>
      <c r="G104" s="92">
        <f>'[3]P&amp;L breakdown'!F26</f>
        <v>38483.183825132975</v>
      </c>
      <c r="H104" s="92">
        <f>'[3]P&amp;L breakdown'!G26</f>
        <v>12684.702211239168</v>
      </c>
      <c r="I104" s="92">
        <f>'[3]P&amp;L breakdown'!H26</f>
        <v>10550.688690411867</v>
      </c>
      <c r="J104" s="92">
        <f>'[3]P&amp;L breakdown'!I26</f>
        <v>6463.8311525294803</v>
      </c>
      <c r="K104" s="92">
        <f>'[3]P&amp;L breakdown'!J26</f>
        <v>8211.9355774145006</v>
      </c>
      <c r="L104" s="92">
        <f>'[3]P&amp;L breakdown'!K26</f>
        <v>8723.9116681613395</v>
      </c>
      <c r="M104" s="92">
        <f>'[3]P&amp;L breakdown'!L26</f>
        <v>8853.2557183958161</v>
      </c>
      <c r="N104" s="92">
        <f>'[3]P&amp;L breakdown'!M26</f>
        <v>10555.058306661775</v>
      </c>
      <c r="O104" s="92">
        <f>'[3]P&amp;L breakdown'!N26</f>
        <v>5042.0187052082656</v>
      </c>
      <c r="P104" s="92">
        <f>'[3]P&amp;L breakdown'!O26</f>
        <v>7205.8099469084091</v>
      </c>
      <c r="Q104" s="273">
        <f t="shared" si="237"/>
        <v>131085.57795294779</v>
      </c>
      <c r="R104" s="35"/>
      <c r="S104" s="91">
        <f>'[3]P&amp;L breakdown'!R26</f>
        <v>9670.3473817236118</v>
      </c>
      <c r="T104" s="91">
        <f>'[3]P&amp;L breakdown'!S26</f>
        <v>11165.167599726481</v>
      </c>
      <c r="U104" s="91">
        <f>'[3]P&amp;L breakdown'!T26</f>
        <v>8354.2226395016169</v>
      </c>
      <c r="V104" s="92"/>
      <c r="W104" s="92"/>
      <c r="X104" s="92"/>
      <c r="Y104" s="92"/>
      <c r="Z104" s="92"/>
      <c r="AA104" s="92"/>
      <c r="AB104" s="92"/>
      <c r="AC104" s="92"/>
      <c r="AD104" s="92"/>
      <c r="AE104" s="71">
        <f t="shared" si="239"/>
        <v>29189.73762095171</v>
      </c>
      <c r="AF104" s="35"/>
      <c r="AG104" s="21"/>
      <c r="AH104" s="70">
        <f t="shared" si="240"/>
        <v>9670.3473817236118</v>
      </c>
      <c r="AI104" s="71">
        <f t="shared" si="241"/>
        <v>9670.3473817236118</v>
      </c>
      <c r="AK104" s="72"/>
    </row>
    <row r="105" spans="1:66" ht="15" customHeight="1" x14ac:dyDescent="0.4">
      <c r="A105" s="50"/>
      <c r="B105" s="73"/>
      <c r="C105" s="74" t="str">
        <f>IF($C$2="AV",C108,IF($C$2="Mgmt",C106,IF($C$2="Mgmt (Adj)",C107)))</f>
        <v>plan (AV)</v>
      </c>
      <c r="D105" s="53"/>
      <c r="E105" s="63">
        <f t="shared" ref="E105:H105" si="281">IF($C$2="AV",E108,IF($C$2="Mgmt",E106,IF($C$2="Mgmt (Adj)",E107)))</f>
        <v>0</v>
      </c>
      <c r="F105" s="40">
        <f t="shared" si="281"/>
        <v>0</v>
      </c>
      <c r="G105" s="40">
        <f t="shared" si="281"/>
        <v>0</v>
      </c>
      <c r="H105" s="40">
        <f t="shared" si="281"/>
        <v>0</v>
      </c>
      <c r="I105" s="40">
        <f t="shared" ref="I105:J105" si="282">IF($C$2="AV",I108,IF($C$2="Mgmt",I106,IF($C$2="Mgmt (Adj)",I107)))</f>
        <v>0</v>
      </c>
      <c r="J105" s="40">
        <f t="shared" si="282"/>
        <v>0</v>
      </c>
      <c r="K105" s="40">
        <f t="shared" ref="K105" si="283">IF($C$2="AV",K108,IF($C$2="Mgmt",K106,IF($C$2="Mgmt (Adj)",K107)))</f>
        <v>0</v>
      </c>
      <c r="L105" s="40">
        <f t="shared" ref="L105" si="284">IF($C$2="AV",L108,IF($C$2="Mgmt",L106,IF($C$2="Mgmt (Adj)",L107)))</f>
        <v>0</v>
      </c>
      <c r="M105" s="40">
        <f t="shared" ref="M105:N105" si="285">IF($C$2="AV",M108,IF($C$2="Mgmt",M106,IF($C$2="Mgmt (Adj)",M107)))</f>
        <v>0</v>
      </c>
      <c r="N105" s="40">
        <f t="shared" si="285"/>
        <v>0</v>
      </c>
      <c r="O105" s="40">
        <f>IF($C$2="AV",O108,IF($C$2="Mgmt",O106,IF($C$2="Mgmt (Adj)",O107)))</f>
        <v>0</v>
      </c>
      <c r="P105" s="40">
        <f>IF($C$2="AV",P108,IF($C$2="Mgmt",P106,IF($C$2="Mgmt (Adj)",P107)))</f>
        <v>0</v>
      </c>
      <c r="Q105" s="261">
        <f t="shared" si="237"/>
        <v>0</v>
      </c>
      <c r="R105" s="56"/>
      <c r="S105" s="63">
        <f>IF($C$2="AV",S108,IF($C$2="Mgmt",S106,IF($C$2="Mgmt (Adj)",S107)))</f>
        <v>0</v>
      </c>
      <c r="T105" s="63">
        <f>IF($C$2="AV",T108,IF($C$2="Mgmt",T106,IF($C$2="Mgmt (Adj)",T107)))</f>
        <v>0</v>
      </c>
      <c r="U105" s="63">
        <f>IF($C$2="AV",U108,IF($C$2="Mgmt",U106,IF($C$2="Mgmt (Adj)",U107)))</f>
        <v>0</v>
      </c>
      <c r="V105" s="40">
        <f t="shared" ref="V105:AD105" si="286">IF($C$2="AV",V108,IF($C$2="Mgmt",V106,IF($C$2="Mgmt (Adj)",V107)))</f>
        <v>0</v>
      </c>
      <c r="W105" s="40">
        <f t="shared" si="286"/>
        <v>0</v>
      </c>
      <c r="X105" s="40">
        <f t="shared" si="286"/>
        <v>0</v>
      </c>
      <c r="Y105" s="40">
        <f t="shared" si="286"/>
        <v>0</v>
      </c>
      <c r="Z105" s="40">
        <f t="shared" si="286"/>
        <v>0</v>
      </c>
      <c r="AA105" s="40">
        <f t="shared" si="286"/>
        <v>0</v>
      </c>
      <c r="AB105" s="40">
        <f t="shared" si="286"/>
        <v>0</v>
      </c>
      <c r="AC105" s="40">
        <f t="shared" si="286"/>
        <v>0</v>
      </c>
      <c r="AD105" s="40">
        <f t="shared" si="286"/>
        <v>0</v>
      </c>
      <c r="AE105" s="55">
        <f t="shared" si="239"/>
        <v>0</v>
      </c>
      <c r="AF105" s="56"/>
      <c r="AG105" s="58"/>
      <c r="AH105" s="59">
        <f t="shared" si="240"/>
        <v>0</v>
      </c>
      <c r="AI105" s="55">
        <f t="shared" si="241"/>
        <v>0</v>
      </c>
      <c r="AJ105" s="50"/>
      <c r="AK105" s="78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</row>
    <row r="106" spans="1:66" ht="15.75" hidden="1" customHeight="1" outlineLevel="1" x14ac:dyDescent="0.4">
      <c r="A106" s="79"/>
      <c r="B106" s="80"/>
      <c r="C106" s="81" t="s">
        <v>44</v>
      </c>
      <c r="D106" s="102"/>
      <c r="E106" s="103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268">
        <f t="shared" si="237"/>
        <v>0</v>
      </c>
      <c r="R106" s="104"/>
      <c r="S106" s="103"/>
      <c r="T106" s="103"/>
      <c r="U106" s="103"/>
      <c r="V106" s="84"/>
      <c r="W106" s="84"/>
      <c r="X106" s="84"/>
      <c r="Y106" s="84"/>
      <c r="Z106" s="84"/>
      <c r="AA106" s="84"/>
      <c r="AB106" s="84"/>
      <c r="AC106" s="84"/>
      <c r="AD106" s="84"/>
      <c r="AE106" s="85">
        <f t="shared" si="239"/>
        <v>0</v>
      </c>
      <c r="AF106" s="104"/>
      <c r="AG106" s="88"/>
      <c r="AH106" s="89">
        <f t="shared" si="240"/>
        <v>0</v>
      </c>
      <c r="AI106" s="85">
        <f t="shared" si="241"/>
        <v>0</v>
      </c>
      <c r="AJ106" s="79"/>
      <c r="AK106" s="90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</row>
    <row r="107" spans="1:66" ht="15.75" hidden="1" customHeight="1" outlineLevel="1" x14ac:dyDescent="0.4">
      <c r="A107" s="79"/>
      <c r="B107" s="80"/>
      <c r="C107" s="81" t="s">
        <v>45</v>
      </c>
      <c r="D107" s="102"/>
      <c r="E107" s="103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268">
        <f t="shared" si="237"/>
        <v>0</v>
      </c>
      <c r="R107" s="104"/>
      <c r="S107" s="103"/>
      <c r="T107" s="103"/>
      <c r="U107" s="103"/>
      <c r="V107" s="84"/>
      <c r="W107" s="84"/>
      <c r="X107" s="84"/>
      <c r="Y107" s="84"/>
      <c r="Z107" s="84"/>
      <c r="AA107" s="84"/>
      <c r="AB107" s="84"/>
      <c r="AC107" s="84"/>
      <c r="AD107" s="84"/>
      <c r="AE107" s="85">
        <f t="shared" si="239"/>
        <v>0</v>
      </c>
      <c r="AF107" s="104"/>
      <c r="AG107" s="88"/>
      <c r="AH107" s="89">
        <f t="shared" si="240"/>
        <v>0</v>
      </c>
      <c r="AI107" s="85">
        <f t="shared" si="241"/>
        <v>0</v>
      </c>
      <c r="AJ107" s="79"/>
      <c r="AK107" s="90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</row>
    <row r="108" spans="1:66" ht="15.75" hidden="1" customHeight="1" outlineLevel="1" x14ac:dyDescent="0.4">
      <c r="A108" s="79"/>
      <c r="B108" s="80"/>
      <c r="C108" s="81" t="s">
        <v>46</v>
      </c>
      <c r="D108" s="102"/>
      <c r="E108" s="103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268">
        <f t="shared" si="237"/>
        <v>0</v>
      </c>
      <c r="R108" s="104"/>
      <c r="S108" s="103"/>
      <c r="T108" s="103"/>
      <c r="U108" s="103"/>
      <c r="V108" s="84"/>
      <c r="W108" s="84"/>
      <c r="X108" s="84"/>
      <c r="Y108" s="84"/>
      <c r="Z108" s="84"/>
      <c r="AA108" s="84"/>
      <c r="AB108" s="84"/>
      <c r="AC108" s="84"/>
      <c r="AD108" s="84"/>
      <c r="AE108" s="85">
        <f t="shared" si="239"/>
        <v>0</v>
      </c>
      <c r="AF108" s="104"/>
      <c r="AG108" s="88"/>
      <c r="AH108" s="89">
        <f t="shared" si="240"/>
        <v>0</v>
      </c>
      <c r="AI108" s="85">
        <f t="shared" si="241"/>
        <v>0</v>
      </c>
      <c r="AJ108" s="79"/>
      <c r="AK108" s="90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</row>
    <row r="109" spans="1:66" ht="15.75" customHeight="1" collapsed="1" x14ac:dyDescent="0.4">
      <c r="B109" s="65" t="s">
        <v>65</v>
      </c>
      <c r="C109" s="66" t="s">
        <v>41</v>
      </c>
      <c r="D109" s="38"/>
      <c r="E109" s="91">
        <f>'[3]P&amp;L breakdown'!D34</f>
        <v>10635.949019597543</v>
      </c>
      <c r="F109" s="92">
        <f>'[3]P&amp;L breakdown'!E34</f>
        <v>12987.284274209795</v>
      </c>
      <c r="G109" s="92">
        <f>'[3]P&amp;L breakdown'!F34</f>
        <v>2924.9079186645722</v>
      </c>
      <c r="H109" s="92">
        <f>'[3]P&amp;L breakdown'!G34</f>
        <v>16237.459632996712</v>
      </c>
      <c r="I109" s="92">
        <f>'[3]P&amp;L breakdown'!H34</f>
        <v>17431.668935475089</v>
      </c>
      <c r="J109" s="92">
        <f>'[3]P&amp;L breakdown'!I34</f>
        <v>4315.8616934386064</v>
      </c>
      <c r="K109" s="92">
        <f>'[3]P&amp;L breakdown'!J34</f>
        <v>4866.6476839456936</v>
      </c>
      <c r="L109" s="92">
        <f>'[3]P&amp;L breakdown'!K34</f>
        <v>6394.0376681851012</v>
      </c>
      <c r="M109" s="92">
        <f>'[3]P&amp;L breakdown'!L34</f>
        <v>2752.8074762772007</v>
      </c>
      <c r="N109" s="92">
        <f>'[3]P&amp;L breakdown'!M34</f>
        <v>2307.6813320788519</v>
      </c>
      <c r="O109" s="92">
        <f>'[3]P&amp;L breakdown'!N34</f>
        <v>2557.020706540452</v>
      </c>
      <c r="P109" s="92">
        <f>'[3]P&amp;L breakdown'!O34</f>
        <v>3559.6695353916812</v>
      </c>
      <c r="Q109" s="273">
        <f t="shared" ref="Q109:Q113" si="287">SUM(E109:P109)</f>
        <v>86970.995876801302</v>
      </c>
      <c r="R109" s="35"/>
      <c r="S109" s="91">
        <f>'[3]P&amp;L breakdown'!R34</f>
        <v>35647.90362840303</v>
      </c>
      <c r="T109" s="91">
        <f>'[3]P&amp;L breakdown'!S34</f>
        <v>7397.5215658462193</v>
      </c>
      <c r="U109" s="91">
        <f>'[3]P&amp;L breakdown'!T34</f>
        <v>0</v>
      </c>
      <c r="V109" s="92"/>
      <c r="W109" s="92"/>
      <c r="X109" s="92"/>
      <c r="Y109" s="92"/>
      <c r="Z109" s="92"/>
      <c r="AA109" s="92"/>
      <c r="AB109" s="92"/>
      <c r="AC109" s="92"/>
      <c r="AD109" s="92"/>
      <c r="AE109" s="71">
        <f t="shared" ref="AE109:AE113" si="288">SUM(S109:AD109)</f>
        <v>43045.425194249248</v>
      </c>
      <c r="AF109" s="35"/>
      <c r="AG109" s="21"/>
      <c r="AH109" s="70">
        <f t="shared" si="240"/>
        <v>35647.90362840303</v>
      </c>
      <c r="AI109" s="71">
        <f t="shared" si="241"/>
        <v>35647.90362840303</v>
      </c>
      <c r="AK109" s="72"/>
    </row>
    <row r="110" spans="1:66" ht="15" customHeight="1" x14ac:dyDescent="0.4">
      <c r="A110" s="50"/>
      <c r="B110" s="73"/>
      <c r="C110" s="74" t="str">
        <f>IF($C$2="AV",C113,IF($C$2="Mgmt",C111,IF($C$2="Mgmt (Adj)",C112)))</f>
        <v>plan (AV)</v>
      </c>
      <c r="D110" s="53"/>
      <c r="E110" s="63">
        <f t="shared" ref="E110:H110" si="289">IF($C$2="AV",E113,IF($C$2="Mgmt",E111,IF($C$2="Mgmt (Adj)",E112)))</f>
        <v>0</v>
      </c>
      <c r="F110" s="40">
        <f t="shared" si="289"/>
        <v>0</v>
      </c>
      <c r="G110" s="40">
        <f t="shared" si="289"/>
        <v>0</v>
      </c>
      <c r="H110" s="40">
        <f t="shared" si="289"/>
        <v>0</v>
      </c>
      <c r="I110" s="40">
        <f t="shared" ref="I110:J110" si="290">IF($C$2="AV",I113,IF($C$2="Mgmt",I111,IF($C$2="Mgmt (Adj)",I112)))</f>
        <v>0</v>
      </c>
      <c r="J110" s="40">
        <f t="shared" si="290"/>
        <v>0</v>
      </c>
      <c r="K110" s="40">
        <f t="shared" ref="K110" si="291">IF($C$2="AV",K113,IF($C$2="Mgmt",K111,IF($C$2="Mgmt (Adj)",K112)))</f>
        <v>0</v>
      </c>
      <c r="L110" s="40">
        <f t="shared" ref="L110" si="292">IF($C$2="AV",L113,IF($C$2="Mgmt",L111,IF($C$2="Mgmt (Adj)",L112)))</f>
        <v>0</v>
      </c>
      <c r="M110" s="40">
        <f t="shared" ref="M110:N110" si="293">IF($C$2="AV",M113,IF($C$2="Mgmt",M111,IF($C$2="Mgmt (Adj)",M112)))</f>
        <v>0</v>
      </c>
      <c r="N110" s="40">
        <f t="shared" si="293"/>
        <v>0</v>
      </c>
      <c r="O110" s="40">
        <f>IF($C$2="AV",O113,IF($C$2="Mgmt",O111,IF($C$2="Mgmt (Adj)",O112)))</f>
        <v>0</v>
      </c>
      <c r="P110" s="40">
        <f>IF($C$2="AV",P113,IF($C$2="Mgmt",P111,IF($C$2="Mgmt (Adj)",P112)))</f>
        <v>0</v>
      </c>
      <c r="Q110" s="261">
        <f t="shared" si="287"/>
        <v>0</v>
      </c>
      <c r="R110" s="56"/>
      <c r="S110" s="63">
        <f>IF($C$2="AV",S113,IF($C$2="Mgmt",S111,IF($C$2="Mgmt (Adj)",S112)))</f>
        <v>0</v>
      </c>
      <c r="T110" s="63">
        <f>IF($C$2="AV",T113,IF($C$2="Mgmt",T111,IF($C$2="Mgmt (Adj)",T112)))</f>
        <v>0</v>
      </c>
      <c r="U110" s="63">
        <f>IF($C$2="AV",U113,IF($C$2="Mgmt",U111,IF($C$2="Mgmt (Adj)",U112)))</f>
        <v>0</v>
      </c>
      <c r="V110" s="40">
        <f t="shared" ref="V110:AD110" si="294">IF($C$2="AV",V113,IF($C$2="Mgmt",V111,IF($C$2="Mgmt (Adj)",V112)))</f>
        <v>0</v>
      </c>
      <c r="W110" s="40">
        <f t="shared" si="294"/>
        <v>0</v>
      </c>
      <c r="X110" s="40">
        <f t="shared" si="294"/>
        <v>0</v>
      </c>
      <c r="Y110" s="40">
        <f t="shared" si="294"/>
        <v>0</v>
      </c>
      <c r="Z110" s="40">
        <f t="shared" si="294"/>
        <v>0</v>
      </c>
      <c r="AA110" s="40">
        <f t="shared" si="294"/>
        <v>0</v>
      </c>
      <c r="AB110" s="40">
        <f t="shared" si="294"/>
        <v>0</v>
      </c>
      <c r="AC110" s="40">
        <f t="shared" si="294"/>
        <v>0</v>
      </c>
      <c r="AD110" s="40">
        <f t="shared" si="294"/>
        <v>0</v>
      </c>
      <c r="AE110" s="55">
        <f t="shared" si="288"/>
        <v>0</v>
      </c>
      <c r="AF110" s="56"/>
      <c r="AG110" s="58"/>
      <c r="AH110" s="59">
        <f t="shared" si="240"/>
        <v>0</v>
      </c>
      <c r="AI110" s="55">
        <f t="shared" si="241"/>
        <v>0</v>
      </c>
      <c r="AJ110" s="50"/>
      <c r="AK110" s="78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</row>
    <row r="111" spans="1:66" ht="15.75" hidden="1" customHeight="1" outlineLevel="1" x14ac:dyDescent="0.4">
      <c r="A111" s="79"/>
      <c r="B111" s="80"/>
      <c r="C111" s="81" t="s">
        <v>44</v>
      </c>
      <c r="D111" s="102"/>
      <c r="E111" s="103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268">
        <f t="shared" si="287"/>
        <v>0</v>
      </c>
      <c r="R111" s="104"/>
      <c r="S111" s="103"/>
      <c r="T111" s="103"/>
      <c r="U111" s="103"/>
      <c r="V111" s="84"/>
      <c r="W111" s="84"/>
      <c r="X111" s="84"/>
      <c r="Y111" s="84"/>
      <c r="Z111" s="84"/>
      <c r="AA111" s="84"/>
      <c r="AB111" s="84"/>
      <c r="AC111" s="84"/>
      <c r="AD111" s="84"/>
      <c r="AE111" s="85">
        <f t="shared" si="288"/>
        <v>0</v>
      </c>
      <c r="AF111" s="104"/>
      <c r="AG111" s="88"/>
      <c r="AH111" s="89">
        <f t="shared" si="240"/>
        <v>0</v>
      </c>
      <c r="AI111" s="85">
        <f t="shared" si="241"/>
        <v>0</v>
      </c>
      <c r="AJ111" s="79"/>
      <c r="AK111" s="90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</row>
    <row r="112" spans="1:66" ht="15.75" hidden="1" customHeight="1" outlineLevel="1" x14ac:dyDescent="0.4">
      <c r="A112" s="79"/>
      <c r="B112" s="80"/>
      <c r="C112" s="81" t="s">
        <v>45</v>
      </c>
      <c r="D112" s="102"/>
      <c r="E112" s="103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268">
        <f t="shared" si="287"/>
        <v>0</v>
      </c>
      <c r="R112" s="104"/>
      <c r="S112" s="103"/>
      <c r="T112" s="103"/>
      <c r="U112" s="103"/>
      <c r="V112" s="84"/>
      <c r="W112" s="84"/>
      <c r="X112" s="84"/>
      <c r="Y112" s="84"/>
      <c r="Z112" s="84"/>
      <c r="AA112" s="84"/>
      <c r="AB112" s="84"/>
      <c r="AC112" s="84"/>
      <c r="AD112" s="84"/>
      <c r="AE112" s="85">
        <f t="shared" si="288"/>
        <v>0</v>
      </c>
      <c r="AF112" s="104"/>
      <c r="AG112" s="88"/>
      <c r="AH112" s="89">
        <f t="shared" si="240"/>
        <v>0</v>
      </c>
      <c r="AI112" s="85">
        <f t="shared" si="241"/>
        <v>0</v>
      </c>
      <c r="AJ112" s="79"/>
      <c r="AK112" s="90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</row>
    <row r="113" spans="1:66" ht="15.75" hidden="1" customHeight="1" outlineLevel="1" x14ac:dyDescent="0.4">
      <c r="A113" s="79"/>
      <c r="B113" s="80"/>
      <c r="C113" s="81" t="s">
        <v>46</v>
      </c>
      <c r="D113" s="102"/>
      <c r="E113" s="103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268">
        <f t="shared" si="287"/>
        <v>0</v>
      </c>
      <c r="R113" s="104"/>
      <c r="S113" s="103"/>
      <c r="T113" s="103"/>
      <c r="U113" s="103"/>
      <c r="V113" s="84"/>
      <c r="W113" s="84"/>
      <c r="X113" s="84"/>
      <c r="Y113" s="84"/>
      <c r="Z113" s="84"/>
      <c r="AA113" s="84"/>
      <c r="AB113" s="84"/>
      <c r="AC113" s="84"/>
      <c r="AD113" s="84"/>
      <c r="AE113" s="85">
        <f t="shared" si="288"/>
        <v>0</v>
      </c>
      <c r="AF113" s="104"/>
      <c r="AG113" s="88"/>
      <c r="AH113" s="89">
        <f t="shared" si="240"/>
        <v>0</v>
      </c>
      <c r="AI113" s="85">
        <f t="shared" si="241"/>
        <v>0</v>
      </c>
      <c r="AJ113" s="79"/>
      <c r="AK113" s="90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</row>
    <row r="114" spans="1:66" ht="15.75" customHeight="1" collapsed="1" x14ac:dyDescent="0.4">
      <c r="B114" s="65" t="s">
        <v>66</v>
      </c>
      <c r="C114" s="66" t="s">
        <v>41</v>
      </c>
      <c r="D114" s="38"/>
      <c r="E114" s="91">
        <f>'[3]P&amp;L breakdown'!D44</f>
        <v>6584.2359896920971</v>
      </c>
      <c r="F114" s="92">
        <f>'[3]P&amp;L breakdown'!E44</f>
        <v>3578.3348674262597</v>
      </c>
      <c r="G114" s="92">
        <f>'[3]P&amp;L breakdown'!F44</f>
        <v>16327.027290334607</v>
      </c>
      <c r="H114" s="92">
        <f>'[3]P&amp;L breakdown'!G44</f>
        <v>8694.3006915580754</v>
      </c>
      <c r="I114" s="92">
        <f>'[3]P&amp;L breakdown'!H44</f>
        <v>6364.297888780281</v>
      </c>
      <c r="J114" s="92">
        <f>'[3]P&amp;L breakdown'!I44</f>
        <v>2150.6076062565171</v>
      </c>
      <c r="K114" s="92">
        <f>'[3]P&amp;L breakdown'!J44</f>
        <v>4225.0916087700398</v>
      </c>
      <c r="L114" s="92">
        <f>'[3]P&amp;L breakdown'!K44</f>
        <v>4750.8296486877825</v>
      </c>
      <c r="M114" s="92">
        <f>'[3]P&amp;L breakdown'!L44</f>
        <v>5483.2505040422029</v>
      </c>
      <c r="N114" s="92">
        <f>'[3]P&amp;L breakdown'!M44</f>
        <v>2767.0523102110778</v>
      </c>
      <c r="O114" s="92">
        <f>'[3]P&amp;L breakdown'!N44</f>
        <v>2069.4001670087596</v>
      </c>
      <c r="P114" s="92">
        <f>'[3]P&amp;L breakdown'!O44</f>
        <v>7053.875825976138</v>
      </c>
      <c r="Q114" s="273">
        <f t="shared" si="237"/>
        <v>70048.304398743843</v>
      </c>
      <c r="R114" s="35"/>
      <c r="S114" s="91">
        <f>'[3]P&amp;L breakdown'!R44</f>
        <v>5748.0100319987359</v>
      </c>
      <c r="T114" s="91">
        <f>'[3]P&amp;L breakdown'!S44</f>
        <v>5158.1290165611899</v>
      </c>
      <c r="U114" s="91">
        <f>'[3]P&amp;L breakdown'!T44</f>
        <v>3288.9106047060613</v>
      </c>
      <c r="V114" s="92"/>
      <c r="W114" s="92"/>
      <c r="X114" s="92"/>
      <c r="Y114" s="92"/>
      <c r="Z114" s="92"/>
      <c r="AA114" s="92"/>
      <c r="AB114" s="92"/>
      <c r="AC114" s="92"/>
      <c r="AD114" s="92"/>
      <c r="AE114" s="71">
        <f t="shared" si="239"/>
        <v>14195.049653265987</v>
      </c>
      <c r="AF114" s="35"/>
      <c r="AG114" s="21"/>
      <c r="AH114" s="70">
        <f t="shared" si="240"/>
        <v>5748.0100319987359</v>
      </c>
      <c r="AI114" s="71">
        <f t="shared" si="241"/>
        <v>5748.0100319987359</v>
      </c>
      <c r="AK114" s="72"/>
    </row>
    <row r="115" spans="1:66" ht="15" customHeight="1" x14ac:dyDescent="0.4">
      <c r="A115" s="50"/>
      <c r="B115" s="73"/>
      <c r="C115" s="74" t="str">
        <f>IF($C$2="AV",C118,IF($C$2="Mgmt",C116,IF($C$2="Mgmt (Adj)",C117)))</f>
        <v>plan (AV)</v>
      </c>
      <c r="D115" s="53"/>
      <c r="E115" s="63">
        <f t="shared" ref="E115:H115" si="295">IF($C$2="AV",E118,IF($C$2="Mgmt",E116,IF($C$2="Mgmt (Adj)",E117)))</f>
        <v>0</v>
      </c>
      <c r="F115" s="40">
        <f t="shared" si="295"/>
        <v>0</v>
      </c>
      <c r="G115" s="40">
        <f t="shared" si="295"/>
        <v>0</v>
      </c>
      <c r="H115" s="40">
        <f t="shared" si="295"/>
        <v>0</v>
      </c>
      <c r="I115" s="40">
        <f t="shared" ref="I115:J115" si="296">IF($C$2="AV",I118,IF($C$2="Mgmt",I116,IF($C$2="Mgmt (Adj)",I117)))</f>
        <v>0</v>
      </c>
      <c r="J115" s="40">
        <f t="shared" si="296"/>
        <v>0</v>
      </c>
      <c r="K115" s="40">
        <f t="shared" ref="K115" si="297">IF($C$2="AV",K118,IF($C$2="Mgmt",K116,IF($C$2="Mgmt (Adj)",K117)))</f>
        <v>0</v>
      </c>
      <c r="L115" s="40">
        <f t="shared" ref="L115" si="298">IF($C$2="AV",L118,IF($C$2="Mgmt",L116,IF($C$2="Mgmt (Adj)",L117)))</f>
        <v>0</v>
      </c>
      <c r="M115" s="40">
        <f t="shared" ref="M115:N115" si="299">IF($C$2="AV",M118,IF($C$2="Mgmt",M116,IF($C$2="Mgmt (Adj)",M117)))</f>
        <v>0</v>
      </c>
      <c r="N115" s="40">
        <f t="shared" si="299"/>
        <v>0</v>
      </c>
      <c r="O115" s="40">
        <f>IF($C$2="AV",O118,IF($C$2="Mgmt",O116,IF($C$2="Mgmt (Adj)",O117)))</f>
        <v>0</v>
      </c>
      <c r="P115" s="40">
        <f>IF($C$2="AV",P118,IF($C$2="Mgmt",P116,IF($C$2="Mgmt (Adj)",P117)))</f>
        <v>0</v>
      </c>
      <c r="Q115" s="261">
        <f t="shared" si="237"/>
        <v>0</v>
      </c>
      <c r="R115" s="56"/>
      <c r="S115" s="63">
        <f>IF($C$2="AV",S118,IF($C$2="Mgmt",S116,IF($C$2="Mgmt (Adj)",S117)))</f>
        <v>0</v>
      </c>
      <c r="T115" s="63">
        <f>IF($C$2="AV",T118,IF($C$2="Mgmt",T116,IF($C$2="Mgmt (Adj)",T117)))</f>
        <v>0</v>
      </c>
      <c r="U115" s="63">
        <f>IF($C$2="AV",U118,IF($C$2="Mgmt",U116,IF($C$2="Mgmt (Adj)",U117)))</f>
        <v>0</v>
      </c>
      <c r="V115" s="40">
        <f t="shared" ref="V115:AD115" si="300">IF($C$2="AV",V118,IF($C$2="Mgmt",V116,IF($C$2="Mgmt (Adj)",V117)))</f>
        <v>0</v>
      </c>
      <c r="W115" s="40">
        <f t="shared" si="300"/>
        <v>0</v>
      </c>
      <c r="X115" s="40">
        <f t="shared" si="300"/>
        <v>0</v>
      </c>
      <c r="Y115" s="40">
        <f t="shared" si="300"/>
        <v>0</v>
      </c>
      <c r="Z115" s="40">
        <f t="shared" si="300"/>
        <v>0</v>
      </c>
      <c r="AA115" s="40">
        <f t="shared" si="300"/>
        <v>0</v>
      </c>
      <c r="AB115" s="40">
        <f t="shared" si="300"/>
        <v>0</v>
      </c>
      <c r="AC115" s="40">
        <f t="shared" si="300"/>
        <v>0</v>
      </c>
      <c r="AD115" s="40">
        <f t="shared" si="300"/>
        <v>0</v>
      </c>
      <c r="AE115" s="55">
        <f t="shared" si="239"/>
        <v>0</v>
      </c>
      <c r="AF115" s="56"/>
      <c r="AG115" s="58"/>
      <c r="AH115" s="59">
        <f t="shared" si="240"/>
        <v>0</v>
      </c>
      <c r="AI115" s="55">
        <f t="shared" si="241"/>
        <v>0</v>
      </c>
      <c r="AJ115" s="50"/>
      <c r="AK115" s="78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</row>
    <row r="116" spans="1:66" ht="15.75" hidden="1" customHeight="1" outlineLevel="1" x14ac:dyDescent="0.4">
      <c r="A116" s="79"/>
      <c r="B116" s="80"/>
      <c r="C116" s="81" t="s">
        <v>44</v>
      </c>
      <c r="D116" s="102"/>
      <c r="E116" s="103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268">
        <f t="shared" si="237"/>
        <v>0</v>
      </c>
      <c r="R116" s="104"/>
      <c r="S116" s="103"/>
      <c r="T116" s="103"/>
      <c r="U116" s="103"/>
      <c r="V116" s="84"/>
      <c r="W116" s="84"/>
      <c r="X116" s="84"/>
      <c r="Y116" s="84"/>
      <c r="Z116" s="84"/>
      <c r="AA116" s="84"/>
      <c r="AB116" s="84"/>
      <c r="AC116" s="84"/>
      <c r="AD116" s="84"/>
      <c r="AE116" s="85">
        <f t="shared" si="239"/>
        <v>0</v>
      </c>
      <c r="AF116" s="104"/>
      <c r="AG116" s="88"/>
      <c r="AH116" s="89">
        <f t="shared" ref="AH116:AH118" si="301">SUMPRODUCT($S$6:$AD$6,S116:AD116)</f>
        <v>0</v>
      </c>
      <c r="AI116" s="85">
        <f t="shared" si="212"/>
        <v>0</v>
      </c>
      <c r="AJ116" s="79"/>
      <c r="AK116" s="90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</row>
    <row r="117" spans="1:66" ht="15.75" hidden="1" customHeight="1" outlineLevel="1" x14ac:dyDescent="0.4">
      <c r="A117" s="79"/>
      <c r="B117" s="80"/>
      <c r="C117" s="81" t="s">
        <v>45</v>
      </c>
      <c r="D117" s="102"/>
      <c r="E117" s="103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268">
        <f t="shared" si="237"/>
        <v>0</v>
      </c>
      <c r="R117" s="104"/>
      <c r="S117" s="103"/>
      <c r="T117" s="103"/>
      <c r="U117" s="103"/>
      <c r="V117" s="84"/>
      <c r="W117" s="84"/>
      <c r="X117" s="84"/>
      <c r="Y117" s="84"/>
      <c r="Z117" s="84"/>
      <c r="AA117" s="84"/>
      <c r="AB117" s="84"/>
      <c r="AC117" s="84"/>
      <c r="AD117" s="84"/>
      <c r="AE117" s="85">
        <f t="shared" si="239"/>
        <v>0</v>
      </c>
      <c r="AF117" s="104"/>
      <c r="AG117" s="88"/>
      <c r="AH117" s="89">
        <f t="shared" si="301"/>
        <v>0</v>
      </c>
      <c r="AI117" s="85">
        <f t="shared" si="212"/>
        <v>0</v>
      </c>
      <c r="AJ117" s="79"/>
      <c r="AK117" s="90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</row>
    <row r="118" spans="1:66" ht="15.75" hidden="1" customHeight="1" outlineLevel="1" x14ac:dyDescent="0.4">
      <c r="A118" s="79"/>
      <c r="B118" s="80"/>
      <c r="C118" s="81" t="s">
        <v>46</v>
      </c>
      <c r="D118" s="102"/>
      <c r="E118" s="103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268">
        <f t="shared" si="237"/>
        <v>0</v>
      </c>
      <c r="R118" s="104"/>
      <c r="S118" s="103"/>
      <c r="T118" s="103"/>
      <c r="U118" s="103"/>
      <c r="V118" s="84"/>
      <c r="W118" s="84"/>
      <c r="X118" s="84"/>
      <c r="Y118" s="84"/>
      <c r="Z118" s="84"/>
      <c r="AA118" s="84"/>
      <c r="AB118" s="84"/>
      <c r="AC118" s="84"/>
      <c r="AD118" s="84"/>
      <c r="AE118" s="85">
        <f t="shared" si="239"/>
        <v>0</v>
      </c>
      <c r="AF118" s="104"/>
      <c r="AG118" s="88"/>
      <c r="AH118" s="89">
        <f t="shared" si="301"/>
        <v>0</v>
      </c>
      <c r="AI118" s="85">
        <f t="shared" si="212"/>
        <v>0</v>
      </c>
      <c r="AJ118" s="79"/>
      <c r="AK118" s="90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</row>
    <row r="119" spans="1:66" ht="15" customHeight="1" collapsed="1" x14ac:dyDescent="0.4">
      <c r="B119" s="114"/>
      <c r="C119" s="115"/>
      <c r="D119" s="38"/>
      <c r="E119" s="145">
        <f>E120-'[2]Detailed FS_$ Cons. (formating)'!BR115</f>
        <v>0</v>
      </c>
      <c r="F119" s="145">
        <f>F120-'[2]Detailed FS_$ Cons. (formating)'!BS115</f>
        <v>0</v>
      </c>
      <c r="G119" s="145">
        <f>G120-'[2]Detailed FS_$ Cons. (formating)'!BT115</f>
        <v>0</v>
      </c>
      <c r="H119" s="145">
        <f>H120-'[2]Detailed FS_$ Cons. (formating)'!BU115</f>
        <v>0</v>
      </c>
      <c r="I119" s="145">
        <f>I120-'[2]Detailed FS_$ Cons. (formating)'!BV115</f>
        <v>0</v>
      </c>
      <c r="J119" s="145">
        <f>J120-'[2]Detailed FS_$ Cons. (formating)'!BW115</f>
        <v>0</v>
      </c>
      <c r="K119" s="145">
        <f>K120-'[2]Detailed FS_$ Cons. (formating)'!BX115</f>
        <v>0</v>
      </c>
      <c r="L119" s="145">
        <f>L120-'[2]Detailed FS_$ Cons. (formating)'!BY115</f>
        <v>0</v>
      </c>
      <c r="M119" s="145">
        <f>M120-'[2]Detailed FS_$ Cons. (formating)'!BZ115</f>
        <v>0</v>
      </c>
      <c r="N119" s="145">
        <f>N120-'[2]Detailed FS_$ Cons. (formating)'!CA115</f>
        <v>0</v>
      </c>
      <c r="O119" s="145">
        <f>O120-'[2]Detailed FS_$ Cons. (formating)'!CB115</f>
        <v>0</v>
      </c>
      <c r="P119" s="145">
        <f>P120-'[2]Detailed FS_$ Cons. (formating)'!CC115</f>
        <v>-5.8207660913467407E-11</v>
      </c>
      <c r="Q119" s="272"/>
      <c r="R119" s="35"/>
      <c r="S119" s="145">
        <f>S120-'[2]Detailed FS_$ Cons. (formating)'!CF115</f>
        <v>0</v>
      </c>
      <c r="T119" s="145">
        <f>T120-'[2]Detailed FS_$ Cons. (formating)'!CG115</f>
        <v>0</v>
      </c>
      <c r="U119" s="145">
        <f>U120-'[2]Detailed FS_$ Cons. (formating)'!CH115</f>
        <v>5.8207660913467407E-11</v>
      </c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18"/>
      <c r="AF119" s="35"/>
      <c r="AG119" s="21"/>
      <c r="AH119" s="119"/>
      <c r="AI119" s="118"/>
      <c r="AK119" s="26"/>
    </row>
    <row r="120" spans="1:66" ht="15.75" customHeight="1" x14ac:dyDescent="0.4">
      <c r="B120" s="43" t="s">
        <v>16</v>
      </c>
      <c r="C120" s="44" t="s">
        <v>41</v>
      </c>
      <c r="D120" s="38"/>
      <c r="E120" s="45">
        <f>E82-E89</f>
        <v>-200195.79524241335</v>
      </c>
      <c r="F120" s="46">
        <f t="shared" ref="F120:H120" si="302">F82-F89</f>
        <v>-254096.12948461022</v>
      </c>
      <c r="G120" s="46">
        <f t="shared" si="302"/>
        <v>-236704.41402273183</v>
      </c>
      <c r="H120" s="46">
        <f t="shared" si="302"/>
        <v>-252988.65257178806</v>
      </c>
      <c r="I120" s="46">
        <f t="shared" ref="I120:J120" si="303">I82-I89</f>
        <v>-292041.92525023792</v>
      </c>
      <c r="J120" s="46">
        <f t="shared" si="303"/>
        <v>-224377.03867380961</v>
      </c>
      <c r="K120" s="46">
        <f t="shared" ref="K120" si="304">K82-K89</f>
        <v>-377020.28740453511</v>
      </c>
      <c r="L120" s="46">
        <f t="shared" ref="L120" si="305">L82-L89</f>
        <v>-248243.75435416077</v>
      </c>
      <c r="M120" s="46">
        <f t="shared" ref="M120:N120" si="306">M82-M89</f>
        <v>-207503.75726787082</v>
      </c>
      <c r="N120" s="46">
        <f t="shared" si="306"/>
        <v>-268092.56392889802</v>
      </c>
      <c r="O120" s="46">
        <f>O82-O89</f>
        <v>-273286.91291207296</v>
      </c>
      <c r="P120" s="46">
        <f>P82-P89</f>
        <v>-32075.748645082698</v>
      </c>
      <c r="Q120" s="270">
        <f>SUM(E120:P120)</f>
        <v>-2866626.9797582114</v>
      </c>
      <c r="R120" s="35"/>
      <c r="S120" s="45">
        <f>S82-S89</f>
        <v>-366484.0942652871</v>
      </c>
      <c r="T120" s="45">
        <f>T82-T89</f>
        <v>-346373.02532699407</v>
      </c>
      <c r="U120" s="45">
        <f>U82-U89</f>
        <v>64903.820204659249</v>
      </c>
      <c r="V120" s="46">
        <f>V82+V89</f>
        <v>0</v>
      </c>
      <c r="W120" s="46">
        <f t="shared" ref="W120:AD120" si="307">W82+W89</f>
        <v>0</v>
      </c>
      <c r="X120" s="46">
        <f t="shared" si="307"/>
        <v>0</v>
      </c>
      <c r="Y120" s="46">
        <f t="shared" si="307"/>
        <v>0</v>
      </c>
      <c r="Z120" s="46">
        <f t="shared" si="307"/>
        <v>0</v>
      </c>
      <c r="AA120" s="46">
        <f t="shared" si="307"/>
        <v>0</v>
      </c>
      <c r="AB120" s="46">
        <f t="shared" si="307"/>
        <v>0</v>
      </c>
      <c r="AC120" s="46">
        <f t="shared" si="307"/>
        <v>0</v>
      </c>
      <c r="AD120" s="46">
        <f t="shared" si="307"/>
        <v>0</v>
      </c>
      <c r="AE120" s="48">
        <f>SUM(S120:AD120)</f>
        <v>-647953.29938762193</v>
      </c>
      <c r="AF120" s="35"/>
      <c r="AG120" s="21"/>
      <c r="AH120" s="49">
        <f t="shared" ref="AH120:AH136" si="308">SUMPRODUCT($E$6:$AD$6,E120:AD120)</f>
        <v>-366484.0942652871</v>
      </c>
      <c r="AI120" s="48">
        <f t="shared" ref="AI120:AI136" si="309">SUMPRODUCT($E$5:$AD$5,E120:AD120)</f>
        <v>-366484.0942652871</v>
      </c>
      <c r="AK120" s="26"/>
    </row>
    <row r="121" spans="1:66" ht="15" customHeight="1" x14ac:dyDescent="0.4">
      <c r="A121" s="50"/>
      <c r="B121" s="61"/>
      <c r="C121" s="62" t="str">
        <f>IF($C$2="AV",C124,IF($C$2="Mgmt",C122,IF($C$2="Mgmt (Adj)",C123)))</f>
        <v>plan (AV)</v>
      </c>
      <c r="D121" s="53"/>
      <c r="E121" s="63">
        <f t="shared" ref="E121:H121" si="310">IF($C$2="AV",E124,IF($C$2="Mgmt",E122,IF($C$2="Mgmt (Adj)",E123)))</f>
        <v>0</v>
      </c>
      <c r="F121" s="40">
        <f t="shared" si="310"/>
        <v>0</v>
      </c>
      <c r="G121" s="40">
        <f t="shared" si="310"/>
        <v>0</v>
      </c>
      <c r="H121" s="40">
        <f t="shared" si="310"/>
        <v>0</v>
      </c>
      <c r="I121" s="40">
        <f t="shared" ref="I121:J121" si="311">IF($C$2="AV",I124,IF($C$2="Mgmt",I122,IF($C$2="Mgmt (Adj)",I123)))</f>
        <v>0</v>
      </c>
      <c r="J121" s="40">
        <f t="shared" si="311"/>
        <v>0</v>
      </c>
      <c r="K121" s="40">
        <f t="shared" ref="K121" si="312">IF($C$2="AV",K124,IF($C$2="Mgmt",K122,IF($C$2="Mgmt (Adj)",K123)))</f>
        <v>0</v>
      </c>
      <c r="L121" s="40">
        <f t="shared" ref="L121" si="313">IF($C$2="AV",L124,IF($C$2="Mgmt",L122,IF($C$2="Mgmt (Adj)",L123)))</f>
        <v>0</v>
      </c>
      <c r="M121" s="40">
        <f t="shared" ref="M121:N121" si="314">IF($C$2="AV",M124,IF($C$2="Mgmt",M122,IF($C$2="Mgmt (Adj)",M123)))</f>
        <v>0</v>
      </c>
      <c r="N121" s="40">
        <f t="shared" si="314"/>
        <v>0</v>
      </c>
      <c r="O121" s="40">
        <f>IF($C$2="AV",O124,IF($C$2="Mgmt",O122,IF($C$2="Mgmt (Adj)",O123)))</f>
        <v>0</v>
      </c>
      <c r="P121" s="40">
        <f>IF($C$2="AV",P124,IF($C$2="Mgmt",P122,IF($C$2="Mgmt (Adj)",P123)))</f>
        <v>0</v>
      </c>
      <c r="Q121" s="261">
        <f>SUM(E121:P121)</f>
        <v>0</v>
      </c>
      <c r="R121" s="56"/>
      <c r="S121" s="63">
        <f>IF($C$2="AV",S124,IF($C$2="Mgmt",S122,IF($C$2="Mgmt (Adj)",S123)))</f>
        <v>0</v>
      </c>
      <c r="T121" s="63">
        <f>IF($C$2="AV",T124,IF($C$2="Mgmt",T122,IF($C$2="Mgmt (Adj)",T123)))</f>
        <v>0</v>
      </c>
      <c r="U121" s="63">
        <f>IF($C$2="AV",U124,IF($C$2="Mgmt",U122,IF($C$2="Mgmt (Adj)",U123)))</f>
        <v>0</v>
      </c>
      <c r="V121" s="40">
        <f t="shared" ref="V121:AD121" si="315">IF($C$2="AV",V124,IF($C$2="Mgmt",V122,IF($C$2="Mgmt (Adj)",V123)))</f>
        <v>0</v>
      </c>
      <c r="W121" s="40">
        <f t="shared" si="315"/>
        <v>0</v>
      </c>
      <c r="X121" s="40">
        <f t="shared" si="315"/>
        <v>0</v>
      </c>
      <c r="Y121" s="40">
        <f t="shared" si="315"/>
        <v>0</v>
      </c>
      <c r="Z121" s="40">
        <f t="shared" si="315"/>
        <v>0</v>
      </c>
      <c r="AA121" s="40">
        <f t="shared" si="315"/>
        <v>0</v>
      </c>
      <c r="AB121" s="40">
        <f t="shared" si="315"/>
        <v>0</v>
      </c>
      <c r="AC121" s="40">
        <f t="shared" si="315"/>
        <v>0</v>
      </c>
      <c r="AD121" s="40">
        <f t="shared" si="315"/>
        <v>0</v>
      </c>
      <c r="AE121" s="55">
        <f>SUM(S121:AD121)</f>
        <v>0</v>
      </c>
      <c r="AF121" s="56"/>
      <c r="AG121" s="58"/>
      <c r="AH121" s="59">
        <f t="shared" si="308"/>
        <v>0</v>
      </c>
      <c r="AI121" s="55">
        <f t="shared" si="309"/>
        <v>0</v>
      </c>
      <c r="AJ121" s="50"/>
      <c r="AK121" s="6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</row>
    <row r="122" spans="1:66" ht="15.75" hidden="1" customHeight="1" outlineLevel="1" x14ac:dyDescent="0.4">
      <c r="A122" s="50"/>
      <c r="B122" s="61"/>
      <c r="C122" s="62" t="s">
        <v>44</v>
      </c>
      <c r="D122" s="53"/>
      <c r="E122" s="63">
        <f t="shared" ref="E122:H124" si="316">E84+E91</f>
        <v>0</v>
      </c>
      <c r="F122" s="40">
        <f t="shared" si="316"/>
        <v>0</v>
      </c>
      <c r="G122" s="40">
        <f t="shared" si="316"/>
        <v>0</v>
      </c>
      <c r="H122" s="40">
        <f t="shared" si="316"/>
        <v>0</v>
      </c>
      <c r="I122" s="40">
        <f t="shared" ref="I122:J122" si="317">I84+I91</f>
        <v>0</v>
      </c>
      <c r="J122" s="40">
        <f t="shared" si="317"/>
        <v>0</v>
      </c>
      <c r="K122" s="40">
        <f t="shared" ref="K122" si="318">K84+K91</f>
        <v>0</v>
      </c>
      <c r="L122" s="40">
        <f t="shared" ref="L122" si="319">L84+L91</f>
        <v>0</v>
      </c>
      <c r="M122" s="40">
        <f t="shared" ref="M122:N122" si="320">M84+M91</f>
        <v>0</v>
      </c>
      <c r="N122" s="40">
        <f t="shared" si="320"/>
        <v>0</v>
      </c>
      <c r="O122" s="40">
        <f t="shared" ref="O122:P124" si="321">O84+O91</f>
        <v>0</v>
      </c>
      <c r="P122" s="40">
        <f t="shared" si="321"/>
        <v>0</v>
      </c>
      <c r="Q122" s="261">
        <f>SUM(E122:P122)</f>
        <v>0</v>
      </c>
      <c r="R122" s="56"/>
      <c r="S122" s="63">
        <f t="shared" ref="S122:T122" si="322">S84+S91</f>
        <v>0</v>
      </c>
      <c r="T122" s="63">
        <f t="shared" si="322"/>
        <v>0</v>
      </c>
      <c r="U122" s="63">
        <f t="shared" ref="U122" si="323">U84+U91</f>
        <v>0</v>
      </c>
      <c r="V122" s="40">
        <f t="shared" ref="V122:AD124" si="324">V84+V91</f>
        <v>0</v>
      </c>
      <c r="W122" s="40">
        <f t="shared" si="324"/>
        <v>0</v>
      </c>
      <c r="X122" s="40">
        <f t="shared" si="324"/>
        <v>0</v>
      </c>
      <c r="Y122" s="40">
        <f t="shared" si="324"/>
        <v>0</v>
      </c>
      <c r="Z122" s="40">
        <f t="shared" si="324"/>
        <v>0</v>
      </c>
      <c r="AA122" s="40">
        <f t="shared" si="324"/>
        <v>0</v>
      </c>
      <c r="AB122" s="40">
        <f t="shared" si="324"/>
        <v>0</v>
      </c>
      <c r="AC122" s="40">
        <f t="shared" si="324"/>
        <v>0</v>
      </c>
      <c r="AD122" s="40">
        <f t="shared" si="324"/>
        <v>0</v>
      </c>
      <c r="AE122" s="133">
        <f>SUM(S122:AD122)</f>
        <v>0</v>
      </c>
      <c r="AF122" s="56"/>
      <c r="AG122" s="58"/>
      <c r="AH122" s="134">
        <f t="shared" si="308"/>
        <v>0</v>
      </c>
      <c r="AI122" s="133">
        <f t="shared" si="309"/>
        <v>0</v>
      </c>
      <c r="AJ122" s="50"/>
      <c r="AK122" s="6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</row>
    <row r="123" spans="1:66" ht="15.75" hidden="1" customHeight="1" outlineLevel="1" x14ac:dyDescent="0.4">
      <c r="A123" s="50"/>
      <c r="B123" s="61"/>
      <c r="C123" s="62" t="s">
        <v>45</v>
      </c>
      <c r="D123" s="53"/>
      <c r="E123" s="63">
        <f t="shared" si="316"/>
        <v>0</v>
      </c>
      <c r="F123" s="40">
        <f t="shared" si="316"/>
        <v>0</v>
      </c>
      <c r="G123" s="40">
        <f t="shared" si="316"/>
        <v>0</v>
      </c>
      <c r="H123" s="40">
        <f t="shared" si="316"/>
        <v>0</v>
      </c>
      <c r="I123" s="40">
        <f t="shared" ref="I123:J123" si="325">I85+I92</f>
        <v>0</v>
      </c>
      <c r="J123" s="40">
        <f t="shared" si="325"/>
        <v>0</v>
      </c>
      <c r="K123" s="40">
        <f t="shared" ref="K123" si="326">K85+K92</f>
        <v>0</v>
      </c>
      <c r="L123" s="40">
        <f t="shared" ref="L123" si="327">L85+L92</f>
        <v>0</v>
      </c>
      <c r="M123" s="40">
        <f t="shared" ref="M123:N123" si="328">M85+M92</f>
        <v>0</v>
      </c>
      <c r="N123" s="40">
        <f t="shared" si="328"/>
        <v>0</v>
      </c>
      <c r="O123" s="40">
        <f t="shared" si="321"/>
        <v>0</v>
      </c>
      <c r="P123" s="40">
        <f t="shared" si="321"/>
        <v>0</v>
      </c>
      <c r="Q123" s="261">
        <f>SUM(E123:P123)</f>
        <v>0</v>
      </c>
      <c r="R123" s="56"/>
      <c r="S123" s="63">
        <f t="shared" ref="S123:T123" si="329">S85+S92</f>
        <v>0</v>
      </c>
      <c r="T123" s="63">
        <f t="shared" si="329"/>
        <v>0</v>
      </c>
      <c r="U123" s="63">
        <f t="shared" ref="U123" si="330">U85+U92</f>
        <v>0</v>
      </c>
      <c r="V123" s="40">
        <f t="shared" si="324"/>
        <v>0</v>
      </c>
      <c r="W123" s="40">
        <f t="shared" si="324"/>
        <v>0</v>
      </c>
      <c r="X123" s="40">
        <f t="shared" si="324"/>
        <v>0</v>
      </c>
      <c r="Y123" s="40">
        <f t="shared" si="324"/>
        <v>0</v>
      </c>
      <c r="Z123" s="40">
        <f t="shared" si="324"/>
        <v>0</v>
      </c>
      <c r="AA123" s="40">
        <f t="shared" si="324"/>
        <v>0</v>
      </c>
      <c r="AB123" s="40">
        <f t="shared" si="324"/>
        <v>0</v>
      </c>
      <c r="AC123" s="40">
        <f t="shared" si="324"/>
        <v>0</v>
      </c>
      <c r="AD123" s="40">
        <f t="shared" si="324"/>
        <v>0</v>
      </c>
      <c r="AE123" s="133">
        <f>SUM(S123:AD123)</f>
        <v>0</v>
      </c>
      <c r="AF123" s="56"/>
      <c r="AG123" s="58"/>
      <c r="AH123" s="134">
        <f t="shared" si="308"/>
        <v>0</v>
      </c>
      <c r="AI123" s="133">
        <f t="shared" si="309"/>
        <v>0</v>
      </c>
      <c r="AJ123" s="50"/>
      <c r="AK123" s="6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</row>
    <row r="124" spans="1:66" ht="15.75" hidden="1" customHeight="1" outlineLevel="1" x14ac:dyDescent="0.4">
      <c r="A124" s="50"/>
      <c r="B124" s="61"/>
      <c r="C124" s="52" t="s">
        <v>46</v>
      </c>
      <c r="D124" s="53"/>
      <c r="E124" s="63">
        <f t="shared" si="316"/>
        <v>0</v>
      </c>
      <c r="F124" s="40">
        <f t="shared" si="316"/>
        <v>0</v>
      </c>
      <c r="G124" s="40">
        <f t="shared" si="316"/>
        <v>0</v>
      </c>
      <c r="H124" s="40">
        <f t="shared" si="316"/>
        <v>0</v>
      </c>
      <c r="I124" s="40">
        <f t="shared" ref="I124:J124" si="331">I86+I93</f>
        <v>0</v>
      </c>
      <c r="J124" s="40">
        <f t="shared" si="331"/>
        <v>0</v>
      </c>
      <c r="K124" s="40">
        <f t="shared" ref="K124" si="332">K86+K93</f>
        <v>0</v>
      </c>
      <c r="L124" s="40">
        <f t="shared" ref="L124" si="333">L86+L93</f>
        <v>0</v>
      </c>
      <c r="M124" s="40">
        <f t="shared" ref="M124:N124" si="334">M86+M93</f>
        <v>0</v>
      </c>
      <c r="N124" s="40">
        <f t="shared" si="334"/>
        <v>0</v>
      </c>
      <c r="O124" s="40">
        <f t="shared" si="321"/>
        <v>0</v>
      </c>
      <c r="P124" s="40">
        <f t="shared" si="321"/>
        <v>0</v>
      </c>
      <c r="Q124" s="261">
        <f>SUM(E124:P124)</f>
        <v>0</v>
      </c>
      <c r="R124" s="56"/>
      <c r="S124" s="63">
        <f t="shared" ref="S124:T124" si="335">S86+S93</f>
        <v>0</v>
      </c>
      <c r="T124" s="63">
        <f t="shared" si="335"/>
        <v>0</v>
      </c>
      <c r="U124" s="63">
        <f t="shared" ref="U124" si="336">U86+U93</f>
        <v>0</v>
      </c>
      <c r="V124" s="40">
        <f t="shared" si="324"/>
        <v>0</v>
      </c>
      <c r="W124" s="40">
        <f t="shared" si="324"/>
        <v>0</v>
      </c>
      <c r="X124" s="40">
        <f t="shared" si="324"/>
        <v>0</v>
      </c>
      <c r="Y124" s="40">
        <f t="shared" si="324"/>
        <v>0</v>
      </c>
      <c r="Z124" s="40">
        <f t="shared" si="324"/>
        <v>0</v>
      </c>
      <c r="AA124" s="40">
        <f t="shared" si="324"/>
        <v>0</v>
      </c>
      <c r="AB124" s="40">
        <f t="shared" si="324"/>
        <v>0</v>
      </c>
      <c r="AC124" s="40">
        <f t="shared" si="324"/>
        <v>0</v>
      </c>
      <c r="AD124" s="40">
        <f t="shared" si="324"/>
        <v>0</v>
      </c>
      <c r="AE124" s="133">
        <f>SUM(S124:AD124)</f>
        <v>0</v>
      </c>
      <c r="AF124" s="56"/>
      <c r="AG124" s="58"/>
      <c r="AH124" s="134">
        <f t="shared" si="308"/>
        <v>0</v>
      </c>
      <c r="AI124" s="133">
        <f t="shared" si="309"/>
        <v>0</v>
      </c>
      <c r="AJ124" s="50"/>
      <c r="AK124" s="60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</row>
    <row r="125" spans="1:66" ht="15.75" customHeight="1" collapsed="1" x14ac:dyDescent="0.4">
      <c r="B125" s="146"/>
      <c r="C125" s="147"/>
      <c r="D125" s="13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275"/>
      <c r="R125" s="142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8"/>
      <c r="AE125" s="149"/>
      <c r="AF125" s="142"/>
      <c r="AG125" s="150"/>
      <c r="AH125" s="151">
        <f t="shared" si="308"/>
        <v>0</v>
      </c>
      <c r="AI125" s="149">
        <f t="shared" si="309"/>
        <v>0</v>
      </c>
      <c r="AK125" s="26"/>
    </row>
    <row r="126" spans="1:66" ht="15.75" customHeight="1" x14ac:dyDescent="0.4">
      <c r="B126" s="43" t="s">
        <v>67</v>
      </c>
      <c r="C126" s="44" t="s">
        <v>41</v>
      </c>
      <c r="D126" s="38">
        <f>D127+D129</f>
        <v>0</v>
      </c>
      <c r="E126" s="45">
        <f t="shared" ref="E126:J126" si="337">E127+E129+E130+E128</f>
        <v>7726.2545459022676</v>
      </c>
      <c r="F126" s="47">
        <f t="shared" si="337"/>
        <v>4854.8287089316027</v>
      </c>
      <c r="G126" s="47">
        <f t="shared" si="337"/>
        <v>6253.9710383656593</v>
      </c>
      <c r="H126" s="47">
        <f t="shared" si="337"/>
        <v>7199.2860817356486</v>
      </c>
      <c r="I126" s="46">
        <f t="shared" si="337"/>
        <v>6886.5830962746522</v>
      </c>
      <c r="J126" s="46">
        <f t="shared" si="337"/>
        <v>8197.5461262081408</v>
      </c>
      <c r="K126" s="46">
        <f t="shared" ref="K126" si="338">K127+K129+K130+K128</f>
        <v>23277.312179874814</v>
      </c>
      <c r="L126" s="46">
        <f t="shared" ref="L126" si="339">L127+L129+L130+L128</f>
        <v>8940.5819588721279</v>
      </c>
      <c r="M126" s="46">
        <f t="shared" ref="M126:N126" si="340">M127+M129+M130+M128</f>
        <v>3041.7293150270489</v>
      </c>
      <c r="N126" s="46">
        <f t="shared" si="340"/>
        <v>73482.757121390605</v>
      </c>
      <c r="O126" s="46">
        <f>O127+O129+O130+O128</f>
        <v>-11512.997523640235</v>
      </c>
      <c r="P126" s="46">
        <f>P127+P129+P130+P128</f>
        <v>69689.455551794468</v>
      </c>
      <c r="Q126" s="270">
        <f>SUM(E126:P126)</f>
        <v>208037.30820073682</v>
      </c>
      <c r="R126" s="35">
        <f>R127+R129</f>
        <v>0</v>
      </c>
      <c r="S126" s="45">
        <f>S127+S129+S130+S128</f>
        <v>37007.15460009357</v>
      </c>
      <c r="T126" s="45">
        <f>T127+T129+T130+T128</f>
        <v>40965.680638379381</v>
      </c>
      <c r="U126" s="45">
        <f>U127+U129+U130+U128</f>
        <v>46386.131291847982</v>
      </c>
      <c r="V126" s="47">
        <f t="shared" ref="V126:AD126" si="341">V127+V129+V130</f>
        <v>0</v>
      </c>
      <c r="W126" s="46">
        <f t="shared" si="341"/>
        <v>0</v>
      </c>
      <c r="X126" s="46">
        <f t="shared" si="341"/>
        <v>0</v>
      </c>
      <c r="Y126" s="46">
        <f t="shared" si="341"/>
        <v>0</v>
      </c>
      <c r="Z126" s="46">
        <f t="shared" si="341"/>
        <v>0</v>
      </c>
      <c r="AA126" s="46">
        <f t="shared" si="341"/>
        <v>0</v>
      </c>
      <c r="AB126" s="46">
        <f t="shared" si="341"/>
        <v>0</v>
      </c>
      <c r="AC126" s="46">
        <f t="shared" si="341"/>
        <v>0</v>
      </c>
      <c r="AD126" s="46">
        <f t="shared" si="341"/>
        <v>0</v>
      </c>
      <c r="AE126" s="48">
        <f>SUM(S126:AD126)</f>
        <v>124358.96653032093</v>
      </c>
      <c r="AF126" s="35">
        <f>AF127+AF129</f>
        <v>0</v>
      </c>
      <c r="AG126" s="21"/>
      <c r="AH126" s="49">
        <f t="shared" si="308"/>
        <v>37007.15460009357</v>
      </c>
      <c r="AI126" s="48">
        <f t="shared" si="309"/>
        <v>37007.15460009357</v>
      </c>
      <c r="AK126" s="26"/>
    </row>
    <row r="127" spans="1:66" ht="15.75" customHeight="1" x14ac:dyDescent="0.4">
      <c r="B127" s="65" t="s">
        <v>68</v>
      </c>
      <c r="C127" s="66" t="s">
        <v>41</v>
      </c>
      <c r="D127" s="29"/>
      <c r="E127" s="127">
        <f>'[2]Detailed FS_$ Cons. (formating)'!BR$123+'[2]Detailed FS_$ Cons. (formating)'!BR$124+'[2]Detailed FS_$ Cons. (formating)'!BR$122</f>
        <v>-211.75354680662753</v>
      </c>
      <c r="F127" s="92">
        <f>'[2]Detailed FS_$ Cons. (formating)'!BS$123+'[2]Detailed FS_$ Cons. (formating)'!BS$124+'[2]Detailed FS_$ Cons. (formating)'!BS$122</f>
        <v>-64.226178375656687</v>
      </c>
      <c r="G127" s="92">
        <f>'[2]Detailed FS_$ Cons. (formating)'!BT$123+'[2]Detailed FS_$ Cons. (formating)'!BT$124+'[2]Detailed FS_$ Cons. (formating)'!BT$122</f>
        <v>80.191851256900122</v>
      </c>
      <c r="H127" s="92">
        <f>'[2]Detailed FS_$ Cons. (formating)'!BU$123+'[2]Detailed FS_$ Cons. (formating)'!BU$124+'[2]Detailed FS_$ Cons. (formating)'!BU$122</f>
        <v>232.86535895049792</v>
      </c>
      <c r="I127" s="92">
        <f>'[2]Detailed FS_$ Cons. (formating)'!BV$123+'[2]Detailed FS_$ Cons. (formating)'!BV$124+'[2]Detailed FS_$ Cons. (formating)'!BV$122</f>
        <v>-152.49430068080807</v>
      </c>
      <c r="J127" s="92">
        <f>'[2]Detailed FS_$ Cons. (formating)'!BW$123+'[2]Detailed FS_$ Cons. (formating)'!BW$124+'[2]Detailed FS_$ Cons. (formating)'!BW$122</f>
        <v>24.462678074815756</v>
      </c>
      <c r="K127" s="92">
        <f>'[2]Detailed FS_$ Cons. (formating)'!BX$123+'[2]Detailed FS_$ Cons. (formating)'!BX$124+'[2]Detailed FS_$ Cons. (formating)'!BX$122</f>
        <v>-194.27339050831546</v>
      </c>
      <c r="L127" s="92">
        <f>'[2]Detailed FS_$ Cons. (formating)'!BY$123+'[2]Detailed FS_$ Cons. (formating)'!BY$124+'[2]Detailed FS_$ Cons. (formating)'!BY$122</f>
        <v>-20424.816865742643</v>
      </c>
      <c r="M127" s="92">
        <f>'[2]Detailed FS_$ Cons. (formating)'!BZ$123+'[2]Detailed FS_$ Cons. (formating)'!BZ$124+'[2]Detailed FS_$ Cons. (formating)'!BZ$122</f>
        <v>-27.680016301824384</v>
      </c>
      <c r="N127" s="92">
        <f>'[2]Detailed FS_$ Cons. (formating)'!CA$123+'[2]Detailed FS_$ Cons. (formating)'!CA$124+'[2]Detailed FS_$ Cons. (formating)'!CA$122</f>
        <v>-65.697482073079655</v>
      </c>
      <c r="O127" s="92">
        <f>'[2]Detailed FS_$ Cons. (formating)'!CB$123+'[2]Detailed FS_$ Cons. (formating)'!CB$124+'[2]Detailed FS_$ Cons. (formating)'!CB$122</f>
        <v>-41070.598583983701</v>
      </c>
      <c r="P127" s="92">
        <f>'[2]Detailed FS_$ Cons. (formating)'!CC$123+'[2]Detailed FS_$ Cons. (formating)'!CC$124+'[2]Detailed FS_$ Cons. (formating)'!CC$122</f>
        <v>-11414.269457134502</v>
      </c>
      <c r="Q127" s="273">
        <f>SUM(E127:P127)</f>
        <v>-73288.289933324952</v>
      </c>
      <c r="R127" s="35"/>
      <c r="S127" s="127">
        <f>'[2]Detailed FS_$ Cons. (formating)'!CF$123+'[2]Detailed FS_$ Cons. (formating)'!CF$124+'[2]Detailed FS_$ Cons. (formating)'!CF$122</f>
        <v>-4729.0444903482785</v>
      </c>
      <c r="T127" s="127">
        <f>'[2]Detailed FS_$ Cons. (formating)'!CG$123+'[2]Detailed FS_$ Cons. (formating)'!CG$124+'[2]Detailed FS_$ Cons. (formating)'!CG$122</f>
        <v>-919.77754446080189</v>
      </c>
      <c r="U127" s="127">
        <f>'[2]Detailed FS_$ Cons. (formating)'!CH$123+'[2]Detailed FS_$ Cons. (formating)'!CH$124+'[2]Detailed FS_$ Cons. (formating)'!CH$122</f>
        <v>-653.18416654516182</v>
      </c>
      <c r="V127" s="92"/>
      <c r="W127" s="92"/>
      <c r="X127" s="92"/>
      <c r="Y127" s="92"/>
      <c r="Z127" s="92"/>
      <c r="AA127" s="92"/>
      <c r="AB127" s="92"/>
      <c r="AC127" s="92"/>
      <c r="AD127" s="92"/>
      <c r="AE127" s="71">
        <f>SUM(S127:AD127)</f>
        <v>-6302.006201354242</v>
      </c>
      <c r="AF127" s="35"/>
      <c r="AG127" s="21"/>
      <c r="AH127" s="70">
        <f t="shared" si="308"/>
        <v>-4729.0444903482785</v>
      </c>
      <c r="AI127" s="71">
        <f t="shared" si="309"/>
        <v>-4729.0444903482785</v>
      </c>
      <c r="AK127" s="72"/>
    </row>
    <row r="128" spans="1:66" ht="15.75" customHeight="1" x14ac:dyDescent="0.4">
      <c r="B128" s="65" t="s">
        <v>69</v>
      </c>
      <c r="C128" s="66" t="s">
        <v>41</v>
      </c>
      <c r="D128" s="29"/>
      <c r="E128" s="127">
        <f>+'[2]Detailed FS_$ Cons. (formating)'!BR$125</f>
        <v>569.27047823122621</v>
      </c>
      <c r="F128" s="92">
        <f>+'[2]Detailed FS_$ Cons. (formating)'!BS$125</f>
        <v>564.52276105134092</v>
      </c>
      <c r="G128" s="92">
        <f>+'[2]Detailed FS_$ Cons. (formating)'!BT$125</f>
        <v>565.38535949776917</v>
      </c>
      <c r="H128" s="92">
        <f>+'[2]Detailed FS_$ Cons. (formating)'!BU$125</f>
        <v>496.84339215447324</v>
      </c>
      <c r="I128" s="92">
        <f>+'[2]Detailed FS_$ Cons. (formating)'!BV$125</f>
        <v>507.48231307266695</v>
      </c>
      <c r="J128" s="92">
        <f>+'[2]Detailed FS_$ Cons. (formating)'!BW$125</f>
        <v>508.98031177387327</v>
      </c>
      <c r="K128" s="92">
        <f>+'[2]Detailed FS_$ Cons. (formating)'!BX$125</f>
        <v>446.7748156597882</v>
      </c>
      <c r="L128" s="92">
        <f>+'[2]Detailed FS_$ Cons. (formating)'!BY$125</f>
        <v>-9531.1105584547186</v>
      </c>
      <c r="M128" s="92">
        <f>+'[2]Detailed FS_$ Cons. (formating)'!BZ$125</f>
        <v>0</v>
      </c>
      <c r="N128" s="92">
        <f>+'[2]Detailed FS_$ Cons. (formating)'!CA$125</f>
        <v>22610.897707750399</v>
      </c>
      <c r="O128" s="92">
        <f>+'[2]Detailed FS_$ Cons. (formating)'!CB$125</f>
        <v>22487.353627491557</v>
      </c>
      <c r="P128" s="92">
        <f>+'[2]Detailed FS_$ Cons. (formating)'!CC$125</f>
        <v>22389.326720474288</v>
      </c>
      <c r="Q128" s="273"/>
      <c r="R128" s="35"/>
      <c r="S128" s="127">
        <f>+'[2]Detailed FS_$ Cons. (formating)'!CF$125</f>
        <v>15450.709800593975</v>
      </c>
      <c r="T128" s="127">
        <f>+'[2]Detailed FS_$ Cons. (formating)'!CG$125</f>
        <v>15256.524088814411</v>
      </c>
      <c r="U128" s="127">
        <f>+'[2]Detailed FS_$ Cons. (formating)'!CH$125</f>
        <v>19358.999277549388</v>
      </c>
      <c r="V128" s="92"/>
      <c r="W128" s="92"/>
      <c r="X128" s="92"/>
      <c r="Y128" s="92"/>
      <c r="Z128" s="92"/>
      <c r="AA128" s="92"/>
      <c r="AB128" s="92"/>
      <c r="AC128" s="92"/>
      <c r="AD128" s="92"/>
      <c r="AE128" s="71"/>
      <c r="AF128" s="35"/>
      <c r="AG128" s="21"/>
      <c r="AH128" s="70"/>
      <c r="AI128" s="71"/>
      <c r="AK128" s="72"/>
    </row>
    <row r="129" spans="2:37" ht="15.75" customHeight="1" x14ac:dyDescent="0.4">
      <c r="B129" s="65" t="s">
        <v>70</v>
      </c>
      <c r="C129" s="66" t="s">
        <v>41</v>
      </c>
      <c r="D129" s="29"/>
      <c r="E129" s="127">
        <f>'[2]Detailed FS_$ Cons. (formating)'!BR$120</f>
        <v>3115.8303939780435</v>
      </c>
      <c r="F129" s="92">
        <f>'[2]Detailed FS_$ Cons. (formating)'!BS$120</f>
        <v>-175.41583507993749</v>
      </c>
      <c r="G129" s="92">
        <f>'[2]Detailed FS_$ Cons. (formating)'!BT$120</f>
        <v>75.994985588502374</v>
      </c>
      <c r="H129" s="92">
        <f>'[2]Detailed FS_$ Cons. (formating)'!BU$120</f>
        <v>939.5012323742958</v>
      </c>
      <c r="I129" s="92">
        <f>'[2]Detailed FS_$ Cons. (formating)'!BV$120</f>
        <v>899.89841560464811</v>
      </c>
      <c r="J129" s="92">
        <f>'[2]Detailed FS_$ Cons. (formating)'!BW$120</f>
        <v>1946.4666701567726</v>
      </c>
      <c r="K129" s="92">
        <f>'[2]Detailed FS_$ Cons. (formating)'!BX$120</f>
        <v>-1045.9486742092918</v>
      </c>
      <c r="L129" s="92">
        <f>'[2]Detailed FS_$ Cons. (formating)'!BY$120</f>
        <v>-33.202888154906383</v>
      </c>
      <c r="M129" s="92">
        <f>'[2]Detailed FS_$ Cons. (formating)'!BZ$120</f>
        <v>-23606.959146704412</v>
      </c>
      <c r="N129" s="92">
        <f>'[2]Detailed FS_$ Cons. (formating)'!CA$120</f>
        <v>23872.237840583628</v>
      </c>
      <c r="O129" s="92">
        <f>'[2]Detailed FS_$ Cons. (formating)'!CB$120</f>
        <v>-20289.245299370719</v>
      </c>
      <c r="P129" s="92">
        <f>'[2]Detailed FS_$ Cons. (formating)'!CC$120</f>
        <v>33434.330669958697</v>
      </c>
      <c r="Q129" s="273">
        <f>SUM(E129:P129)</f>
        <v>19133.488364725323</v>
      </c>
      <c r="R129" s="35"/>
      <c r="S129" s="127">
        <f>'[2]Detailed FS_$ Cons. (formating)'!CF$120</f>
        <v>-2658.0957041249985</v>
      </c>
      <c r="T129" s="127">
        <f>'[2]Detailed FS_$ Cons. (formating)'!CG$120</f>
        <v>-3128.4550233593682</v>
      </c>
      <c r="U129" s="127">
        <f>'[2]Detailed FS_$ Cons. (formating)'!CH$120</f>
        <v>5.4962889463017293</v>
      </c>
      <c r="V129" s="92"/>
      <c r="W129" s="92"/>
      <c r="X129" s="92"/>
      <c r="Y129" s="92"/>
      <c r="Z129" s="92"/>
      <c r="AA129" s="92"/>
      <c r="AB129" s="92"/>
      <c r="AC129" s="92"/>
      <c r="AD129" s="92"/>
      <c r="AE129" s="71">
        <f>SUM(S129:AD129)</f>
        <v>-5781.0544385380654</v>
      </c>
      <c r="AF129" s="35"/>
      <c r="AG129" s="21"/>
      <c r="AH129" s="70">
        <f t="shared" si="308"/>
        <v>-2658.0957041249985</v>
      </c>
      <c r="AI129" s="71">
        <f t="shared" si="309"/>
        <v>-2658.0957041249985</v>
      </c>
      <c r="AK129" s="72"/>
    </row>
    <row r="130" spans="2:37" ht="15.75" customHeight="1" x14ac:dyDescent="0.4">
      <c r="B130" s="65" t="s">
        <v>71</v>
      </c>
      <c r="C130" s="66" t="s">
        <v>41</v>
      </c>
      <c r="D130" s="29"/>
      <c r="E130" s="152">
        <f>'[2]Detailed FS_$ Cons. (formating)'!BR$142</f>
        <v>4252.9072204996246</v>
      </c>
      <c r="F130" s="92">
        <f>'[2]Detailed FS_$ Cons. (formating)'!BS$142</f>
        <v>4529.9479613358553</v>
      </c>
      <c r="G130" s="92">
        <f>'[2]Detailed FS_$ Cons. (formating)'!BT$142</f>
        <v>5532.3988420224878</v>
      </c>
      <c r="H130" s="92">
        <f>'[2]Detailed FS_$ Cons. (formating)'!BU$142</f>
        <v>5530.0760982563825</v>
      </c>
      <c r="I130" s="92">
        <f>'[2]Detailed FS_$ Cons. (formating)'!BV$142</f>
        <v>5631.6966682781449</v>
      </c>
      <c r="J130" s="92">
        <f>'[2]Detailed FS_$ Cons. (formating)'!BW$142</f>
        <v>5717.6364662026781</v>
      </c>
      <c r="K130" s="92">
        <f>'[2]Detailed FS_$ Cons. (formating)'!BX$142</f>
        <v>24070.759428932633</v>
      </c>
      <c r="L130" s="92">
        <f>'[2]Detailed FS_$ Cons. (formating)'!BY$142+'[2]Detailed FS_$ Cons. (formating)'!$BY$121</f>
        <v>38929.712271224394</v>
      </c>
      <c r="M130" s="92">
        <f>'[2]Detailed FS_$ Cons. (formating)'!BZ$142</f>
        <v>26676.368478033284</v>
      </c>
      <c r="N130" s="92">
        <f>'[2]Detailed FS_$ Cons. (formating)'!CA$142</f>
        <v>27065.319055129665</v>
      </c>
      <c r="O130" s="92">
        <f>'[2]Detailed FS_$ Cons. (formating)'!CB$142</f>
        <v>27359.492732222625</v>
      </c>
      <c r="P130" s="92">
        <f>'[2]Detailed FS_$ Cons. (formating)'!CC$142</f>
        <v>25280.067618495988</v>
      </c>
      <c r="Q130" s="273">
        <f>SUM(E130:P130)</f>
        <v>200576.38284063377</v>
      </c>
      <c r="R130" s="35"/>
      <c r="S130" s="152">
        <f>'[2]Detailed FS_$ Cons. (formating)'!CF$142</f>
        <v>28943.584993972872</v>
      </c>
      <c r="T130" s="152">
        <f>'[2]Detailed FS_$ Cons. (formating)'!CG$142</f>
        <v>29757.389117385141</v>
      </c>
      <c r="U130" s="152">
        <f>'[2]Detailed FS_$ Cons. (formating)'!CH$142</f>
        <v>27674.819891897452</v>
      </c>
      <c r="V130" s="92"/>
      <c r="W130" s="92"/>
      <c r="X130" s="92"/>
      <c r="Y130" s="92"/>
      <c r="Z130" s="92"/>
      <c r="AA130" s="92"/>
      <c r="AB130" s="92"/>
      <c r="AC130" s="92"/>
      <c r="AD130" s="92"/>
      <c r="AE130" s="71">
        <f>SUM(S130:AD130)</f>
        <v>86375.794003255462</v>
      </c>
      <c r="AF130" s="35"/>
      <c r="AG130" s="21"/>
      <c r="AH130" s="70">
        <f t="shared" si="308"/>
        <v>28943.584993972872</v>
      </c>
      <c r="AI130" s="71">
        <f t="shared" si="309"/>
        <v>28943.584993972872</v>
      </c>
      <c r="AK130" s="72"/>
    </row>
    <row r="131" spans="2:37" ht="15" customHeight="1" x14ac:dyDescent="0.4">
      <c r="B131" s="114"/>
      <c r="C131" s="115"/>
      <c r="D131" s="38"/>
      <c r="E131" s="153">
        <f>E132-'[2]Detailed FS_$ Cons. (formating)'!BR144</f>
        <v>0</v>
      </c>
      <c r="F131" s="154">
        <f>F132-'[2]Detailed FS_$ Cons. (formating)'!BS144</f>
        <v>0</v>
      </c>
      <c r="G131" s="154">
        <f>G132-'[2]Detailed FS_$ Cons. (formating)'!BT144</f>
        <v>0</v>
      </c>
      <c r="H131" s="154">
        <f>H132-'[2]Detailed FS_$ Cons. (formating)'!BU144</f>
        <v>0</v>
      </c>
      <c r="I131" s="154">
        <f>I132-'[2]Detailed FS_$ Cons. (formating)'!BV144</f>
        <v>0</v>
      </c>
      <c r="J131" s="154">
        <f>J132-'[2]Detailed FS_$ Cons. (formating)'!BW144</f>
        <v>0</v>
      </c>
      <c r="K131" s="154">
        <f>K132-'[2]Detailed FS_$ Cons. (formating)'!BX144</f>
        <v>0</v>
      </c>
      <c r="L131" s="154">
        <f>L132-'[2]Detailed FS_$ Cons. (formating)'!BY144</f>
        <v>0</v>
      </c>
      <c r="M131" s="154">
        <f>M132-'[2]Detailed FS_$ Cons. (formating)'!BZ144</f>
        <v>0</v>
      </c>
      <c r="N131" s="154">
        <f>N132-'[2]Detailed FS_$ Cons. (formating)'!CA144</f>
        <v>0</v>
      </c>
      <c r="O131" s="154">
        <f>O132-'[2]Detailed FS_$ Cons. (formating)'!CB144</f>
        <v>0</v>
      </c>
      <c r="P131" s="154">
        <f>P132-'[2]Detailed FS_$ Cons. (formating)'!CC144</f>
        <v>0</v>
      </c>
      <c r="Q131" s="272"/>
      <c r="R131" s="35"/>
      <c r="S131" s="153">
        <f>S132-'[2]Detailed FS_$ Cons. (formating)'!CF144</f>
        <v>0</v>
      </c>
      <c r="T131" s="153">
        <f>T132-'[2]Detailed FS_$ Cons. (formating)'!CG144</f>
        <v>0</v>
      </c>
      <c r="U131" s="153">
        <f>U132-'[2]Detailed FS_$ Cons. (formating)'!CH144</f>
        <v>5.8207660913467407E-11</v>
      </c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18"/>
      <c r="AF131" s="35"/>
      <c r="AG131" s="21"/>
      <c r="AH131" s="119">
        <f t="shared" si="308"/>
        <v>0</v>
      </c>
      <c r="AI131" s="118">
        <f t="shared" si="309"/>
        <v>0</v>
      </c>
      <c r="AK131" s="26"/>
    </row>
    <row r="132" spans="2:37" ht="15.75" customHeight="1" x14ac:dyDescent="0.4">
      <c r="B132" s="43" t="s">
        <v>72</v>
      </c>
      <c r="C132" s="44" t="s">
        <v>41</v>
      </c>
      <c r="D132" s="38">
        <f t="shared" ref="D132:I132" si="342">D120-D126</f>
        <v>0</v>
      </c>
      <c r="E132" s="45">
        <f t="shared" si="342"/>
        <v>-207922.04978831563</v>
      </c>
      <c r="F132" s="46">
        <f t="shared" si="342"/>
        <v>-258950.95819354182</v>
      </c>
      <c r="G132" s="46">
        <f t="shared" si="342"/>
        <v>-242958.38506109748</v>
      </c>
      <c r="H132" s="46">
        <f t="shared" si="342"/>
        <v>-260187.93865352371</v>
      </c>
      <c r="I132" s="46">
        <f t="shared" si="342"/>
        <v>-298928.50834651256</v>
      </c>
      <c r="J132" s="46">
        <f t="shared" ref="J132:K132" si="343">J120-J126</f>
        <v>-232574.58480001776</v>
      </c>
      <c r="K132" s="46">
        <f t="shared" si="343"/>
        <v>-400297.59958440991</v>
      </c>
      <c r="L132" s="46">
        <f t="shared" ref="L132" si="344">L120-L126</f>
        <v>-257184.33631303289</v>
      </c>
      <c r="M132" s="46">
        <f t="shared" ref="M132:N132" si="345">M120-M126</f>
        <v>-210545.48658289787</v>
      </c>
      <c r="N132" s="46">
        <f t="shared" si="345"/>
        <v>-341575.32105028862</v>
      </c>
      <c r="O132" s="46">
        <f>O120-O126</f>
        <v>-261773.91538843274</v>
      </c>
      <c r="P132" s="46">
        <f>P120-P126</f>
        <v>-101765.20419687717</v>
      </c>
      <c r="Q132" s="270">
        <f>SUM(E132:P132)</f>
        <v>-3074664.2879589484</v>
      </c>
      <c r="R132" s="35">
        <f>R120-R126</f>
        <v>0</v>
      </c>
      <c r="S132" s="45">
        <f>S120-S126</f>
        <v>-403491.24886538065</v>
      </c>
      <c r="T132" s="45">
        <f>T120-T126</f>
        <v>-387338.70596537343</v>
      </c>
      <c r="U132" s="45">
        <f>U120-U126</f>
        <v>18517.688912811267</v>
      </c>
      <c r="V132" s="46">
        <f t="shared" ref="V132:AD132" si="346">V120+V126</f>
        <v>0</v>
      </c>
      <c r="W132" s="46">
        <f t="shared" si="346"/>
        <v>0</v>
      </c>
      <c r="X132" s="46">
        <f t="shared" si="346"/>
        <v>0</v>
      </c>
      <c r="Y132" s="46">
        <f t="shared" si="346"/>
        <v>0</v>
      </c>
      <c r="Z132" s="46">
        <f t="shared" si="346"/>
        <v>0</v>
      </c>
      <c r="AA132" s="46">
        <f t="shared" si="346"/>
        <v>0</v>
      </c>
      <c r="AB132" s="46">
        <f t="shared" si="346"/>
        <v>0</v>
      </c>
      <c r="AC132" s="46">
        <f t="shared" si="346"/>
        <v>0</v>
      </c>
      <c r="AD132" s="46">
        <f t="shared" si="346"/>
        <v>0</v>
      </c>
      <c r="AE132" s="48">
        <f>SUM(S132:AD132)</f>
        <v>-772312.26591794286</v>
      </c>
      <c r="AF132" s="35">
        <f>AF120-AF126</f>
        <v>0</v>
      </c>
      <c r="AG132" s="21"/>
      <c r="AH132" s="49">
        <f t="shared" si="308"/>
        <v>-403491.24886538065</v>
      </c>
      <c r="AI132" s="48">
        <f t="shared" si="309"/>
        <v>-403491.24886538065</v>
      </c>
      <c r="AK132" s="26"/>
    </row>
    <row r="133" spans="2:37" ht="15.75" customHeight="1" x14ac:dyDescent="0.4">
      <c r="B133" s="146"/>
      <c r="C133" s="147"/>
      <c r="D133" s="38"/>
      <c r="E133" s="153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275"/>
      <c r="R133" s="35"/>
      <c r="S133" s="153"/>
      <c r="T133" s="153"/>
      <c r="U133" s="153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49"/>
      <c r="AF133" s="35"/>
      <c r="AG133" s="150"/>
      <c r="AH133" s="151">
        <f t="shared" si="308"/>
        <v>0</v>
      </c>
      <c r="AI133" s="149">
        <f t="shared" si="309"/>
        <v>0</v>
      </c>
      <c r="AK133" s="26"/>
    </row>
    <row r="134" spans="2:37" ht="15.75" customHeight="1" x14ac:dyDescent="0.4">
      <c r="B134" s="43" t="s">
        <v>73</v>
      </c>
      <c r="C134" s="44" t="s">
        <v>41</v>
      </c>
      <c r="D134" s="38"/>
      <c r="E134" s="155">
        <f>'[2]Detailed FS_$ Cons. (formating)'!BR$151</f>
        <v>0</v>
      </c>
      <c r="F134" s="156">
        <f>'[2]Detailed FS_$ Cons. (formating)'!BS$151</f>
        <v>0</v>
      </c>
      <c r="G134" s="156">
        <f>'[2]Detailed FS_$ Cons. (formating)'!BT$151</f>
        <v>0</v>
      </c>
      <c r="H134" s="156">
        <f>'[2]Detailed FS_$ Cons. (formating)'!BU$151</f>
        <v>0</v>
      </c>
      <c r="I134" s="156">
        <f>'[2]Detailed FS_$ Cons. (formating)'!BV$151</f>
        <v>0</v>
      </c>
      <c r="J134" s="156">
        <f>'[2]Detailed FS_$ Cons. (formating)'!BW$151</f>
        <v>0</v>
      </c>
      <c r="K134" s="156">
        <f>'[2]Detailed FS_$ Cons. (formating)'!BX$151</f>
        <v>0</v>
      </c>
      <c r="L134" s="156">
        <f>'[2]Detailed FS_$ Cons. (formating)'!BY$151</f>
        <v>0</v>
      </c>
      <c r="M134" s="156">
        <f>'[2]Detailed FS_$ Cons. (formating)'!BZ$151</f>
        <v>0</v>
      </c>
      <c r="N134" s="156">
        <f>'[2]Detailed FS_$ Cons. (formating)'!CA$151</f>
        <v>0</v>
      </c>
      <c r="O134" s="156">
        <f>'[2]Detailed FS_$ Cons. (formating)'!CB$151</f>
        <v>0</v>
      </c>
      <c r="P134" s="156">
        <f>'[2]Detailed FS_$ Cons. (formating)'!CC$151</f>
        <v>12309.287550195755</v>
      </c>
      <c r="Q134" s="270">
        <f>SUM(E134:P134)</f>
        <v>12309.287550195755</v>
      </c>
      <c r="R134" s="35"/>
      <c r="S134" s="155">
        <f>'[2]Detailed FS_$ Cons. (formating)'!CF$151</f>
        <v>0</v>
      </c>
      <c r="T134" s="155">
        <f>'[2]Detailed FS_$ Cons. (formating)'!CG$151</f>
        <v>0</v>
      </c>
      <c r="U134" s="155">
        <f>'[2]Detailed FS_$ Cons. (formating)'!CH$151</f>
        <v>0</v>
      </c>
      <c r="V134" s="156">
        <v>0</v>
      </c>
      <c r="W134" s="156">
        <v>0</v>
      </c>
      <c r="X134" s="156">
        <v>0</v>
      </c>
      <c r="Y134" s="156">
        <v>0</v>
      </c>
      <c r="Z134" s="156">
        <v>0</v>
      </c>
      <c r="AA134" s="156">
        <v>0</v>
      </c>
      <c r="AB134" s="156">
        <v>0</v>
      </c>
      <c r="AC134" s="156">
        <v>0</v>
      </c>
      <c r="AD134" s="156">
        <v>0</v>
      </c>
      <c r="AE134" s="48">
        <f>SUM(S134:AD134)</f>
        <v>0</v>
      </c>
      <c r="AF134" s="35"/>
      <c r="AG134" s="21"/>
      <c r="AH134" s="49">
        <f t="shared" si="308"/>
        <v>0</v>
      </c>
      <c r="AI134" s="48">
        <f t="shared" si="309"/>
        <v>0</v>
      </c>
      <c r="AK134" s="26"/>
    </row>
    <row r="135" spans="2:37" ht="15.75" customHeight="1" x14ac:dyDescent="0.4">
      <c r="B135" s="146"/>
      <c r="C135" s="147"/>
      <c r="D135" s="38"/>
      <c r="E135" s="153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275"/>
      <c r="R135" s="35"/>
      <c r="S135" s="153"/>
      <c r="T135" s="153"/>
      <c r="U135" s="153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49"/>
      <c r="AF135" s="35"/>
      <c r="AG135" s="150"/>
      <c r="AH135" s="151">
        <f t="shared" si="308"/>
        <v>0</v>
      </c>
      <c r="AI135" s="149">
        <f t="shared" si="309"/>
        <v>0</v>
      </c>
      <c r="AK135" s="26"/>
    </row>
    <row r="136" spans="2:37" ht="15.75" customHeight="1" x14ac:dyDescent="0.4">
      <c r="B136" s="157" t="s">
        <v>74</v>
      </c>
      <c r="C136" s="158" t="s">
        <v>41</v>
      </c>
      <c r="D136" s="38"/>
      <c r="E136" s="159">
        <f>E132-E134</f>
        <v>-207922.04978831563</v>
      </c>
      <c r="F136" s="160">
        <f t="shared" ref="F136:H136" si="347">F132-F134</f>
        <v>-258950.95819354182</v>
      </c>
      <c r="G136" s="160">
        <f t="shared" si="347"/>
        <v>-242958.38506109748</v>
      </c>
      <c r="H136" s="160">
        <f t="shared" si="347"/>
        <v>-260187.93865352371</v>
      </c>
      <c r="I136" s="160">
        <f t="shared" ref="I136:J136" si="348">I132-I134</f>
        <v>-298928.50834651256</v>
      </c>
      <c r="J136" s="160">
        <f t="shared" si="348"/>
        <v>-232574.58480001776</v>
      </c>
      <c r="K136" s="160">
        <f t="shared" ref="K136" si="349">K132-K134</f>
        <v>-400297.59958440991</v>
      </c>
      <c r="L136" s="160">
        <f t="shared" ref="L136" si="350">L132-L134</f>
        <v>-257184.33631303289</v>
      </c>
      <c r="M136" s="160">
        <f t="shared" ref="M136:N136" si="351">M132-M134</f>
        <v>-210545.48658289787</v>
      </c>
      <c r="N136" s="160">
        <f t="shared" si="351"/>
        <v>-341575.32105028862</v>
      </c>
      <c r="O136" s="160">
        <f>O132-O134</f>
        <v>-261773.91538843274</v>
      </c>
      <c r="P136" s="160">
        <f>P132-P134</f>
        <v>-114074.49174707293</v>
      </c>
      <c r="Q136" s="276">
        <f>SUM(E136:P136)</f>
        <v>-3086973.575509144</v>
      </c>
      <c r="R136" s="35"/>
      <c r="S136" s="159">
        <f>S132-S134</f>
        <v>-403491.24886538065</v>
      </c>
      <c r="T136" s="159">
        <f>T132-T134</f>
        <v>-387338.70596537343</v>
      </c>
      <c r="U136" s="159">
        <f>U132-U134</f>
        <v>18517.688912811267</v>
      </c>
      <c r="V136" s="160">
        <f t="shared" ref="V136:AD136" si="352">V132+V134</f>
        <v>0</v>
      </c>
      <c r="W136" s="160">
        <f t="shared" si="352"/>
        <v>0</v>
      </c>
      <c r="X136" s="160">
        <f t="shared" si="352"/>
        <v>0</v>
      </c>
      <c r="Y136" s="160">
        <f t="shared" si="352"/>
        <v>0</v>
      </c>
      <c r="Z136" s="160">
        <f t="shared" si="352"/>
        <v>0</v>
      </c>
      <c r="AA136" s="160">
        <f t="shared" si="352"/>
        <v>0</v>
      </c>
      <c r="AB136" s="160">
        <f t="shared" si="352"/>
        <v>0</v>
      </c>
      <c r="AC136" s="160">
        <f t="shared" si="352"/>
        <v>0</v>
      </c>
      <c r="AD136" s="160">
        <f t="shared" si="352"/>
        <v>0</v>
      </c>
      <c r="AE136" s="161">
        <f>SUM(S136:AD136)</f>
        <v>-772312.26591794286</v>
      </c>
      <c r="AF136" s="35"/>
      <c r="AG136" s="21"/>
      <c r="AH136" s="162">
        <f t="shared" si="308"/>
        <v>-403491.24886538065</v>
      </c>
      <c r="AI136" s="161">
        <f t="shared" si="309"/>
        <v>-403491.24886538065</v>
      </c>
      <c r="AK136" s="26"/>
    </row>
    <row r="137" spans="2:37" ht="15" customHeight="1" x14ac:dyDescent="0.4">
      <c r="E137" s="18">
        <f>'[2]Detailed FS_$ Cons. (formating)'!BR$153-E136</f>
        <v>0</v>
      </c>
      <c r="F137" s="18">
        <f>'[2]Detailed FS_$ Cons. (formating)'!BS$153-F136</f>
        <v>0</v>
      </c>
      <c r="G137" s="18">
        <f>'[2]Detailed FS_$ Cons. (formating)'!BT$153-G136</f>
        <v>0</v>
      </c>
      <c r="H137" s="18">
        <f>'[2]Detailed FS_$ Cons. (formating)'!BU$153-H136</f>
        <v>0</v>
      </c>
      <c r="I137" s="18">
        <f>'[2]Detailed FS_$ Cons. (formating)'!BV$153-I136</f>
        <v>0</v>
      </c>
      <c r="J137" s="18">
        <f>'[2]Detailed FS_$ Cons. (formating)'!BW$153-J136</f>
        <v>0</v>
      </c>
      <c r="K137" s="18">
        <f>'[2]Detailed FS_$ Cons. (formating)'!BX$153-K136</f>
        <v>0</v>
      </c>
      <c r="L137" s="18">
        <f>'[2]Detailed FS_$ Cons. (formating)'!BY$153-L136</f>
        <v>0</v>
      </c>
      <c r="M137" s="18">
        <f>'[2]Detailed FS_$ Cons. (formating)'!BZ$153-M136</f>
        <v>0</v>
      </c>
      <c r="N137" s="18">
        <f>'[2]Detailed FS_$ Cons. (formating)'!CA$153-N136</f>
        <v>0</v>
      </c>
      <c r="O137" s="18">
        <f>'[2]Detailed FS_$ Cons. (formating)'!CB$153-O136</f>
        <v>0</v>
      </c>
      <c r="P137" s="18">
        <f>'[2]Detailed FS_$ Cons. (formating)'!CC$153-P136</f>
        <v>0</v>
      </c>
      <c r="Q137" s="257"/>
      <c r="S137" s="18">
        <f>'[2]Detailed FS_$ Cons. (formating)'!CF$153-S136</f>
        <v>0</v>
      </c>
      <c r="T137" s="18">
        <f>'[2]Detailed FS_$ Cons. (formating)'!CG$153-T136</f>
        <v>0</v>
      </c>
      <c r="U137" s="18">
        <f>'[2]Detailed FS_$ Cons. (formating)'!CH$153-U136</f>
        <v>-5.8207660913467407E-11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9"/>
      <c r="AG137" s="21"/>
      <c r="AH137" s="19"/>
      <c r="AI137" s="19"/>
      <c r="AK137" s="22"/>
    </row>
    <row r="138" spans="2:37" ht="15" customHeight="1" x14ac:dyDescent="0.4">
      <c r="Q138" s="257"/>
      <c r="AE138" s="19"/>
      <c r="AG138" s="21"/>
      <c r="AH138" s="19"/>
      <c r="AI138" s="19"/>
      <c r="AK138" s="22"/>
    </row>
    <row r="139" spans="2:37" ht="15" customHeight="1" x14ac:dyDescent="0.4">
      <c r="M139" s="19"/>
      <c r="N139" s="19"/>
      <c r="O139" s="19"/>
      <c r="P139" s="19"/>
      <c r="Q139" s="257"/>
      <c r="R139" s="164"/>
      <c r="AA139" s="19"/>
      <c r="AB139" s="19"/>
      <c r="AC139" s="19"/>
      <c r="AD139" s="19"/>
      <c r="AE139" s="19"/>
      <c r="AF139" s="164"/>
      <c r="AG139" s="164"/>
      <c r="AH139" s="19"/>
      <c r="AI139" s="19"/>
      <c r="AK139" s="22"/>
    </row>
    <row r="140" spans="2:37" ht="15" customHeight="1" x14ac:dyDescent="0.4">
      <c r="J140" s="18"/>
      <c r="M140" s="19"/>
      <c r="P140" s="15" t="s">
        <v>75</v>
      </c>
      <c r="Q140" s="257"/>
      <c r="R140" s="164"/>
      <c r="X140" s="18"/>
      <c r="AA140" s="19"/>
      <c r="AD140" s="15" t="s">
        <v>75</v>
      </c>
      <c r="AE140" s="19"/>
      <c r="AF140" s="164"/>
      <c r="AG140" s="164"/>
      <c r="AH140" s="19"/>
      <c r="AI140" s="19"/>
      <c r="AK140" s="22"/>
    </row>
    <row r="141" spans="2:37" ht="15" customHeight="1" x14ac:dyDescent="0.4">
      <c r="Q141" s="257"/>
      <c r="R141" s="164"/>
      <c r="AE141" s="19"/>
      <c r="AF141" s="164"/>
      <c r="AG141" s="164"/>
      <c r="AH141" s="19"/>
      <c r="AI141" s="19"/>
      <c r="AK141" s="22"/>
    </row>
    <row r="142" spans="2:37" ht="15" customHeight="1" x14ac:dyDescent="0.4">
      <c r="Q142" s="257"/>
      <c r="R142" s="164"/>
      <c r="AE142" s="19"/>
      <c r="AF142" s="164"/>
      <c r="AG142" s="164"/>
      <c r="AH142" s="19"/>
      <c r="AI142" s="19"/>
      <c r="AK142" s="22"/>
    </row>
    <row r="143" spans="2:37" ht="15" customHeight="1" x14ac:dyDescent="0.4">
      <c r="Q143" s="257"/>
      <c r="R143" s="164"/>
      <c r="AE143" s="19"/>
      <c r="AF143" s="164"/>
      <c r="AG143" s="164"/>
      <c r="AH143" s="19"/>
      <c r="AI143" s="19"/>
      <c r="AK143" s="22"/>
    </row>
    <row r="144" spans="2:37" ht="15" customHeight="1" x14ac:dyDescent="0.4">
      <c r="Q144" s="257"/>
      <c r="R144" s="164"/>
      <c r="AE144" s="19"/>
      <c r="AF144" s="164"/>
      <c r="AG144" s="164"/>
      <c r="AH144" s="19"/>
      <c r="AI144" s="19"/>
      <c r="AK144" s="22"/>
    </row>
    <row r="145" spans="16:37" ht="15" customHeight="1" x14ac:dyDescent="0.4">
      <c r="P145" s="19"/>
      <c r="Q145" s="257"/>
      <c r="R145" s="164"/>
      <c r="AD145" s="19"/>
      <c r="AE145" s="19"/>
      <c r="AF145" s="164"/>
      <c r="AG145" s="164"/>
      <c r="AH145" s="19"/>
      <c r="AI145" s="19"/>
      <c r="AK145" s="22"/>
    </row>
    <row r="146" spans="16:37" ht="15" customHeight="1" x14ac:dyDescent="0.4">
      <c r="Q146" s="257"/>
      <c r="R146" s="164"/>
      <c r="AE146" s="19"/>
      <c r="AF146" s="164"/>
      <c r="AG146" s="164"/>
      <c r="AH146" s="19"/>
      <c r="AI146" s="19"/>
      <c r="AK146" s="22"/>
    </row>
    <row r="147" spans="16:37" ht="15" customHeight="1" x14ac:dyDescent="0.4">
      <c r="Q147" s="257"/>
      <c r="R147" s="164"/>
      <c r="AE147" s="19"/>
      <c r="AF147" s="164"/>
      <c r="AG147" s="164"/>
      <c r="AH147" s="19"/>
      <c r="AI147" s="19"/>
      <c r="AK147" s="22"/>
    </row>
    <row r="148" spans="16:37" ht="15" customHeight="1" x14ac:dyDescent="0.4">
      <c r="Q148" s="257"/>
      <c r="R148" s="164"/>
      <c r="AE148" s="19"/>
      <c r="AF148" s="164"/>
      <c r="AG148" s="164"/>
      <c r="AH148" s="19"/>
      <c r="AI148" s="19"/>
      <c r="AK148" s="22"/>
    </row>
    <row r="149" spans="16:37" ht="15" customHeight="1" x14ac:dyDescent="0.4">
      <c r="Q149" s="257"/>
      <c r="R149" s="164"/>
      <c r="AE149" s="19"/>
      <c r="AF149" s="164"/>
      <c r="AG149" s="164"/>
      <c r="AH149" s="19"/>
      <c r="AI149" s="19"/>
      <c r="AK149" s="22"/>
    </row>
    <row r="150" spans="16:37" ht="15" customHeight="1" x14ac:dyDescent="0.4">
      <c r="Q150" s="257"/>
      <c r="R150" s="164"/>
      <c r="AE150" s="19"/>
      <c r="AF150" s="164"/>
      <c r="AG150" s="164"/>
      <c r="AH150" s="19"/>
      <c r="AI150" s="19"/>
      <c r="AK150" s="22"/>
    </row>
    <row r="151" spans="16:37" ht="15" customHeight="1" x14ac:dyDescent="0.4">
      <c r="Q151" s="257"/>
      <c r="R151" s="164"/>
      <c r="AE151" s="19"/>
      <c r="AF151" s="164"/>
      <c r="AG151" s="164"/>
      <c r="AH151" s="19"/>
      <c r="AI151" s="19"/>
      <c r="AK151" s="22"/>
    </row>
    <row r="152" spans="16:37" ht="15" customHeight="1" x14ac:dyDescent="0.4">
      <c r="Q152" s="257"/>
      <c r="R152" s="164"/>
      <c r="AE152" s="19"/>
      <c r="AF152" s="164"/>
      <c r="AG152" s="164"/>
      <c r="AH152" s="19"/>
      <c r="AI152" s="19"/>
      <c r="AK152" s="22"/>
    </row>
    <row r="153" spans="16:37" ht="15" customHeight="1" x14ac:dyDescent="0.4">
      <c r="Q153" s="257"/>
      <c r="R153" s="164"/>
      <c r="AE153" s="19"/>
      <c r="AF153" s="164"/>
      <c r="AG153" s="164"/>
      <c r="AH153" s="19"/>
      <c r="AI153" s="19"/>
      <c r="AK153" s="22"/>
    </row>
    <row r="154" spans="16:37" ht="15.75" customHeight="1" x14ac:dyDescent="0.4">
      <c r="R154" s="164"/>
      <c r="AF154" s="164"/>
      <c r="AG154" s="164"/>
      <c r="AK154" s="22"/>
    </row>
    <row r="155" spans="16:37" ht="15.75" customHeight="1" x14ac:dyDescent="0.4">
      <c r="R155" s="164"/>
      <c r="AF155" s="164"/>
      <c r="AG155" s="164"/>
      <c r="AK155" s="22"/>
    </row>
    <row r="156" spans="16:37" ht="15.75" customHeight="1" x14ac:dyDescent="0.4">
      <c r="R156" s="164"/>
      <c r="AF156" s="164"/>
      <c r="AG156" s="164"/>
      <c r="AK156" s="22"/>
    </row>
    <row r="157" spans="16:37" ht="15.75" customHeight="1" x14ac:dyDescent="0.4">
      <c r="R157" s="164"/>
      <c r="AF157" s="164"/>
      <c r="AG157" s="164"/>
      <c r="AK157" s="22"/>
    </row>
    <row r="158" spans="16:37" ht="15.75" customHeight="1" x14ac:dyDescent="0.4">
      <c r="R158" s="164"/>
      <c r="AF158" s="164"/>
      <c r="AG158" s="164"/>
      <c r="AK158" s="22"/>
    </row>
    <row r="159" spans="16:37" ht="15.75" customHeight="1" x14ac:dyDescent="0.4">
      <c r="R159" s="164"/>
      <c r="AF159" s="164"/>
      <c r="AG159" s="164"/>
      <c r="AK159" s="22"/>
    </row>
    <row r="160" spans="16:37" ht="15.75" customHeight="1" x14ac:dyDescent="0.4">
      <c r="R160" s="164"/>
      <c r="AF160" s="164"/>
      <c r="AG160" s="164"/>
      <c r="AK160" s="22"/>
    </row>
    <row r="161" spans="18:37" ht="15.75" customHeight="1" x14ac:dyDescent="0.4">
      <c r="R161" s="164"/>
      <c r="AF161" s="164"/>
      <c r="AG161" s="164"/>
      <c r="AK161" s="22"/>
    </row>
    <row r="162" spans="18:37" ht="15.75" customHeight="1" x14ac:dyDescent="0.4">
      <c r="R162" s="164"/>
      <c r="AF162" s="164"/>
      <c r="AG162" s="164"/>
      <c r="AK162" s="22"/>
    </row>
    <row r="163" spans="18:37" ht="15.75" customHeight="1" x14ac:dyDescent="0.4">
      <c r="R163" s="164"/>
      <c r="AF163" s="164"/>
      <c r="AG163" s="164"/>
      <c r="AK163" s="22"/>
    </row>
    <row r="164" spans="18:37" ht="15.75" customHeight="1" x14ac:dyDescent="0.4">
      <c r="R164" s="164"/>
      <c r="AF164" s="164"/>
      <c r="AG164" s="164"/>
      <c r="AK164" s="22"/>
    </row>
    <row r="165" spans="18:37" ht="15.75" customHeight="1" x14ac:dyDescent="0.4">
      <c r="R165" s="164"/>
      <c r="AF165" s="164"/>
      <c r="AG165" s="164"/>
      <c r="AK165" s="22"/>
    </row>
    <row r="166" spans="18:37" ht="15.75" customHeight="1" x14ac:dyDescent="0.4">
      <c r="R166" s="164"/>
      <c r="AF166" s="164"/>
      <c r="AG166" s="164"/>
      <c r="AK166" s="22"/>
    </row>
    <row r="167" spans="18:37" ht="15.75" customHeight="1" x14ac:dyDescent="0.4">
      <c r="R167" s="164"/>
      <c r="AF167" s="164"/>
      <c r="AG167" s="164"/>
      <c r="AK167" s="22"/>
    </row>
    <row r="168" spans="18:37" ht="15.75" customHeight="1" x14ac:dyDescent="0.4">
      <c r="R168" s="164"/>
      <c r="AF168" s="164"/>
      <c r="AG168" s="164"/>
      <c r="AK168" s="22"/>
    </row>
    <row r="169" spans="18:37" ht="15.75" customHeight="1" x14ac:dyDescent="0.4">
      <c r="R169" s="164"/>
      <c r="AF169" s="164"/>
      <c r="AG169" s="164"/>
      <c r="AK169" s="22"/>
    </row>
    <row r="170" spans="18:37" ht="15.75" customHeight="1" x14ac:dyDescent="0.4">
      <c r="R170" s="164"/>
      <c r="AF170" s="164"/>
      <c r="AG170" s="164"/>
      <c r="AK170" s="22"/>
    </row>
    <row r="171" spans="18:37" ht="15.75" customHeight="1" x14ac:dyDescent="0.4">
      <c r="R171" s="164"/>
      <c r="AF171" s="164"/>
      <c r="AG171" s="164"/>
      <c r="AK171" s="22"/>
    </row>
    <row r="172" spans="18:37" ht="15.75" customHeight="1" x14ac:dyDescent="0.4">
      <c r="R172" s="164"/>
      <c r="AF172" s="164"/>
      <c r="AG172" s="164"/>
      <c r="AK172" s="22"/>
    </row>
    <row r="173" spans="18:37" ht="15.75" customHeight="1" x14ac:dyDescent="0.4">
      <c r="R173" s="164"/>
      <c r="AF173" s="164"/>
      <c r="AG173" s="164"/>
      <c r="AK173" s="22"/>
    </row>
    <row r="174" spans="18:37" ht="15.75" customHeight="1" x14ac:dyDescent="0.4">
      <c r="R174" s="164"/>
      <c r="AF174" s="164"/>
      <c r="AG174" s="164"/>
      <c r="AK174" s="22"/>
    </row>
    <row r="175" spans="18:37" ht="15.75" customHeight="1" x14ac:dyDescent="0.4">
      <c r="R175" s="164"/>
      <c r="AF175" s="164"/>
      <c r="AG175" s="164"/>
      <c r="AK175" s="22"/>
    </row>
    <row r="176" spans="18:37" ht="15.75" customHeight="1" x14ac:dyDescent="0.4">
      <c r="R176" s="164"/>
      <c r="AF176" s="164"/>
      <c r="AG176" s="164"/>
      <c r="AK176" s="22"/>
    </row>
    <row r="177" spans="18:37" ht="15.75" customHeight="1" x14ac:dyDescent="0.4">
      <c r="R177" s="164"/>
      <c r="AF177" s="164"/>
      <c r="AG177" s="164"/>
      <c r="AK177" s="22"/>
    </row>
    <row r="178" spans="18:37" ht="15.75" customHeight="1" x14ac:dyDescent="0.4">
      <c r="R178" s="164"/>
      <c r="AF178" s="164"/>
      <c r="AG178" s="164"/>
      <c r="AK178" s="22"/>
    </row>
    <row r="179" spans="18:37" ht="15.75" customHeight="1" x14ac:dyDescent="0.4">
      <c r="R179" s="164"/>
      <c r="AF179" s="164"/>
      <c r="AG179" s="164"/>
      <c r="AK179" s="22"/>
    </row>
    <row r="180" spans="18:37" ht="15.75" customHeight="1" x14ac:dyDescent="0.4">
      <c r="R180" s="164"/>
      <c r="AF180" s="164"/>
      <c r="AG180" s="164"/>
      <c r="AK180" s="22"/>
    </row>
    <row r="181" spans="18:37" ht="15.75" customHeight="1" x14ac:dyDescent="0.4">
      <c r="R181" s="164"/>
      <c r="AF181" s="164"/>
      <c r="AG181" s="164"/>
      <c r="AK181" s="22"/>
    </row>
    <row r="182" spans="18:37" ht="15.75" customHeight="1" x14ac:dyDescent="0.4">
      <c r="R182" s="164"/>
      <c r="AF182" s="164"/>
      <c r="AG182" s="164"/>
      <c r="AK182" s="22"/>
    </row>
    <row r="183" spans="18:37" ht="15.75" customHeight="1" x14ac:dyDescent="0.4">
      <c r="R183" s="164"/>
      <c r="AF183" s="164"/>
      <c r="AG183" s="164"/>
      <c r="AK183" s="22"/>
    </row>
    <row r="184" spans="18:37" ht="15.75" customHeight="1" x14ac:dyDescent="0.4">
      <c r="R184" s="164"/>
      <c r="AF184" s="164"/>
      <c r="AG184" s="164"/>
      <c r="AK184" s="22"/>
    </row>
    <row r="185" spans="18:37" ht="15.75" customHeight="1" x14ac:dyDescent="0.4">
      <c r="R185" s="164"/>
      <c r="AF185" s="164"/>
      <c r="AG185" s="164"/>
      <c r="AK185" s="22"/>
    </row>
    <row r="186" spans="18:37" ht="15.75" customHeight="1" x14ac:dyDescent="0.4">
      <c r="R186" s="164"/>
      <c r="AF186" s="164"/>
      <c r="AG186" s="164"/>
      <c r="AK186" s="22"/>
    </row>
    <row r="187" spans="18:37" ht="15.75" customHeight="1" x14ac:dyDescent="0.4">
      <c r="R187" s="164"/>
      <c r="AF187" s="164"/>
      <c r="AG187" s="164"/>
      <c r="AK187" s="22"/>
    </row>
    <row r="188" spans="18:37" ht="15.75" customHeight="1" x14ac:dyDescent="0.4">
      <c r="R188" s="164"/>
      <c r="AF188" s="164"/>
      <c r="AG188" s="164"/>
      <c r="AK188" s="22"/>
    </row>
    <row r="189" spans="18:37" ht="15.75" customHeight="1" x14ac:dyDescent="0.4">
      <c r="R189" s="164"/>
      <c r="AF189" s="164"/>
      <c r="AG189" s="164"/>
      <c r="AK189" s="22"/>
    </row>
    <row r="190" spans="18:37" ht="15.75" customHeight="1" x14ac:dyDescent="0.4">
      <c r="R190" s="164"/>
      <c r="AF190" s="164"/>
      <c r="AG190" s="164"/>
      <c r="AK190" s="22"/>
    </row>
    <row r="191" spans="18:37" ht="15.75" customHeight="1" x14ac:dyDescent="0.4">
      <c r="R191" s="164"/>
      <c r="AF191" s="164"/>
      <c r="AG191" s="164"/>
      <c r="AK191" s="22"/>
    </row>
    <row r="192" spans="18:37" ht="15.75" customHeight="1" x14ac:dyDescent="0.4">
      <c r="R192" s="164"/>
      <c r="AF192" s="164"/>
      <c r="AG192" s="164"/>
      <c r="AK192" s="22"/>
    </row>
    <row r="193" spans="18:37" ht="15.75" customHeight="1" x14ac:dyDescent="0.4">
      <c r="R193" s="164"/>
      <c r="AF193" s="164"/>
      <c r="AG193" s="164"/>
      <c r="AK193" s="22"/>
    </row>
    <row r="194" spans="18:37" ht="15.75" customHeight="1" x14ac:dyDescent="0.4">
      <c r="R194" s="164"/>
      <c r="AF194" s="164"/>
      <c r="AG194" s="164"/>
      <c r="AK194" s="22"/>
    </row>
    <row r="195" spans="18:37" ht="15.75" customHeight="1" x14ac:dyDescent="0.4">
      <c r="R195" s="164"/>
      <c r="AF195" s="164"/>
      <c r="AG195" s="164"/>
      <c r="AK195" s="22"/>
    </row>
    <row r="196" spans="18:37" ht="15.75" customHeight="1" x14ac:dyDescent="0.4">
      <c r="R196" s="164"/>
      <c r="AF196" s="164"/>
      <c r="AG196" s="164"/>
      <c r="AK196" s="22"/>
    </row>
    <row r="197" spans="18:37" ht="15.75" customHeight="1" x14ac:dyDescent="0.4">
      <c r="R197" s="164"/>
      <c r="AF197" s="164"/>
      <c r="AG197" s="164"/>
      <c r="AK197" s="22"/>
    </row>
    <row r="198" spans="18:37" ht="15.75" customHeight="1" x14ac:dyDescent="0.4">
      <c r="R198" s="164"/>
      <c r="AF198" s="164"/>
      <c r="AG198" s="164"/>
      <c r="AK198" s="22"/>
    </row>
    <row r="199" spans="18:37" ht="15.75" customHeight="1" x14ac:dyDescent="0.4">
      <c r="R199" s="164"/>
      <c r="AF199" s="164"/>
      <c r="AG199" s="164"/>
      <c r="AK199" s="22"/>
    </row>
    <row r="200" spans="18:37" ht="15.75" customHeight="1" x14ac:dyDescent="0.4">
      <c r="R200" s="164"/>
      <c r="AF200" s="164"/>
      <c r="AG200" s="164"/>
      <c r="AK200" s="22"/>
    </row>
    <row r="201" spans="18:37" ht="15.75" customHeight="1" x14ac:dyDescent="0.4">
      <c r="R201" s="164"/>
      <c r="AF201" s="164"/>
      <c r="AG201" s="164"/>
      <c r="AK201" s="22"/>
    </row>
    <row r="202" spans="18:37" ht="15.75" customHeight="1" x14ac:dyDescent="0.4">
      <c r="R202" s="164"/>
      <c r="AF202" s="164"/>
      <c r="AG202" s="164"/>
      <c r="AK202" s="22"/>
    </row>
    <row r="203" spans="18:37" ht="15.75" customHeight="1" x14ac:dyDescent="0.4">
      <c r="R203" s="164"/>
      <c r="AF203" s="164"/>
      <c r="AG203" s="164"/>
      <c r="AK203" s="22"/>
    </row>
    <row r="204" spans="18:37" ht="15.75" customHeight="1" x14ac:dyDescent="0.4">
      <c r="R204" s="164"/>
      <c r="AF204" s="164"/>
      <c r="AG204" s="164"/>
      <c r="AK204" s="22"/>
    </row>
    <row r="205" spans="18:37" ht="15.75" customHeight="1" x14ac:dyDescent="0.4">
      <c r="R205" s="164"/>
      <c r="AF205" s="164"/>
      <c r="AG205" s="164"/>
      <c r="AK205" s="22"/>
    </row>
    <row r="206" spans="18:37" ht="15.75" customHeight="1" x14ac:dyDescent="0.4">
      <c r="R206" s="164"/>
      <c r="AF206" s="164"/>
      <c r="AG206" s="164"/>
      <c r="AK206" s="22"/>
    </row>
    <row r="207" spans="18:37" ht="15.75" customHeight="1" x14ac:dyDescent="0.4">
      <c r="R207" s="164"/>
      <c r="AF207" s="164"/>
      <c r="AG207" s="164"/>
      <c r="AK207" s="22"/>
    </row>
    <row r="208" spans="18:37" ht="15.75" customHeight="1" x14ac:dyDescent="0.4">
      <c r="R208" s="164"/>
      <c r="AF208" s="164"/>
      <c r="AG208" s="164"/>
      <c r="AK208" s="22"/>
    </row>
    <row r="209" spans="18:37" ht="15.75" customHeight="1" x14ac:dyDescent="0.4">
      <c r="R209" s="164"/>
      <c r="AF209" s="164"/>
      <c r="AG209" s="164"/>
      <c r="AK209" s="22"/>
    </row>
    <row r="210" spans="18:37" ht="15.75" customHeight="1" x14ac:dyDescent="0.4">
      <c r="R210" s="164"/>
      <c r="AF210" s="164"/>
      <c r="AG210" s="164"/>
      <c r="AK210" s="22"/>
    </row>
    <row r="211" spans="18:37" ht="15.75" customHeight="1" x14ac:dyDescent="0.4">
      <c r="R211" s="164"/>
      <c r="AF211" s="164"/>
      <c r="AG211" s="164"/>
      <c r="AK211" s="22"/>
    </row>
    <row r="212" spans="18:37" ht="15.75" customHeight="1" x14ac:dyDescent="0.4">
      <c r="R212" s="164"/>
      <c r="AF212" s="164"/>
      <c r="AG212" s="164"/>
      <c r="AK212" s="22"/>
    </row>
    <row r="213" spans="18:37" ht="15.75" customHeight="1" x14ac:dyDescent="0.4">
      <c r="R213" s="164"/>
      <c r="AF213" s="164"/>
      <c r="AG213" s="164"/>
      <c r="AK213" s="22"/>
    </row>
    <row r="214" spans="18:37" ht="15.75" customHeight="1" x14ac:dyDescent="0.4">
      <c r="R214" s="164"/>
      <c r="AF214" s="164"/>
      <c r="AG214" s="164"/>
      <c r="AK214" s="22"/>
    </row>
    <row r="215" spans="18:37" ht="15.75" customHeight="1" x14ac:dyDescent="0.4">
      <c r="R215" s="164"/>
      <c r="AF215" s="164"/>
      <c r="AG215" s="164"/>
      <c r="AK215" s="22"/>
    </row>
    <row r="216" spans="18:37" ht="15.75" customHeight="1" x14ac:dyDescent="0.4">
      <c r="R216" s="164"/>
      <c r="AF216" s="164"/>
      <c r="AG216" s="164"/>
      <c r="AK216" s="22"/>
    </row>
    <row r="217" spans="18:37" ht="15.75" customHeight="1" x14ac:dyDescent="0.4">
      <c r="R217" s="164"/>
      <c r="AF217" s="164"/>
      <c r="AG217" s="164"/>
      <c r="AK217" s="22"/>
    </row>
    <row r="218" spans="18:37" ht="15.75" customHeight="1" x14ac:dyDescent="0.4">
      <c r="R218" s="164"/>
      <c r="AF218" s="164"/>
      <c r="AG218" s="164"/>
      <c r="AK218" s="22"/>
    </row>
    <row r="219" spans="18:37" ht="15.75" customHeight="1" x14ac:dyDescent="0.4">
      <c r="R219" s="164"/>
      <c r="AF219" s="164"/>
      <c r="AG219" s="164"/>
      <c r="AK219" s="22"/>
    </row>
    <row r="220" spans="18:37" ht="15.75" customHeight="1" x14ac:dyDescent="0.4">
      <c r="R220" s="164"/>
      <c r="AF220" s="164"/>
      <c r="AG220" s="164"/>
      <c r="AK220" s="22"/>
    </row>
    <row r="221" spans="18:37" ht="15.75" customHeight="1" x14ac:dyDescent="0.4">
      <c r="R221" s="164"/>
      <c r="AF221" s="164"/>
      <c r="AG221" s="164"/>
      <c r="AK221" s="22"/>
    </row>
    <row r="222" spans="18:37" ht="15.75" customHeight="1" x14ac:dyDescent="0.4">
      <c r="R222" s="164"/>
      <c r="AF222" s="164"/>
      <c r="AG222" s="164"/>
      <c r="AK222" s="22"/>
    </row>
    <row r="223" spans="18:37" ht="15.75" customHeight="1" x14ac:dyDescent="0.4">
      <c r="R223" s="164"/>
      <c r="AF223" s="164"/>
      <c r="AG223" s="164"/>
      <c r="AK223" s="22"/>
    </row>
    <row r="224" spans="18:37" ht="15.75" customHeight="1" x14ac:dyDescent="0.4">
      <c r="R224" s="164"/>
      <c r="AF224" s="164"/>
      <c r="AG224" s="164"/>
      <c r="AK224" s="22"/>
    </row>
    <row r="225" spans="18:37" ht="15.75" customHeight="1" x14ac:dyDescent="0.4">
      <c r="R225" s="164"/>
      <c r="AF225" s="164"/>
      <c r="AG225" s="164"/>
      <c r="AK225" s="22"/>
    </row>
    <row r="226" spans="18:37" ht="15.75" customHeight="1" x14ac:dyDescent="0.4">
      <c r="R226" s="164"/>
      <c r="AF226" s="164"/>
      <c r="AG226" s="164"/>
      <c r="AK226" s="22"/>
    </row>
    <row r="227" spans="18:37" ht="15.75" customHeight="1" x14ac:dyDescent="0.4">
      <c r="R227" s="164"/>
      <c r="AF227" s="164"/>
      <c r="AG227" s="164"/>
      <c r="AK227" s="22"/>
    </row>
    <row r="228" spans="18:37" ht="15.75" customHeight="1" x14ac:dyDescent="0.4">
      <c r="R228" s="164"/>
      <c r="AF228" s="164"/>
      <c r="AG228" s="164"/>
      <c r="AK228" s="22"/>
    </row>
    <row r="229" spans="18:37" ht="15.75" customHeight="1" x14ac:dyDescent="0.4">
      <c r="R229" s="164"/>
      <c r="AF229" s="164"/>
      <c r="AG229" s="164"/>
      <c r="AK229" s="22"/>
    </row>
    <row r="230" spans="18:37" ht="15.75" customHeight="1" x14ac:dyDescent="0.4">
      <c r="R230" s="164"/>
      <c r="AF230" s="164"/>
      <c r="AG230" s="164"/>
      <c r="AK230" s="22"/>
    </row>
    <row r="231" spans="18:37" ht="15.75" customHeight="1" x14ac:dyDescent="0.4">
      <c r="R231" s="164"/>
      <c r="AF231" s="164"/>
      <c r="AG231" s="164"/>
      <c r="AK231" s="22"/>
    </row>
    <row r="232" spans="18:37" ht="15.75" customHeight="1" x14ac:dyDescent="0.4">
      <c r="R232" s="164"/>
      <c r="AF232" s="164"/>
      <c r="AG232" s="164"/>
      <c r="AK232" s="22"/>
    </row>
    <row r="233" spans="18:37" ht="15.75" customHeight="1" x14ac:dyDescent="0.4">
      <c r="R233" s="164"/>
      <c r="AF233" s="164"/>
      <c r="AG233" s="164"/>
      <c r="AK233" s="22"/>
    </row>
    <row r="234" spans="18:37" ht="15.75" customHeight="1" x14ac:dyDescent="0.4">
      <c r="R234" s="164"/>
      <c r="AF234" s="164"/>
      <c r="AG234" s="164"/>
      <c r="AK234" s="22"/>
    </row>
    <row r="235" spans="18:37" ht="15.75" customHeight="1" x14ac:dyDescent="0.4">
      <c r="R235" s="164"/>
      <c r="AF235" s="164"/>
      <c r="AG235" s="164"/>
      <c r="AK235" s="22"/>
    </row>
    <row r="236" spans="18:37" ht="15.75" customHeight="1" x14ac:dyDescent="0.4">
      <c r="R236" s="164"/>
      <c r="AF236" s="164"/>
      <c r="AG236" s="164"/>
      <c r="AK236" s="22"/>
    </row>
    <row r="237" spans="18:37" ht="15.75" customHeight="1" x14ac:dyDescent="0.4">
      <c r="R237" s="164"/>
      <c r="AF237" s="164"/>
      <c r="AG237" s="164"/>
      <c r="AK237" s="22"/>
    </row>
    <row r="238" spans="18:37" ht="15.75" customHeight="1" x14ac:dyDescent="0.4">
      <c r="R238" s="164"/>
      <c r="AF238" s="164"/>
      <c r="AG238" s="164"/>
      <c r="AK238" s="22"/>
    </row>
    <row r="239" spans="18:37" ht="15.75" customHeight="1" x14ac:dyDescent="0.4">
      <c r="R239" s="164"/>
      <c r="AF239" s="164"/>
      <c r="AG239" s="164"/>
      <c r="AK239" s="22"/>
    </row>
    <row r="240" spans="18:37" ht="15.75" customHeight="1" x14ac:dyDescent="0.4">
      <c r="R240" s="164"/>
      <c r="AF240" s="164"/>
      <c r="AG240" s="164"/>
      <c r="AK240" s="22"/>
    </row>
    <row r="241" spans="18:37" ht="15.75" customHeight="1" x14ac:dyDescent="0.4">
      <c r="R241" s="164"/>
      <c r="AF241" s="164"/>
      <c r="AG241" s="164"/>
      <c r="AK241" s="22"/>
    </row>
    <row r="242" spans="18:37" ht="15.75" customHeight="1" x14ac:dyDescent="0.4">
      <c r="R242" s="164"/>
      <c r="AF242" s="164"/>
      <c r="AG242" s="164"/>
      <c r="AK242" s="22"/>
    </row>
    <row r="243" spans="18:37" ht="15.75" customHeight="1" x14ac:dyDescent="0.4">
      <c r="R243" s="164"/>
      <c r="AF243" s="164"/>
      <c r="AG243" s="164"/>
      <c r="AK243" s="22"/>
    </row>
    <row r="244" spans="18:37" ht="15.75" customHeight="1" x14ac:dyDescent="0.4">
      <c r="R244" s="164"/>
      <c r="AF244" s="164"/>
      <c r="AG244" s="164"/>
      <c r="AK244" s="22"/>
    </row>
    <row r="245" spans="18:37" ht="15.75" customHeight="1" x14ac:dyDescent="0.4">
      <c r="R245" s="164"/>
      <c r="AF245" s="164"/>
      <c r="AG245" s="164"/>
      <c r="AK245" s="22"/>
    </row>
    <row r="246" spans="18:37" ht="15.75" customHeight="1" x14ac:dyDescent="0.4">
      <c r="R246" s="164"/>
      <c r="AF246" s="164"/>
      <c r="AG246" s="164"/>
      <c r="AK246" s="22"/>
    </row>
    <row r="247" spans="18:37" ht="15.75" customHeight="1" x14ac:dyDescent="0.4">
      <c r="R247" s="164"/>
      <c r="AF247" s="164"/>
      <c r="AG247" s="164"/>
      <c r="AK247" s="22"/>
    </row>
    <row r="248" spans="18:37" ht="15.75" customHeight="1" x14ac:dyDescent="0.4">
      <c r="R248" s="164"/>
      <c r="AF248" s="164"/>
      <c r="AG248" s="164"/>
      <c r="AK248" s="22"/>
    </row>
    <row r="249" spans="18:37" ht="15.75" customHeight="1" x14ac:dyDescent="0.4">
      <c r="R249" s="164"/>
      <c r="AF249" s="164"/>
      <c r="AG249" s="164"/>
      <c r="AK249" s="22"/>
    </row>
    <row r="250" spans="18:37" ht="15.75" customHeight="1" x14ac:dyDescent="0.4">
      <c r="R250" s="164"/>
      <c r="AF250" s="164"/>
      <c r="AG250" s="164"/>
      <c r="AK250" s="22"/>
    </row>
    <row r="251" spans="18:37" ht="15.75" customHeight="1" x14ac:dyDescent="0.4">
      <c r="R251" s="164"/>
      <c r="AF251" s="164"/>
      <c r="AG251" s="164"/>
      <c r="AK251" s="22"/>
    </row>
    <row r="252" spans="18:37" ht="15.75" customHeight="1" x14ac:dyDescent="0.4">
      <c r="R252" s="164"/>
      <c r="AF252" s="164"/>
      <c r="AG252" s="164"/>
      <c r="AK252" s="22"/>
    </row>
    <row r="253" spans="18:37" ht="15.75" customHeight="1" x14ac:dyDescent="0.4">
      <c r="R253" s="164"/>
      <c r="AF253" s="164"/>
      <c r="AG253" s="164"/>
      <c r="AK253" s="22"/>
    </row>
    <row r="254" spans="18:37" ht="15.75" customHeight="1" x14ac:dyDescent="0.4">
      <c r="R254" s="164"/>
      <c r="AF254" s="164"/>
      <c r="AG254" s="164"/>
      <c r="AK254" s="22"/>
    </row>
    <row r="255" spans="18:37" ht="15.75" customHeight="1" x14ac:dyDescent="0.4">
      <c r="R255" s="164"/>
      <c r="AF255" s="164"/>
      <c r="AG255" s="164"/>
      <c r="AK255" s="22"/>
    </row>
    <row r="256" spans="18:37" ht="15.75" customHeight="1" x14ac:dyDescent="0.4">
      <c r="R256" s="164"/>
      <c r="AF256" s="164"/>
      <c r="AG256" s="164"/>
      <c r="AK256" s="22"/>
    </row>
    <row r="257" spans="18:37" ht="15.75" customHeight="1" x14ac:dyDescent="0.4">
      <c r="R257" s="164"/>
      <c r="AF257" s="164"/>
      <c r="AG257" s="164"/>
      <c r="AK257" s="22"/>
    </row>
    <row r="258" spans="18:37" ht="15.75" customHeight="1" x14ac:dyDescent="0.4">
      <c r="R258" s="164"/>
      <c r="AF258" s="164"/>
      <c r="AG258" s="164"/>
      <c r="AK258" s="22"/>
    </row>
    <row r="259" spans="18:37" ht="15.75" customHeight="1" x14ac:dyDescent="0.4">
      <c r="R259" s="164"/>
      <c r="AF259" s="164"/>
      <c r="AG259" s="164"/>
      <c r="AK259" s="22"/>
    </row>
    <row r="260" spans="18:37" ht="15.75" customHeight="1" x14ac:dyDescent="0.4">
      <c r="R260" s="164"/>
      <c r="AF260" s="164"/>
      <c r="AG260" s="164"/>
      <c r="AK260" s="22"/>
    </row>
    <row r="261" spans="18:37" ht="15.75" customHeight="1" x14ac:dyDescent="0.4">
      <c r="R261" s="164"/>
      <c r="AF261" s="164"/>
      <c r="AG261" s="164"/>
      <c r="AK261" s="22"/>
    </row>
    <row r="262" spans="18:37" ht="15.75" customHeight="1" x14ac:dyDescent="0.4">
      <c r="R262" s="164"/>
      <c r="AF262" s="164"/>
      <c r="AG262" s="164"/>
      <c r="AK262" s="22"/>
    </row>
    <row r="263" spans="18:37" ht="15.75" customHeight="1" x14ac:dyDescent="0.4">
      <c r="R263" s="164"/>
      <c r="AF263" s="164"/>
      <c r="AG263" s="164"/>
      <c r="AK263" s="22"/>
    </row>
    <row r="264" spans="18:37" ht="15.75" customHeight="1" x14ac:dyDescent="0.4">
      <c r="R264" s="164"/>
      <c r="AF264" s="164"/>
      <c r="AG264" s="164"/>
      <c r="AK264" s="22"/>
    </row>
    <row r="265" spans="18:37" ht="15.75" customHeight="1" x14ac:dyDescent="0.4">
      <c r="R265" s="164"/>
      <c r="AF265" s="164"/>
      <c r="AG265" s="164"/>
      <c r="AK265" s="22"/>
    </row>
    <row r="266" spans="18:37" ht="15.75" customHeight="1" x14ac:dyDescent="0.4">
      <c r="R266" s="164"/>
      <c r="AF266" s="164"/>
      <c r="AG266" s="164"/>
      <c r="AK266" s="22"/>
    </row>
    <row r="267" spans="18:37" ht="15.75" customHeight="1" x14ac:dyDescent="0.4">
      <c r="R267" s="164"/>
      <c r="AF267" s="164"/>
      <c r="AG267" s="164"/>
      <c r="AK267" s="22"/>
    </row>
    <row r="268" spans="18:37" ht="15.75" customHeight="1" x14ac:dyDescent="0.4">
      <c r="R268" s="164"/>
      <c r="AF268" s="164"/>
      <c r="AG268" s="164"/>
      <c r="AK268" s="22"/>
    </row>
    <row r="269" spans="18:37" ht="15.75" customHeight="1" x14ac:dyDescent="0.4">
      <c r="R269" s="164"/>
      <c r="AF269" s="164"/>
      <c r="AG269" s="164"/>
      <c r="AK269" s="22"/>
    </row>
    <row r="270" spans="18:37" ht="15.75" customHeight="1" x14ac:dyDescent="0.4">
      <c r="R270" s="164"/>
      <c r="AF270" s="164"/>
      <c r="AG270" s="164"/>
      <c r="AK270" s="22"/>
    </row>
    <row r="271" spans="18:37" ht="15.75" customHeight="1" x14ac:dyDescent="0.4">
      <c r="R271" s="164"/>
      <c r="AF271" s="164"/>
      <c r="AG271" s="164"/>
      <c r="AK271" s="22"/>
    </row>
    <row r="272" spans="18:37" ht="15.75" customHeight="1" x14ac:dyDescent="0.4">
      <c r="R272" s="164"/>
      <c r="AF272" s="164"/>
      <c r="AG272" s="164"/>
      <c r="AK272" s="22"/>
    </row>
    <row r="273" spans="18:37" ht="15.75" customHeight="1" x14ac:dyDescent="0.4">
      <c r="R273" s="164"/>
      <c r="AF273" s="164"/>
      <c r="AG273" s="164"/>
      <c r="AK273" s="22"/>
    </row>
    <row r="274" spans="18:37" ht="15.75" customHeight="1" x14ac:dyDescent="0.4">
      <c r="R274" s="164"/>
      <c r="AF274" s="164"/>
      <c r="AG274" s="164"/>
      <c r="AK274" s="22"/>
    </row>
    <row r="275" spans="18:37" ht="15.75" customHeight="1" x14ac:dyDescent="0.4">
      <c r="R275" s="164"/>
      <c r="AF275" s="164"/>
      <c r="AG275" s="164"/>
      <c r="AK275" s="22"/>
    </row>
    <row r="276" spans="18:37" ht="15.75" customHeight="1" x14ac:dyDescent="0.4">
      <c r="R276" s="164"/>
      <c r="AF276" s="164"/>
      <c r="AG276" s="164"/>
      <c r="AK276" s="22"/>
    </row>
    <row r="277" spans="18:37" ht="15.75" customHeight="1" x14ac:dyDescent="0.4">
      <c r="R277" s="164"/>
      <c r="AF277" s="164"/>
      <c r="AG277" s="164"/>
      <c r="AK277" s="22"/>
    </row>
    <row r="278" spans="18:37" ht="15.75" customHeight="1" x14ac:dyDescent="0.4">
      <c r="R278" s="164"/>
      <c r="AF278" s="164"/>
      <c r="AG278" s="164"/>
      <c r="AK278" s="22"/>
    </row>
    <row r="279" spans="18:37" ht="15.75" customHeight="1" x14ac:dyDescent="0.4">
      <c r="R279" s="164"/>
      <c r="AF279" s="164"/>
      <c r="AG279" s="164"/>
      <c r="AK279" s="22"/>
    </row>
    <row r="280" spans="18:37" ht="15.75" customHeight="1" x14ac:dyDescent="0.4">
      <c r="R280" s="164"/>
      <c r="AF280" s="164"/>
      <c r="AG280" s="164"/>
      <c r="AK280" s="22"/>
    </row>
    <row r="281" spans="18:37" ht="15.75" customHeight="1" x14ac:dyDescent="0.4">
      <c r="R281" s="164"/>
      <c r="AF281" s="164"/>
      <c r="AG281" s="164"/>
      <c r="AK281" s="22"/>
    </row>
    <row r="282" spans="18:37" ht="15.75" customHeight="1" x14ac:dyDescent="0.4">
      <c r="R282" s="164"/>
      <c r="AF282" s="164"/>
      <c r="AG282" s="164"/>
      <c r="AK282" s="22"/>
    </row>
    <row r="283" spans="18:37" ht="15.75" customHeight="1" x14ac:dyDescent="0.4">
      <c r="R283" s="164"/>
      <c r="AF283" s="164"/>
      <c r="AG283" s="164"/>
      <c r="AK283" s="22"/>
    </row>
    <row r="284" spans="18:37" ht="15.75" customHeight="1" x14ac:dyDescent="0.4">
      <c r="R284" s="164"/>
      <c r="AF284" s="164"/>
      <c r="AG284" s="164"/>
      <c r="AK284" s="22"/>
    </row>
    <row r="285" spans="18:37" ht="15.75" customHeight="1" x14ac:dyDescent="0.4">
      <c r="R285" s="164"/>
      <c r="AF285" s="164"/>
      <c r="AG285" s="164"/>
      <c r="AK285" s="22"/>
    </row>
    <row r="286" spans="18:37" ht="15.75" customHeight="1" x14ac:dyDescent="0.4">
      <c r="R286" s="164"/>
      <c r="AF286" s="164"/>
      <c r="AG286" s="164"/>
      <c r="AK286" s="22"/>
    </row>
    <row r="287" spans="18:37" ht="15.75" customHeight="1" x14ac:dyDescent="0.4">
      <c r="R287" s="164"/>
      <c r="AF287" s="164"/>
      <c r="AG287" s="164"/>
      <c r="AK287" s="22"/>
    </row>
    <row r="288" spans="18:37" ht="15.75" customHeight="1" x14ac:dyDescent="0.4">
      <c r="R288" s="164"/>
      <c r="AF288" s="164"/>
      <c r="AG288" s="164"/>
      <c r="AK288" s="22"/>
    </row>
    <row r="289" spans="18:37" ht="15.75" customHeight="1" x14ac:dyDescent="0.4">
      <c r="R289" s="164"/>
      <c r="AF289" s="164"/>
      <c r="AG289" s="164"/>
      <c r="AK289" s="22"/>
    </row>
    <row r="290" spans="18:37" ht="15.75" customHeight="1" x14ac:dyDescent="0.4">
      <c r="R290" s="164"/>
      <c r="AF290" s="164"/>
      <c r="AG290" s="164"/>
      <c r="AK290" s="22"/>
    </row>
    <row r="291" spans="18:37" ht="15.75" customHeight="1" x14ac:dyDescent="0.4">
      <c r="R291" s="164"/>
      <c r="AF291" s="164"/>
      <c r="AG291" s="164"/>
      <c r="AK291" s="22"/>
    </row>
    <row r="292" spans="18:37" ht="15.75" customHeight="1" x14ac:dyDescent="0.4">
      <c r="R292" s="164"/>
      <c r="AF292" s="164"/>
      <c r="AG292" s="164"/>
      <c r="AK292" s="22"/>
    </row>
    <row r="293" spans="18:37" ht="15.75" customHeight="1" x14ac:dyDescent="0.4">
      <c r="R293" s="164"/>
      <c r="AF293" s="164"/>
      <c r="AG293" s="164"/>
      <c r="AK293" s="22"/>
    </row>
    <row r="294" spans="18:37" ht="15.75" customHeight="1" x14ac:dyDescent="0.4">
      <c r="R294" s="164"/>
      <c r="AF294" s="164"/>
      <c r="AG294" s="164"/>
      <c r="AK294" s="22"/>
    </row>
    <row r="295" spans="18:37" ht="15.75" customHeight="1" x14ac:dyDescent="0.4">
      <c r="R295" s="164"/>
      <c r="AF295" s="164"/>
      <c r="AG295" s="164"/>
      <c r="AK295" s="22"/>
    </row>
    <row r="296" spans="18:37" ht="15.75" customHeight="1" x14ac:dyDescent="0.4">
      <c r="R296" s="164"/>
      <c r="AF296" s="164"/>
      <c r="AG296" s="164"/>
      <c r="AK296" s="22"/>
    </row>
    <row r="297" spans="18:37" ht="15.75" customHeight="1" x14ac:dyDescent="0.4">
      <c r="R297" s="164"/>
      <c r="AF297" s="164"/>
      <c r="AG297" s="164"/>
      <c r="AK297" s="22"/>
    </row>
    <row r="298" spans="18:37" ht="15.75" customHeight="1" x14ac:dyDescent="0.4">
      <c r="R298" s="164"/>
      <c r="AF298" s="164"/>
      <c r="AG298" s="164"/>
      <c r="AK298" s="22"/>
    </row>
    <row r="299" spans="18:37" ht="15.75" customHeight="1" x14ac:dyDescent="0.4">
      <c r="R299" s="164"/>
      <c r="AF299" s="164"/>
      <c r="AG299" s="164"/>
      <c r="AK299" s="22"/>
    </row>
    <row r="300" spans="18:37" ht="15.75" customHeight="1" x14ac:dyDescent="0.4">
      <c r="R300" s="164"/>
      <c r="AF300" s="164"/>
      <c r="AG300" s="164"/>
      <c r="AK300" s="22"/>
    </row>
    <row r="301" spans="18:37" ht="15.75" customHeight="1" x14ac:dyDescent="0.4">
      <c r="R301" s="164"/>
      <c r="AF301" s="164"/>
      <c r="AG301" s="164"/>
      <c r="AK301" s="22"/>
    </row>
    <row r="302" spans="18:37" ht="15.75" customHeight="1" x14ac:dyDescent="0.4">
      <c r="R302" s="164"/>
      <c r="AF302" s="164"/>
      <c r="AG302" s="164"/>
      <c r="AK302" s="22"/>
    </row>
    <row r="303" spans="18:37" ht="15.75" customHeight="1" x14ac:dyDescent="0.4">
      <c r="R303" s="164"/>
      <c r="AF303" s="164"/>
      <c r="AG303" s="164"/>
      <c r="AK303" s="22"/>
    </row>
    <row r="304" spans="18:37" ht="15.75" customHeight="1" x14ac:dyDescent="0.4">
      <c r="R304" s="164"/>
      <c r="AF304" s="164"/>
      <c r="AG304" s="164"/>
      <c r="AK304" s="22"/>
    </row>
    <row r="305" spans="18:37" ht="15.75" customHeight="1" x14ac:dyDescent="0.4">
      <c r="R305" s="164"/>
      <c r="AF305" s="164"/>
      <c r="AG305" s="164"/>
      <c r="AK305" s="22"/>
    </row>
    <row r="306" spans="18:37" ht="15.75" customHeight="1" x14ac:dyDescent="0.4">
      <c r="R306" s="164"/>
      <c r="AF306" s="164"/>
      <c r="AG306" s="164"/>
      <c r="AK306" s="22"/>
    </row>
    <row r="307" spans="18:37" ht="15.75" customHeight="1" x14ac:dyDescent="0.4">
      <c r="R307" s="164"/>
      <c r="AF307" s="164"/>
      <c r="AG307" s="164"/>
      <c r="AK307" s="22"/>
    </row>
    <row r="308" spans="18:37" ht="15.75" customHeight="1" x14ac:dyDescent="0.4">
      <c r="R308" s="164"/>
      <c r="AF308" s="164"/>
      <c r="AG308" s="164"/>
      <c r="AK308" s="22"/>
    </row>
    <row r="309" spans="18:37" ht="15.75" customHeight="1" x14ac:dyDescent="0.4">
      <c r="R309" s="164"/>
      <c r="AF309" s="164"/>
      <c r="AG309" s="164"/>
      <c r="AK309" s="22"/>
    </row>
    <row r="310" spans="18:37" ht="15.75" customHeight="1" x14ac:dyDescent="0.4">
      <c r="R310" s="164"/>
      <c r="AF310" s="164"/>
      <c r="AG310" s="164"/>
      <c r="AK310" s="22"/>
    </row>
    <row r="311" spans="18:37" ht="15.75" customHeight="1" x14ac:dyDescent="0.4">
      <c r="R311" s="164"/>
      <c r="AF311" s="164"/>
      <c r="AG311" s="164"/>
      <c r="AK311" s="22"/>
    </row>
    <row r="312" spans="18:37" ht="15.75" customHeight="1" x14ac:dyDescent="0.4">
      <c r="R312" s="164"/>
      <c r="AF312" s="164"/>
      <c r="AG312" s="164"/>
      <c r="AK312" s="22"/>
    </row>
    <row r="313" spans="18:37" ht="15.75" customHeight="1" x14ac:dyDescent="0.4">
      <c r="R313" s="164"/>
      <c r="AF313" s="164"/>
      <c r="AG313" s="164"/>
      <c r="AK313" s="22"/>
    </row>
    <row r="314" spans="18:37" ht="15.75" customHeight="1" x14ac:dyDescent="0.4">
      <c r="R314" s="164"/>
      <c r="AF314" s="164"/>
      <c r="AG314" s="164"/>
      <c r="AK314" s="22"/>
    </row>
    <row r="315" spans="18:37" ht="15.75" customHeight="1" x14ac:dyDescent="0.4">
      <c r="R315" s="164"/>
      <c r="AF315" s="164"/>
      <c r="AG315" s="164"/>
      <c r="AK315" s="22"/>
    </row>
    <row r="316" spans="18:37" ht="15.75" customHeight="1" x14ac:dyDescent="0.4">
      <c r="R316" s="164"/>
      <c r="AF316" s="164"/>
      <c r="AG316" s="164"/>
      <c r="AK316" s="22"/>
    </row>
    <row r="317" spans="18:37" ht="15.75" customHeight="1" x14ac:dyDescent="0.4">
      <c r="R317" s="164"/>
      <c r="AF317" s="164"/>
      <c r="AG317" s="164"/>
      <c r="AK317" s="22"/>
    </row>
    <row r="318" spans="18:37" ht="15.75" customHeight="1" x14ac:dyDescent="0.4">
      <c r="R318" s="164"/>
      <c r="AF318" s="164"/>
      <c r="AG318" s="164"/>
      <c r="AK318" s="22"/>
    </row>
    <row r="319" spans="18:37" ht="15.75" customHeight="1" x14ac:dyDescent="0.4">
      <c r="R319" s="164"/>
      <c r="AF319" s="164"/>
      <c r="AG319" s="164"/>
      <c r="AK319" s="22"/>
    </row>
    <row r="320" spans="18:37" ht="15.75" customHeight="1" x14ac:dyDescent="0.4">
      <c r="R320" s="164"/>
      <c r="AF320" s="164"/>
      <c r="AG320" s="164"/>
      <c r="AK320" s="22"/>
    </row>
    <row r="321" spans="18:37" ht="15.75" customHeight="1" x14ac:dyDescent="0.4">
      <c r="R321" s="164"/>
      <c r="AF321" s="164"/>
      <c r="AG321" s="164"/>
      <c r="AK321" s="22"/>
    </row>
    <row r="322" spans="18:37" ht="15.75" customHeight="1" x14ac:dyDescent="0.4">
      <c r="R322" s="164"/>
      <c r="AF322" s="164"/>
      <c r="AG322" s="164"/>
      <c r="AK322" s="22"/>
    </row>
    <row r="323" spans="18:37" ht="15.75" customHeight="1" x14ac:dyDescent="0.4">
      <c r="R323" s="164"/>
      <c r="AF323" s="164"/>
      <c r="AG323" s="164"/>
      <c r="AK323" s="22"/>
    </row>
    <row r="324" spans="18:37" ht="15.75" customHeight="1" x14ac:dyDescent="0.4">
      <c r="R324" s="164"/>
      <c r="AF324" s="164"/>
      <c r="AG324" s="164"/>
      <c r="AK324" s="22"/>
    </row>
    <row r="325" spans="18:37" ht="15.75" customHeight="1" x14ac:dyDescent="0.4">
      <c r="R325" s="164"/>
      <c r="AF325" s="164"/>
      <c r="AG325" s="164"/>
      <c r="AK325" s="22"/>
    </row>
    <row r="326" spans="18:37" ht="15.75" customHeight="1" x14ac:dyDescent="0.4">
      <c r="R326" s="164"/>
      <c r="AF326" s="164"/>
      <c r="AG326" s="164"/>
      <c r="AK326" s="22"/>
    </row>
    <row r="327" spans="18:37" ht="15.75" customHeight="1" x14ac:dyDescent="0.4">
      <c r="R327" s="164"/>
      <c r="AF327" s="164"/>
      <c r="AG327" s="164"/>
      <c r="AK327" s="22"/>
    </row>
    <row r="328" spans="18:37" ht="15.75" customHeight="1" x14ac:dyDescent="0.4">
      <c r="R328" s="164"/>
      <c r="AF328" s="164"/>
      <c r="AG328" s="164"/>
      <c r="AK328" s="22"/>
    </row>
    <row r="329" spans="18:37" ht="15.75" customHeight="1" x14ac:dyDescent="0.4">
      <c r="R329" s="164"/>
      <c r="AF329" s="164"/>
      <c r="AG329" s="164"/>
      <c r="AK329" s="22"/>
    </row>
    <row r="330" spans="18:37" ht="15.75" customHeight="1" x14ac:dyDescent="0.4">
      <c r="R330" s="164"/>
      <c r="AF330" s="164"/>
      <c r="AG330" s="164"/>
      <c r="AK330" s="22"/>
    </row>
    <row r="331" spans="18:37" ht="15.75" customHeight="1" x14ac:dyDescent="0.4">
      <c r="R331" s="164"/>
      <c r="AF331" s="164"/>
      <c r="AG331" s="164"/>
      <c r="AK331" s="22"/>
    </row>
    <row r="332" spans="18:37" ht="15.75" customHeight="1" x14ac:dyDescent="0.4">
      <c r="R332" s="164"/>
      <c r="AF332" s="164"/>
      <c r="AG332" s="164"/>
      <c r="AK332" s="22"/>
    </row>
    <row r="333" spans="18:37" ht="15.75" customHeight="1" x14ac:dyDescent="0.4">
      <c r="R333" s="164"/>
      <c r="AF333" s="164"/>
      <c r="AG333" s="164"/>
      <c r="AK333" s="22"/>
    </row>
    <row r="334" spans="18:37" ht="15.75" customHeight="1" x14ac:dyDescent="0.4">
      <c r="R334" s="164"/>
      <c r="AF334" s="164"/>
      <c r="AG334" s="164"/>
      <c r="AK334" s="22"/>
    </row>
    <row r="335" spans="18:37" ht="15.75" customHeight="1" x14ac:dyDescent="0.4">
      <c r="R335" s="164"/>
      <c r="AF335" s="164"/>
      <c r="AG335" s="164"/>
      <c r="AK335" s="22"/>
    </row>
    <row r="336" spans="18:37" ht="15.75" customHeight="1" x14ac:dyDescent="0.4">
      <c r="R336" s="164"/>
      <c r="AF336" s="164"/>
      <c r="AG336" s="164"/>
      <c r="AK336" s="22"/>
    </row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  <row r="1012" ht="15.75" customHeight="1" x14ac:dyDescent="0.4"/>
    <row r="1013" ht="15.75" customHeight="1" x14ac:dyDescent="0.4"/>
    <row r="1014" ht="15.75" customHeight="1" x14ac:dyDescent="0.4"/>
    <row r="1015" ht="15.75" customHeight="1" x14ac:dyDescent="0.4"/>
    <row r="1016" ht="15.75" customHeight="1" x14ac:dyDescent="0.4"/>
    <row r="1017" ht="15.75" customHeight="1" x14ac:dyDescent="0.4"/>
    <row r="1018" ht="15.75" customHeight="1" x14ac:dyDescent="0.4"/>
    <row r="1019" ht="15.75" customHeight="1" x14ac:dyDescent="0.4"/>
    <row r="1020" ht="15.75" customHeight="1" x14ac:dyDescent="0.4"/>
    <row r="1021" ht="15.75" customHeight="1" x14ac:dyDescent="0.4"/>
    <row r="1022" ht="15.75" customHeight="1" x14ac:dyDescent="0.4"/>
    <row r="1023" ht="15.75" customHeight="1" x14ac:dyDescent="0.4"/>
    <row r="1024" ht="15.75" customHeight="1" x14ac:dyDescent="0.4"/>
    <row r="1025" ht="15.75" customHeight="1" x14ac:dyDescent="0.4"/>
    <row r="1026" ht="15.75" customHeight="1" x14ac:dyDescent="0.4"/>
    <row r="1027" ht="15.75" customHeight="1" x14ac:dyDescent="0.4"/>
    <row r="1028" ht="15.75" customHeight="1" x14ac:dyDescent="0.4"/>
    <row r="1029" ht="15.75" customHeight="1" x14ac:dyDescent="0.4"/>
    <row r="1030" ht="15.75" customHeight="1" x14ac:dyDescent="0.4"/>
    <row r="1031" ht="15.75" customHeight="1" x14ac:dyDescent="0.4"/>
  </sheetData>
  <dataValidations disablePrompts="1" count="1">
    <dataValidation type="list" allowBlank="1" showErrorMessage="1" sqref="C2" xr:uid="{752CF25A-84D2-4B52-A349-F786C1041E96}">
      <formula1>$BH$8:$BH$10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25FA-AE82-41FC-B309-A1C3F598446B}">
  <dimension ref="A1:AQ1001"/>
  <sheetViews>
    <sheetView showGridLines="0" zoomScaleNormal="100" workbookViewId="0">
      <pane xSplit="3" ySplit="2" topLeftCell="N3" activePane="bottomRight" state="frozen"/>
      <selection pane="topRight" activeCell="AB75" sqref="AB75"/>
      <selection pane="bottomLeft" activeCell="AB75" sqref="AB75"/>
      <selection pane="bottomRight" activeCell="V6" sqref="V6"/>
    </sheetView>
  </sheetViews>
  <sheetFormatPr defaultColWidth="14.3984375" defaultRowHeight="15" customHeight="1" outlineLevelRow="1" outlineLevelCol="1" x14ac:dyDescent="0.4"/>
  <cols>
    <col min="1" max="1" width="7.86328125" style="15" bestFit="1" customWidth="1"/>
    <col min="2" max="2" width="27.86328125" style="15" customWidth="1"/>
    <col min="3" max="3" width="10.1328125" style="163" customWidth="1"/>
    <col min="4" max="4" width="0.86328125" style="15" customWidth="1"/>
    <col min="5" max="5" width="12.1328125" style="163" customWidth="1" outlineLevel="1"/>
    <col min="6" max="6" width="0.86328125" style="15" customWidth="1"/>
    <col min="7" max="17" width="12.86328125" style="15" customWidth="1" outlineLevel="1"/>
    <col min="18" max="18" width="12.86328125" style="15" customWidth="1"/>
    <col min="19" max="19" width="3.1328125" style="15" customWidth="1"/>
    <col min="20" max="30" width="12.86328125" style="15" customWidth="1" outlineLevel="1"/>
    <col min="31" max="31" width="12.86328125" style="15" customWidth="1"/>
    <col min="32" max="32" width="3.1328125" style="15" customWidth="1"/>
    <col min="33" max="43" width="8.86328125" style="15" customWidth="1"/>
    <col min="44" max="16384" width="14.3984375" style="15"/>
  </cols>
  <sheetData>
    <row r="1" spans="1:43" ht="12" customHeight="1" x14ac:dyDescent="0.4">
      <c r="E1" s="165" t="s">
        <v>4</v>
      </c>
    </row>
    <row r="2" spans="1:43" ht="14.85" customHeight="1" thickBot="1" x14ac:dyDescent="0.45">
      <c r="A2" s="37"/>
      <c r="B2" s="27" t="s">
        <v>76</v>
      </c>
      <c r="C2" s="34" t="s">
        <v>4</v>
      </c>
      <c r="D2" s="38"/>
      <c r="E2" s="32">
        <v>45627</v>
      </c>
      <c r="F2" s="38"/>
      <c r="G2" s="32">
        <f>'[3]P&amp;L'!E7</f>
        <v>45688</v>
      </c>
      <c r="H2" s="33">
        <f>'[3]P&amp;L'!F7</f>
        <v>45716</v>
      </c>
      <c r="I2" s="33">
        <f>'[3]P&amp;L'!G7</f>
        <v>45747</v>
      </c>
      <c r="J2" s="33">
        <f>'[3]P&amp;L'!H7</f>
        <v>45777</v>
      </c>
      <c r="K2" s="33">
        <f>'[3]P&amp;L'!I7</f>
        <v>45808</v>
      </c>
      <c r="L2" s="33">
        <f>'[3]P&amp;L'!J7</f>
        <v>45838</v>
      </c>
      <c r="M2" s="33">
        <f>'[3]P&amp;L'!K7</f>
        <v>45869</v>
      </c>
      <c r="N2" s="33">
        <f>'[3]P&amp;L'!L7</f>
        <v>45900</v>
      </c>
      <c r="O2" s="33">
        <f>'[3]P&amp;L'!M7</f>
        <v>45930</v>
      </c>
      <c r="P2" s="33">
        <f>'[3]P&amp;L'!N7</f>
        <v>45961</v>
      </c>
      <c r="Q2" s="33">
        <f>'[3]P&amp;L'!O7</f>
        <v>45991</v>
      </c>
      <c r="R2" s="166">
        <f>'[3]P&amp;L'!P7</f>
        <v>46022</v>
      </c>
      <c r="S2" s="38"/>
      <c r="T2" s="32">
        <f>'[3]P&amp;L'!S7</f>
        <v>46053</v>
      </c>
      <c r="U2" s="33">
        <f>'[3]P&amp;L'!T7</f>
        <v>46081</v>
      </c>
      <c r="V2" s="33">
        <f>'[3]P&amp;L'!U7</f>
        <v>46112</v>
      </c>
      <c r="W2" s="33">
        <f>'[3]P&amp;L'!V7</f>
        <v>46142</v>
      </c>
      <c r="X2" s="33">
        <f>'[3]P&amp;L'!W7</f>
        <v>46173</v>
      </c>
      <c r="Y2" s="33">
        <f>'[3]P&amp;L'!X7</f>
        <v>46203</v>
      </c>
      <c r="Z2" s="33">
        <f>'[3]P&amp;L'!Y7</f>
        <v>46234</v>
      </c>
      <c r="AA2" s="33">
        <f>'[3]P&amp;L'!Z7</f>
        <v>46265</v>
      </c>
      <c r="AB2" s="33">
        <f>'[3]P&amp;L'!AA7</f>
        <v>46295</v>
      </c>
      <c r="AC2" s="33">
        <f>'[3]P&amp;L'!AB7</f>
        <v>46326</v>
      </c>
      <c r="AD2" s="33">
        <f>'[3]P&amp;L'!AC7</f>
        <v>46356</v>
      </c>
      <c r="AE2" s="166">
        <f>'[3]P&amp;L'!AD7</f>
        <v>46387</v>
      </c>
      <c r="AF2" s="29"/>
    </row>
    <row r="3" spans="1:43" ht="13.15" x14ac:dyDescent="0.4">
      <c r="A3" s="37" t="s">
        <v>77</v>
      </c>
      <c r="B3" s="111"/>
      <c r="C3" s="205"/>
      <c r="D3" s="38"/>
      <c r="E3" s="247">
        <f>'[2]Detailed FS_$ Cons. (formating)'!$BP$188-E4</f>
        <v>0</v>
      </c>
      <c r="F3" s="38"/>
      <c r="G3" s="239">
        <f>'[2]Detailed FS_$ Cons. (formating)'!BR$188-G4</f>
        <v>0</v>
      </c>
      <c r="H3" s="240">
        <f>'[2]Detailed FS_$ Cons. (formating)'!BS$188-H4</f>
        <v>0</v>
      </c>
      <c r="I3" s="240">
        <f>'[2]Detailed FS_$ Cons. (formating)'!BT$188-I4</f>
        <v>0</v>
      </c>
      <c r="J3" s="240">
        <f>'[2]Detailed FS_$ Cons. (formating)'!BU$188-J4</f>
        <v>0</v>
      </c>
      <c r="K3" s="240">
        <f>'[2]Detailed FS_$ Cons. (formating)'!BV$188-K4</f>
        <v>0</v>
      </c>
      <c r="L3" s="240">
        <f>'[2]Detailed FS_$ Cons. (formating)'!BW$188-L4</f>
        <v>0</v>
      </c>
      <c r="M3" s="240">
        <f>'[2]Detailed FS_$ Cons. (formating)'!BX$188-M4</f>
        <v>0</v>
      </c>
      <c r="N3" s="240">
        <f>'[2]Detailed FS_$ Cons. (formating)'!BY$188-N4</f>
        <v>0</v>
      </c>
      <c r="O3" s="240">
        <f>'[2]Detailed FS_$ Cons. (formating)'!BZ$188-O4</f>
        <v>0</v>
      </c>
      <c r="P3" s="240">
        <f>'[2]Detailed FS_$ Cons. (formating)'!CA$188-P4</f>
        <v>0</v>
      </c>
      <c r="Q3" s="240">
        <f>'[2]Detailed FS_$ Cons. (formating)'!CB$188-Q4</f>
        <v>0</v>
      </c>
      <c r="R3" s="240">
        <f>'[2]Detailed FS_$ Cons. (formating)'!CC$188-R4</f>
        <v>0</v>
      </c>
      <c r="S3" s="38"/>
      <c r="T3" s="239">
        <f>'[2]Detailed FS_$ Cons. (formating)'!CF$188-T4</f>
        <v>0</v>
      </c>
      <c r="U3" s="240">
        <f>'[2]Detailed FS_$ Cons. (formating)'!CG$188-U4</f>
        <v>0</v>
      </c>
      <c r="V3" s="240">
        <f>'[2]Detailed FS_$ Cons. (formating)'!CH$188-V4</f>
        <v>0</v>
      </c>
      <c r="W3" s="240"/>
      <c r="X3" s="240"/>
      <c r="Y3" s="240"/>
      <c r="Z3" s="240"/>
      <c r="AA3" s="240"/>
      <c r="AB3" s="240"/>
      <c r="AC3" s="240"/>
      <c r="AD3" s="240"/>
      <c r="AE3" s="240" t="s">
        <v>78</v>
      </c>
      <c r="AF3" s="29"/>
    </row>
    <row r="4" spans="1:43" ht="13.15" x14ac:dyDescent="0.4">
      <c r="B4" s="198" t="s">
        <v>79</v>
      </c>
      <c r="C4" s="238" t="s">
        <v>41</v>
      </c>
      <c r="E4" s="248">
        <f>SUM(E5:E13)</f>
        <v>887568.39533643099</v>
      </c>
      <c r="G4" s="241">
        <f t="shared" ref="G4:L4" si="0">SUM(G5:G13)</f>
        <v>741101.71688925137</v>
      </c>
      <c r="H4" s="242">
        <f t="shared" si="0"/>
        <v>4038449.8017114238</v>
      </c>
      <c r="I4" s="242">
        <f t="shared" si="0"/>
        <v>6847077.0359331397</v>
      </c>
      <c r="J4" s="242">
        <f t="shared" si="0"/>
        <v>6592995.7951567173</v>
      </c>
      <c r="K4" s="242">
        <f t="shared" si="0"/>
        <v>6266914.829758455</v>
      </c>
      <c r="L4" s="242">
        <f t="shared" si="0"/>
        <v>6049231.5843404327</v>
      </c>
      <c r="M4" s="242">
        <f t="shared" ref="M4" si="1">SUM(M5:M13)</f>
        <v>6739571.5456030481</v>
      </c>
      <c r="N4" s="242">
        <f t="shared" ref="N4" si="2">SUM(N5:N13)</f>
        <v>6333649.7627801793</v>
      </c>
      <c r="O4" s="242">
        <f t="shared" ref="O4:P4" si="3">SUM(O5:O13)</f>
        <v>6208954.8415588588</v>
      </c>
      <c r="P4" s="242">
        <f t="shared" si="3"/>
        <v>5873494.6656371532</v>
      </c>
      <c r="Q4" s="242">
        <f>SUM(Q5:Q13)</f>
        <v>5652611.8367906688</v>
      </c>
      <c r="R4" s="242">
        <f>SUM(R5:R13)</f>
        <v>5686209.6643594773</v>
      </c>
      <c r="S4" s="37"/>
      <c r="T4" s="241">
        <f>SUM(T5:T13)</f>
        <v>5184093.7882281383</v>
      </c>
      <c r="U4" s="242">
        <f>SUM(U5:U13)</f>
        <v>4798490.2015682803</v>
      </c>
      <c r="V4" s="242">
        <f>SUM(V5:V13)</f>
        <v>4743704.5291510224</v>
      </c>
      <c r="W4" s="242">
        <f t="shared" ref="W4:AE4" si="4">W6+SUM(W10:W13)</f>
        <v>0</v>
      </c>
      <c r="X4" s="242">
        <f t="shared" si="4"/>
        <v>0</v>
      </c>
      <c r="Y4" s="242">
        <f t="shared" si="4"/>
        <v>0</v>
      </c>
      <c r="Z4" s="242">
        <f t="shared" si="4"/>
        <v>0</v>
      </c>
      <c r="AA4" s="242">
        <f t="shared" si="4"/>
        <v>0</v>
      </c>
      <c r="AB4" s="242">
        <f t="shared" si="4"/>
        <v>0</v>
      </c>
      <c r="AC4" s="242">
        <f t="shared" si="4"/>
        <v>0</v>
      </c>
      <c r="AD4" s="242">
        <f t="shared" si="4"/>
        <v>0</v>
      </c>
      <c r="AE4" s="242">
        <f t="shared" si="4"/>
        <v>0</v>
      </c>
      <c r="AF4" s="29"/>
    </row>
    <row r="5" spans="1:43" ht="13.15" x14ac:dyDescent="0.4">
      <c r="A5" s="37"/>
      <c r="B5" s="65" t="s">
        <v>80</v>
      </c>
      <c r="C5" s="206" t="s">
        <v>41</v>
      </c>
      <c r="D5" s="38"/>
      <c r="E5" s="249">
        <f>'[2]Detailed FS_$ Cons. (formating)'!$BP$172</f>
        <v>292255.81869723625</v>
      </c>
      <c r="F5" s="38"/>
      <c r="G5" s="128">
        <f>'[3]BS breakdown'!D14</f>
        <v>303526.34906197438</v>
      </c>
      <c r="H5" s="93">
        <f>'[3]BS breakdown'!E14</f>
        <v>380654.77847752313</v>
      </c>
      <c r="I5" s="93">
        <f>'[3]BS breakdown'!F14</f>
        <v>385328.45466192684</v>
      </c>
      <c r="J5" s="93">
        <f>'[3]BS breakdown'!G14</f>
        <v>379589.75459958264</v>
      </c>
      <c r="K5" s="93">
        <f>'[3]BS breakdown'!H14</f>
        <v>499059.90003985155</v>
      </c>
      <c r="L5" s="93">
        <f>'[3]BS breakdown'!I14</f>
        <v>518647.09572304104</v>
      </c>
      <c r="M5" s="93">
        <f>'[3]BS breakdown'!J14</f>
        <v>1783518.3040633132</v>
      </c>
      <c r="N5" s="93">
        <f>'[3]BS breakdown'!K14</f>
        <v>1760098.3866800556</v>
      </c>
      <c r="O5" s="93">
        <f>'[3]BS breakdown'!L14</f>
        <v>1873459.4865543772</v>
      </c>
      <c r="P5" s="93">
        <f>'[3]BS breakdown'!M14</f>
        <v>1884859.7734138239</v>
      </c>
      <c r="Q5" s="93">
        <f>'[3]BS breakdown'!N14</f>
        <v>1966659.4800881341</v>
      </c>
      <c r="R5" s="93">
        <f>'[3]BS breakdown'!O14</f>
        <v>2070950.2915681512</v>
      </c>
      <c r="S5" s="38"/>
      <c r="T5" s="128">
        <f>'[3]BS breakdown'!Q14</f>
        <v>2099950.9974596133</v>
      </c>
      <c r="U5" s="93">
        <f>'[3]BS breakdown'!R14</f>
        <v>2058243.3420374615</v>
      </c>
      <c r="V5" s="93">
        <f>'[3]BS breakdown'!S14</f>
        <v>1868794.6779185925</v>
      </c>
      <c r="W5" s="93"/>
      <c r="X5" s="93"/>
      <c r="Y5" s="93"/>
      <c r="Z5" s="93"/>
      <c r="AA5" s="93"/>
      <c r="AB5" s="93"/>
      <c r="AC5" s="93"/>
      <c r="AD5" s="93"/>
      <c r="AE5" s="93"/>
      <c r="AF5" s="29"/>
    </row>
    <row r="6" spans="1:43" ht="13.15" x14ac:dyDescent="0.4">
      <c r="A6" s="37"/>
      <c r="B6" s="65" t="s">
        <v>81</v>
      </c>
      <c r="C6" s="206" t="s">
        <v>41</v>
      </c>
      <c r="D6" s="38"/>
      <c r="E6" s="249">
        <f>'[2]Detailed FS_$ Cons. (formating)'!$BP$174+'[2]Detailed FS_$ Cons. (formating)'!$BP$177+'[2]Detailed FS_$ Cons. (formating)'!$BP$175</f>
        <v>506664.22094056779</v>
      </c>
      <c r="F6" s="38"/>
      <c r="G6" s="128">
        <f>'[2]Detailed FS_$ Cons. (formating)'!BR$174+'[2]Detailed FS_$ Cons. (formating)'!BR$176+'[2]Detailed FS_$ Cons. (formating)'!BR$177+'[2]Detailed FS_$ Cons. (formating)'!BR$175</f>
        <v>297295.28108328278</v>
      </c>
      <c r="H6" s="93">
        <f>'[2]Detailed FS_$ Cons. (formating)'!BS$174+'[2]Detailed FS_$ Cons. (formating)'!BS$176+'[2]Detailed FS_$ Cons. (formating)'!BS$177+'[2]Detailed FS_$ Cons. (formating)'!BS$175</f>
        <v>3496368.1035561324</v>
      </c>
      <c r="I6" s="93">
        <f>'[2]Detailed FS_$ Cons. (formating)'!BT$174+'[2]Detailed FS_$ Cons. (formating)'!BT$176+'[2]Detailed FS_$ Cons. (formating)'!BT$177+'[2]Detailed FS_$ Cons. (formating)'!BT$175</f>
        <v>6273141.883225779</v>
      </c>
      <c r="J6" s="93">
        <f>'[2]Detailed FS_$ Cons. (formating)'!BU$174+'[2]Detailed FS_$ Cons. (formating)'!BU$176+'[2]Detailed FS_$ Cons. (formating)'!BU$177+'[2]Detailed FS_$ Cons. (formating)'!BU$175</f>
        <v>5795831.2651021592</v>
      </c>
      <c r="K6" s="93">
        <f>'[2]Detailed FS_$ Cons. (formating)'!BV$174+'[2]Detailed FS_$ Cons. (formating)'!BV$176+'[2]Detailed FS_$ Cons. (formating)'!BV$177+'[2]Detailed FS_$ Cons. (formating)'!BV$175</f>
        <v>5294020.0942090824</v>
      </c>
      <c r="L6" s="93">
        <f>'[2]Detailed FS_$ Cons. (formating)'!BW$174+'[2]Detailed FS_$ Cons. (formating)'!BW$176+'[2]Detailed FS_$ Cons. (formating)'!BW$177+'[2]Detailed FS_$ Cons. (formating)'!BW$175</f>
        <v>5033527.5516817505</v>
      </c>
      <c r="M6" s="93">
        <f>'[2]Detailed FS_$ Cons. (formating)'!BX$174+'[2]Detailed FS_$ Cons. (formating)'!BX$176+'[2]Detailed FS_$ Cons. (formating)'!BX$177+'[2]Detailed FS_$ Cons. (formating)'!BX$175</f>
        <v>4447724.2091755895</v>
      </c>
      <c r="N6" s="93">
        <f>'[2]Detailed FS_$ Cons. (formating)'!BY$174+'[2]Detailed FS_$ Cons. (formating)'!BY$176+'[2]Detailed FS_$ Cons. (formating)'!BY$177+'[2]Detailed FS_$ Cons. (formating)'!BY$175</f>
        <v>4147955.2759647937</v>
      </c>
      <c r="O6" s="93">
        <f>'[2]Detailed FS_$ Cons. (formating)'!BZ$174+'[2]Detailed FS_$ Cons. (formating)'!BZ$176+'[2]Detailed FS_$ Cons. (formating)'!BZ$177+'[2]Detailed FS_$ Cons. (formating)'!BZ$175</f>
        <v>4024245.9046253748</v>
      </c>
      <c r="P6" s="93">
        <f>'[2]Detailed FS_$ Cons. (formating)'!CA$174+'[2]Detailed FS_$ Cons. (formating)'!CA$176+'[2]Detailed FS_$ Cons. (formating)'!CA$177+'[2]Detailed FS_$ Cons. (formating)'!CA$175</f>
        <v>3652523.9634049134</v>
      </c>
      <c r="Q6" s="93">
        <f>'[2]Detailed FS_$ Cons. (formating)'!CB$174+'[2]Detailed FS_$ Cons. (formating)'!CB$176+'[2]Detailed FS_$ Cons. (formating)'!CB$177+'[2]Detailed FS_$ Cons. (formating)'!CB$175</f>
        <v>3350721.3212072416</v>
      </c>
      <c r="R6" s="93">
        <f>'[2]Detailed FS_$ Cons. (formating)'!CC$174+'[2]Detailed FS_$ Cons. (formating)'!CC$176+'[2]Detailed FS_$ Cons. (formating)'!CC$177+'[2]Detailed FS_$ Cons. (formating)'!CC$175</f>
        <v>3123512.0233681542</v>
      </c>
      <c r="S6" s="38"/>
      <c r="T6" s="93">
        <f>'[2]Detailed FS_$ Cons. (formating)'!CF$174+'[2]Detailed FS_$ Cons. (formating)'!CF$176+'[2]Detailed FS_$ Cons. (formating)'!CF$177+'[2]Detailed FS_$ Cons. (formating)'!CF$175</f>
        <v>2596045.6808490083</v>
      </c>
      <c r="U6" s="93">
        <f>'[2]Detailed FS_$ Cons. (formating)'!CG$174+'[2]Detailed FS_$ Cons. (formating)'!CG$176+'[2]Detailed FS_$ Cons. (formating)'!CG$177+'[2]Detailed FS_$ Cons. (formating)'!CG$175</f>
        <v>2210632.6511259931</v>
      </c>
      <c r="V6" s="93">
        <f>'[2]Detailed FS_$ Cons. (formating)'!CH$174+'[2]Detailed FS_$ Cons. (formating)'!CH$176+'[2]Detailed FS_$ Cons. (formating)'!CH$177+'[2]Detailed FS_$ Cons. (formating)'!CH$175</f>
        <v>1929247.3966177129</v>
      </c>
      <c r="W6" s="93"/>
      <c r="X6" s="93"/>
      <c r="Y6" s="93"/>
      <c r="Z6" s="93"/>
      <c r="AA6" s="93"/>
      <c r="AB6" s="93"/>
      <c r="AC6" s="93"/>
      <c r="AD6" s="93"/>
      <c r="AE6" s="93"/>
      <c r="AF6" s="29"/>
    </row>
    <row r="7" spans="1:43" ht="13.15" hidden="1" outlineLevel="1" x14ac:dyDescent="0.4">
      <c r="A7" s="62"/>
      <c r="B7" s="80"/>
      <c r="C7" s="207" t="s">
        <v>44</v>
      </c>
      <c r="D7" s="102"/>
      <c r="E7" s="103"/>
      <c r="F7" s="102"/>
      <c r="G7" s="168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38"/>
      <c r="T7" s="168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82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</row>
    <row r="8" spans="1:43" ht="13.15" hidden="1" outlineLevel="1" x14ac:dyDescent="0.4">
      <c r="A8" s="62"/>
      <c r="B8" s="80"/>
      <c r="C8" s="207" t="s">
        <v>45</v>
      </c>
      <c r="D8" s="102"/>
      <c r="E8" s="103"/>
      <c r="F8" s="102"/>
      <c r="G8" s="168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38"/>
      <c r="T8" s="168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82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</row>
    <row r="9" spans="1:43" ht="13.15" hidden="1" outlineLevel="1" x14ac:dyDescent="0.4">
      <c r="A9" s="62"/>
      <c r="B9" s="80"/>
      <c r="C9" s="207" t="s">
        <v>46</v>
      </c>
      <c r="D9" s="102"/>
      <c r="E9" s="103"/>
      <c r="F9" s="102"/>
      <c r="G9" s="168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38"/>
      <c r="T9" s="168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82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</row>
    <row r="10" spans="1:43" ht="13.15" collapsed="1" x14ac:dyDescent="0.4">
      <c r="A10" s="37"/>
      <c r="B10" s="65" t="s">
        <v>82</v>
      </c>
      <c r="C10" s="206" t="s">
        <v>41</v>
      </c>
      <c r="D10" s="38"/>
      <c r="E10" s="127">
        <f>'[2]Detailed FS_$ Cons. (formating)'!$BP$178</f>
        <v>42763.015885942121</v>
      </c>
      <c r="F10" s="38"/>
      <c r="G10" s="128">
        <f>'[2]Detailed FS_$ Cons. (formating)'!BR$178</f>
        <v>58637.469734639017</v>
      </c>
      <c r="H10" s="93">
        <f>'[2]Detailed FS_$ Cons. (formating)'!BS$178</f>
        <v>91091.642948945242</v>
      </c>
      <c r="I10" s="93">
        <f>'[2]Detailed FS_$ Cons. (formating)'!BT$178</f>
        <v>78002.463748712427</v>
      </c>
      <c r="J10" s="93">
        <f>'[2]Detailed FS_$ Cons. (formating)'!BU$178</f>
        <v>83079.769298226005</v>
      </c>
      <c r="K10" s="93">
        <f>'[2]Detailed FS_$ Cons. (formating)'!BV$178</f>
        <v>88115.821348801532</v>
      </c>
      <c r="L10" s="93">
        <f>'[2]Detailed FS_$ Cons. (formating)'!BW$178</f>
        <v>93226.054779407656</v>
      </c>
      <c r="M10" s="93">
        <f>'[2]Detailed FS_$ Cons. (formating)'!BX$178</f>
        <v>25667.124624622928</v>
      </c>
      <c r="N10" s="93">
        <f>'[2]Detailed FS_$ Cons. (formating)'!BY$178</f>
        <v>35674.716229632446</v>
      </c>
      <c r="O10" s="93">
        <f>'[2]Detailed FS_$ Cons. (formating)'!BZ$178</f>
        <v>57785.732429802396</v>
      </c>
      <c r="P10" s="93">
        <f>'[2]Detailed FS_$ Cons. (formating)'!CA$178</f>
        <v>58836.36433242535</v>
      </c>
      <c r="Q10" s="93">
        <f>'[2]Detailed FS_$ Cons. (formating)'!CB$178</f>
        <v>43779.92207643899</v>
      </c>
      <c r="R10" s="93">
        <f>'[2]Detailed FS_$ Cons. (formating)'!CC$178</f>
        <v>214271.27957903181</v>
      </c>
      <c r="S10" s="38"/>
      <c r="T10" s="128">
        <f>'[2]Detailed FS_$ Cons. (formating)'!CF$178</f>
        <v>152470.52820881386</v>
      </c>
      <c r="U10" s="93">
        <f>'[2]Detailed FS_$ Cons. (formating)'!CG$178</f>
        <v>123308.15247248209</v>
      </c>
      <c r="V10" s="93">
        <f>'[2]Detailed FS_$ Cons. (formating)'!CH$178</f>
        <v>565606.02657413529</v>
      </c>
      <c r="W10" s="93"/>
      <c r="X10" s="93"/>
      <c r="Y10" s="93"/>
      <c r="Z10" s="93"/>
      <c r="AA10" s="93"/>
      <c r="AB10" s="93"/>
      <c r="AC10" s="93"/>
      <c r="AD10" s="93"/>
      <c r="AE10" s="93"/>
      <c r="AF10" s="29"/>
    </row>
    <row r="11" spans="1:43" ht="13.15" x14ac:dyDescent="0.4">
      <c r="A11" s="37"/>
      <c r="B11" s="65" t="s">
        <v>83</v>
      </c>
      <c r="C11" s="206" t="s">
        <v>41</v>
      </c>
      <c r="D11" s="38"/>
      <c r="E11" s="249">
        <f>'[2]Detailed FS_$ Cons. (formating)'!$BP$179</f>
        <v>0</v>
      </c>
      <c r="F11" s="38"/>
      <c r="G11" s="128">
        <f>'[2]Detailed FS_$ Cons. (formating)'!BR$179</f>
        <v>0</v>
      </c>
      <c r="H11" s="113">
        <f>'[2]Detailed FS_$ Cons. (formating)'!BS$179</f>
        <v>0</v>
      </c>
      <c r="I11" s="113">
        <f>'[2]Detailed FS_$ Cons. (formating)'!BT$179</f>
        <v>0</v>
      </c>
      <c r="J11" s="113">
        <f>'[2]Detailed FS_$ Cons. (formating)'!BU$179</f>
        <v>0</v>
      </c>
      <c r="K11" s="113">
        <f>'[2]Detailed FS_$ Cons. (formating)'!BV$179</f>
        <v>0</v>
      </c>
      <c r="L11" s="113">
        <f>'[2]Detailed FS_$ Cons. (formating)'!BW$179</f>
        <v>0</v>
      </c>
      <c r="M11" s="113">
        <f>'[2]Detailed FS_$ Cons. (formating)'!BX$179</f>
        <v>0</v>
      </c>
      <c r="N11" s="113">
        <f>'[2]Detailed FS_$ Cons. (formating)'!BY$179</f>
        <v>0</v>
      </c>
      <c r="O11" s="113">
        <f>'[2]Detailed FS_$ Cons. (formating)'!BZ$179</f>
        <v>0</v>
      </c>
      <c r="P11" s="113">
        <f>'[2]Detailed FS_$ Cons. (formating)'!CA$179</f>
        <v>0</v>
      </c>
      <c r="Q11" s="113">
        <f>'[2]Detailed FS_$ Cons. (formating)'!CB$179</f>
        <v>0</v>
      </c>
      <c r="R11" s="113">
        <f>'[2]Detailed FS_$ Cons. (formating)'!CC$179</f>
        <v>0</v>
      </c>
      <c r="S11" s="38"/>
      <c r="T11" s="128">
        <f>'[2]Detailed FS_$ Cons. (formating)'!CF$179</f>
        <v>0</v>
      </c>
      <c r="U11" s="113">
        <f>'[2]Detailed FS_$ Cons. (formating)'!CG$179</f>
        <v>0</v>
      </c>
      <c r="V11" s="113">
        <f>'[2]Detailed FS_$ Cons. (formating)'!CH$179</f>
        <v>0</v>
      </c>
      <c r="W11" s="113"/>
      <c r="X11" s="113"/>
      <c r="Y11" s="113"/>
      <c r="Z11" s="113"/>
      <c r="AA11" s="113"/>
      <c r="AB11" s="113"/>
      <c r="AC11" s="113"/>
      <c r="AD11" s="113"/>
      <c r="AE11" s="113"/>
      <c r="AF11" s="29"/>
    </row>
    <row r="12" spans="1:43" ht="13.15" x14ac:dyDescent="0.4">
      <c r="A12" s="37"/>
      <c r="B12" s="65" t="s">
        <v>84</v>
      </c>
      <c r="C12" s="206" t="s">
        <v>41</v>
      </c>
      <c r="D12" s="38"/>
      <c r="E12" s="249">
        <f>'[2]Detailed FS_$ Cons. (formating)'!$BP$181</f>
        <v>27863.812702173826</v>
      </c>
      <c r="F12" s="38"/>
      <c r="G12" s="129">
        <f>'[3]BS breakdown'!D24</f>
        <v>60758.357430647513</v>
      </c>
      <c r="H12" s="93">
        <f>'[3]BS breakdown'!E24</f>
        <v>47826.264712343363</v>
      </c>
      <c r="I12" s="93">
        <f>'[3]BS breakdown'!F24</f>
        <v>33752.716471176835</v>
      </c>
      <c r="J12" s="93">
        <f>'[3]BS breakdown'!G24</f>
        <v>55587.752202748088</v>
      </c>
      <c r="K12" s="93">
        <f>'[3]BS breakdown'!H24</f>
        <v>101282.57955417123</v>
      </c>
      <c r="L12" s="93">
        <f>'[3]BS breakdown'!I24</f>
        <v>116927.05669406849</v>
      </c>
      <c r="M12" s="93">
        <f>'[3]BS breakdown'!J24</f>
        <v>189011.02831258811</v>
      </c>
      <c r="N12" s="93">
        <f>'[3]BS breakdown'!K24</f>
        <v>92484.866481152712</v>
      </c>
      <c r="O12" s="93">
        <f>'[3]BS breakdown'!L24</f>
        <v>36873.92649164296</v>
      </c>
      <c r="P12" s="93">
        <f>'[3]BS breakdown'!M24</f>
        <v>67453.731468370461</v>
      </c>
      <c r="Q12" s="93">
        <f>'[3]BS breakdown'!N24</f>
        <v>86771.638863435743</v>
      </c>
      <c r="R12" s="93">
        <f>'[3]BS breakdown'!O24</f>
        <v>85929.037839026219</v>
      </c>
      <c r="S12" s="38"/>
      <c r="T12" s="129">
        <f>'[3]BS breakdown'!Q24</f>
        <v>145299.65853524738</v>
      </c>
      <c r="U12" s="93">
        <f>'[3]BS breakdown'!R24</f>
        <v>131963.73185794341</v>
      </c>
      <c r="V12" s="93">
        <f>'[3]BS breakdown'!S24</f>
        <v>144526.80160770612</v>
      </c>
      <c r="W12" s="93"/>
      <c r="X12" s="93"/>
      <c r="Y12" s="93"/>
      <c r="Z12" s="93"/>
      <c r="AA12" s="93"/>
      <c r="AB12" s="93"/>
      <c r="AC12" s="93"/>
      <c r="AD12" s="93"/>
      <c r="AE12" s="93"/>
      <c r="AF12" s="29"/>
    </row>
    <row r="13" spans="1:43" ht="13.15" x14ac:dyDescent="0.4">
      <c r="A13" s="37"/>
      <c r="B13" s="65" t="s">
        <v>85</v>
      </c>
      <c r="C13" s="206" t="s">
        <v>41</v>
      </c>
      <c r="D13" s="38"/>
      <c r="E13" s="249">
        <f>'[2]Detailed FS_$ Cons. (formating)'!$BP$180+'[2]Detailed FS_$ Cons. (formating)'!$BP$182+'[2]Detailed FS_$ Cons. (formating)'!$BP$184+'[2]Detailed FS_$ Cons. (formating)'!$BP$183</f>
        <v>18021.527110510975</v>
      </c>
      <c r="F13" s="38"/>
      <c r="G13" s="128">
        <f>'[3]BS breakdown'!D32</f>
        <v>20884.259578707752</v>
      </c>
      <c r="H13" s="93">
        <f>'[3]BS breakdown'!E32</f>
        <v>22509.012016479737</v>
      </c>
      <c r="I13" s="93">
        <f>'[3]BS breakdown'!F32</f>
        <v>76851.517825544608</v>
      </c>
      <c r="J13" s="93">
        <f>'[3]BS breakdown'!G32</f>
        <v>278907.25395400129</v>
      </c>
      <c r="K13" s="93">
        <f>'[3]BS breakdown'!H32</f>
        <v>284436.43460654828</v>
      </c>
      <c r="L13" s="93">
        <f>'[3]BS breakdown'!I32</f>
        <v>286903.82546216436</v>
      </c>
      <c r="M13" s="93">
        <f>'[3]BS breakdown'!J32</f>
        <v>293650.87942693342</v>
      </c>
      <c r="N13" s="93">
        <f>'[3]BS breakdown'!K32</f>
        <v>297436.51742454548</v>
      </c>
      <c r="O13" s="93">
        <f>'[3]BS breakdown'!L32</f>
        <v>216589.79145766181</v>
      </c>
      <c r="P13" s="93">
        <f>'[3]BS breakdown'!M32</f>
        <v>209820.83301762061</v>
      </c>
      <c r="Q13" s="93">
        <f>'[3]BS breakdown'!N32</f>
        <v>204679.47455541874</v>
      </c>
      <c r="R13" s="93">
        <f>'[3]BS breakdown'!O32</f>
        <v>191547.03200511329</v>
      </c>
      <c r="S13" s="38"/>
      <c r="T13" s="128">
        <f>'[3]BS breakdown'!Q32</f>
        <v>190326.92317545644</v>
      </c>
      <c r="U13" s="93">
        <f>'[3]BS breakdown'!R32</f>
        <v>274342.32407440094</v>
      </c>
      <c r="V13" s="93">
        <f>'[3]BS breakdown'!S32</f>
        <v>235529.62643287523</v>
      </c>
      <c r="W13" s="93"/>
      <c r="X13" s="93"/>
      <c r="Y13" s="93"/>
      <c r="Z13" s="93"/>
      <c r="AA13" s="93"/>
      <c r="AB13" s="93"/>
      <c r="AC13" s="93"/>
      <c r="AD13" s="93"/>
      <c r="AE13" s="93"/>
      <c r="AF13" s="29"/>
    </row>
    <row r="14" spans="1:43" ht="13.15" x14ac:dyDescent="0.4">
      <c r="A14" s="37" t="s">
        <v>77</v>
      </c>
      <c r="B14" s="234"/>
      <c r="C14" s="235"/>
      <c r="D14" s="38"/>
      <c r="E14" s="250">
        <f>'[2]Detailed FS_$ Cons. (formating)'!$BP$194+'[2]Detailed FS_$ Cons. (formating)'!$BP$201-E15</f>
        <v>0</v>
      </c>
      <c r="F14" s="38"/>
      <c r="G14" s="239">
        <f>('[2]Detailed FS_$ Cons. (formating)'!BR$194+'[2]Detailed FS_$ Cons. (formating)'!BR$201)-G15</f>
        <v>0</v>
      </c>
      <c r="H14" s="240">
        <f>('[2]Detailed FS_$ Cons. (formating)'!BS$194+'[2]Detailed FS_$ Cons. (formating)'!BS$201)-H15</f>
        <v>0</v>
      </c>
      <c r="I14" s="240">
        <f>('[2]Detailed FS_$ Cons. (formating)'!BT$194+'[2]Detailed FS_$ Cons. (formating)'!BT$201)-I15</f>
        <v>0</v>
      </c>
      <c r="J14" s="243">
        <f>('[2]Detailed FS_$ Cons. (formating)'!BU$194+'[2]Detailed FS_$ Cons. (formating)'!BU$201)-J15</f>
        <v>0</v>
      </c>
      <c r="K14" s="243">
        <f>('[2]Detailed FS_$ Cons. (formating)'!BV$194+'[2]Detailed FS_$ Cons. (formating)'!BV$201)-K15</f>
        <v>0</v>
      </c>
      <c r="L14" s="243">
        <f>('[2]Detailed FS_$ Cons. (formating)'!BW$194+'[2]Detailed FS_$ Cons. (formating)'!BW$201)-L15</f>
        <v>0</v>
      </c>
      <c r="M14" s="243">
        <f>('[2]Detailed FS_$ Cons. (formating)'!BX$194+'[2]Detailed FS_$ Cons. (formating)'!BX$201)-M15</f>
        <v>0</v>
      </c>
      <c r="N14" s="243">
        <f>('[2]Detailed FS_$ Cons. (formating)'!BY$194+'[2]Detailed FS_$ Cons. (formating)'!BY$201)-N15</f>
        <v>0</v>
      </c>
      <c r="O14" s="243">
        <f>('[2]Detailed FS_$ Cons. (formating)'!BZ$194+'[2]Detailed FS_$ Cons. (formating)'!BZ$201)-O15</f>
        <v>0</v>
      </c>
      <c r="P14" s="243">
        <f>('[2]Detailed FS_$ Cons. (formating)'!CA$194+'[2]Detailed FS_$ Cons. (formating)'!CA$201)-P15</f>
        <v>0</v>
      </c>
      <c r="Q14" s="243">
        <f>('[2]Detailed FS_$ Cons. (formating)'!CB$194+'[2]Detailed FS_$ Cons. (formating)'!CB$201)-Q15</f>
        <v>0</v>
      </c>
      <c r="R14" s="243">
        <f>('[2]Detailed FS_$ Cons. (formating)'!CC$194+'[2]Detailed FS_$ Cons. (formating)'!CC$201)-R15</f>
        <v>0</v>
      </c>
      <c r="S14" s="38"/>
      <c r="T14" s="239">
        <f>('[2]Detailed FS_$ Cons. (formating)'!CF$194+'[2]Detailed FS_$ Cons. (formating)'!CF$201)-T15</f>
        <v>0</v>
      </c>
      <c r="U14" s="243">
        <f>('[2]Detailed FS_$ Cons. (formating)'!CG$194+'[2]Detailed FS_$ Cons. (formating)'!CG$201)-U15</f>
        <v>0</v>
      </c>
      <c r="V14" s="243">
        <f>('[2]Detailed FS_$ Cons. (formating)'!CH$194+'[2]Detailed FS_$ Cons. (formating)'!CH$201)-V15</f>
        <v>0</v>
      </c>
      <c r="W14" s="243"/>
      <c r="X14" s="243"/>
      <c r="Y14" s="243"/>
      <c r="Z14" s="243"/>
      <c r="AA14" s="243"/>
      <c r="AB14" s="243"/>
      <c r="AC14" s="243"/>
      <c r="AD14" s="243"/>
      <c r="AE14" s="243"/>
      <c r="AF14" s="29"/>
    </row>
    <row r="15" spans="1:43" ht="13.15" x14ac:dyDescent="0.4">
      <c r="B15" s="198" t="s">
        <v>86</v>
      </c>
      <c r="C15" s="238" t="s">
        <v>41</v>
      </c>
      <c r="E15" s="248">
        <f t="shared" ref="E15:I15" si="5">E16+SUM(E22:E23)</f>
        <v>227734.05064803659</v>
      </c>
      <c r="G15" s="241">
        <f t="shared" si="5"/>
        <v>285834.86922611838</v>
      </c>
      <c r="H15" s="242">
        <f t="shared" si="5"/>
        <v>470790.1733285457</v>
      </c>
      <c r="I15" s="242">
        <f t="shared" si="5"/>
        <v>147176.02435275316</v>
      </c>
      <c r="J15" s="242">
        <f t="shared" ref="J15:K15" si="6">J16+SUM(J22:J23)</f>
        <v>154781.86389844344</v>
      </c>
      <c r="K15" s="242">
        <f t="shared" si="6"/>
        <v>121216.15269410462</v>
      </c>
      <c r="L15" s="242">
        <f t="shared" ref="L15:M15" si="7">L16+SUM(L22:L23)</f>
        <v>133381.1097772675</v>
      </c>
      <c r="M15" s="242">
        <f t="shared" si="7"/>
        <v>1216847.2028946441</v>
      </c>
      <c r="N15" s="242">
        <f t="shared" ref="N15" si="8">N16+SUM(N22:N23)</f>
        <v>1092190.998971316</v>
      </c>
      <c r="O15" s="242">
        <f t="shared" ref="O15:P15" si="9">O16+SUM(O22:O23)</f>
        <v>1096603.6330762261</v>
      </c>
      <c r="P15" s="242">
        <f t="shared" si="9"/>
        <v>1058527.3158340857</v>
      </c>
      <c r="Q15" s="242">
        <f>Q16+SUM(Q22:Q23)</f>
        <v>1128504.924919005</v>
      </c>
      <c r="R15" s="242">
        <f>R16+SUM(R22:R23)</f>
        <v>1247263.497306946</v>
      </c>
      <c r="S15" s="37"/>
      <c r="T15" s="241">
        <f>T16+SUM(T22:T23)</f>
        <v>1149132.0139555112</v>
      </c>
      <c r="U15" s="242">
        <f>U16+SUM(U22:U23)</f>
        <v>1163902.7755320228</v>
      </c>
      <c r="V15" s="242">
        <f>V16+SUM(V22:V23)</f>
        <v>1188475.1876196247</v>
      </c>
      <c r="W15" s="242">
        <f t="shared" ref="W15:AE15" si="10">W16+SUM(W22:W23)</f>
        <v>0</v>
      </c>
      <c r="X15" s="242">
        <f t="shared" si="10"/>
        <v>0</v>
      </c>
      <c r="Y15" s="242">
        <f t="shared" si="10"/>
        <v>0</v>
      </c>
      <c r="Z15" s="242">
        <f t="shared" si="10"/>
        <v>0</v>
      </c>
      <c r="AA15" s="242">
        <f t="shared" si="10"/>
        <v>0</v>
      </c>
      <c r="AB15" s="242">
        <f t="shared" si="10"/>
        <v>0</v>
      </c>
      <c r="AC15" s="242">
        <f t="shared" si="10"/>
        <v>0</v>
      </c>
      <c r="AD15" s="242">
        <f t="shared" si="10"/>
        <v>0</v>
      </c>
      <c r="AE15" s="242">
        <f t="shared" si="10"/>
        <v>0</v>
      </c>
      <c r="AF15" s="29"/>
    </row>
    <row r="16" spans="1:43" ht="15.75" customHeight="1" x14ac:dyDescent="0.4">
      <c r="B16" s="236" t="s">
        <v>87</v>
      </c>
      <c r="C16" s="237" t="s">
        <v>41</v>
      </c>
      <c r="D16" s="38"/>
      <c r="E16" s="251">
        <f>SUM(E17:E21)</f>
        <v>179687.05262993797</v>
      </c>
      <c r="F16" s="38"/>
      <c r="G16" s="95">
        <f>SUM(G17:G21)</f>
        <v>236758.46293644444</v>
      </c>
      <c r="H16" s="244">
        <f t="shared" ref="H16:J16" si="11">SUM(H17:H21)</f>
        <v>440345.50267179904</v>
      </c>
      <c r="I16" s="244">
        <f t="shared" si="11"/>
        <v>122800.41761960674</v>
      </c>
      <c r="J16" s="244">
        <f t="shared" si="11"/>
        <v>130117.41514785738</v>
      </c>
      <c r="K16" s="244">
        <f t="shared" ref="K16:L16" si="12">SUM(K17:K21)</f>
        <v>88912.978664711467</v>
      </c>
      <c r="L16" s="244">
        <f t="shared" si="12"/>
        <v>100550.81177652313</v>
      </c>
      <c r="M16" s="244">
        <f t="shared" ref="M16" si="13">SUM(M17:M21)</f>
        <v>92500.46196100759</v>
      </c>
      <c r="N16" s="244">
        <f t="shared" ref="N16" si="14">SUM(N17:N21)</f>
        <v>5127.4463994722646</v>
      </c>
      <c r="O16" s="244">
        <f t="shared" ref="O16:P16" si="15">SUM(O17:O21)</f>
        <v>-15452.742820188951</v>
      </c>
      <c r="P16" s="244">
        <f t="shared" si="15"/>
        <v>67950.446785166176</v>
      </c>
      <c r="Q16" s="244">
        <f>SUM(Q17:Q21)</f>
        <v>121632.35884821869</v>
      </c>
      <c r="R16" s="244">
        <f>SUM(R17:R21)</f>
        <v>209234.46554677942</v>
      </c>
      <c r="S16" s="38"/>
      <c r="T16" s="95">
        <f>SUM(T17:T21)</f>
        <v>162239.43078381894</v>
      </c>
      <c r="U16" s="244">
        <f>SUM(U17:U21)</f>
        <v>173995.12976495406</v>
      </c>
      <c r="V16" s="244">
        <f>SUM(V17:V21)</f>
        <v>303666.69547038875</v>
      </c>
      <c r="W16" s="244">
        <f t="shared" ref="W16:AE16" si="16">SUM(W17:W21)</f>
        <v>0</v>
      </c>
      <c r="X16" s="244">
        <f t="shared" si="16"/>
        <v>0</v>
      </c>
      <c r="Y16" s="244">
        <f>SUM(Y17:Y21)</f>
        <v>0</v>
      </c>
      <c r="Z16" s="244">
        <f t="shared" si="16"/>
        <v>0</v>
      </c>
      <c r="AA16" s="244">
        <f t="shared" si="16"/>
        <v>0</v>
      </c>
      <c r="AB16" s="244">
        <f t="shared" si="16"/>
        <v>0</v>
      </c>
      <c r="AC16" s="244">
        <f t="shared" si="16"/>
        <v>0</v>
      </c>
      <c r="AD16" s="244">
        <f t="shared" si="16"/>
        <v>0</v>
      </c>
      <c r="AE16" s="244">
        <f t="shared" si="16"/>
        <v>0</v>
      </c>
    </row>
    <row r="17" spans="1:43" ht="13.15" x14ac:dyDescent="0.4">
      <c r="B17" s="170" t="s">
        <v>88</v>
      </c>
      <c r="C17" s="209" t="s">
        <v>41</v>
      </c>
      <c r="D17" s="38"/>
      <c r="E17" s="252"/>
      <c r="F17" s="38"/>
      <c r="G17" s="171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38"/>
      <c r="T17" s="171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</row>
    <row r="18" spans="1:43" ht="13.15" x14ac:dyDescent="0.4">
      <c r="B18" s="170" t="s">
        <v>89</v>
      </c>
      <c r="C18" s="209" t="s">
        <v>41</v>
      </c>
      <c r="D18" s="38"/>
      <c r="E18" s="252">
        <f>'[2]Detailed FS_$ Cons. (formating)'!$BO$197</f>
        <v>2244.9834672198544</v>
      </c>
      <c r="F18" s="38"/>
      <c r="G18" s="174">
        <f>'[3]BS breakdown'!D46</f>
        <v>519.31848223851694</v>
      </c>
      <c r="H18" s="173">
        <f>'[3]BS breakdown'!E46</f>
        <v>531.98531875721915</v>
      </c>
      <c r="I18" s="173">
        <f>'[3]BS breakdown'!F46</f>
        <v>1146.5479527776679</v>
      </c>
      <c r="J18" s="173">
        <f>'[3]BS breakdown'!G46</f>
        <v>637.93314909959997</v>
      </c>
      <c r="K18" s="173">
        <f>'[3]BS breakdown'!H46</f>
        <v>759.25743011555699</v>
      </c>
      <c r="L18" s="173">
        <f>'[3]BS breakdown'!I46</f>
        <v>999.33513476508199</v>
      </c>
      <c r="M18" s="173">
        <f>'[3]BS breakdown'!J46</f>
        <v>153.04997394412118</v>
      </c>
      <c r="N18" s="173">
        <f>'[3]BS breakdown'!K46</f>
        <v>414.21756529281288</v>
      </c>
      <c r="O18" s="173">
        <f>'[3]BS breakdown'!L46</f>
        <v>620.59777518663509</v>
      </c>
      <c r="P18" s="173">
        <f>'[3]BS breakdown'!M46</f>
        <v>4871.435552556256</v>
      </c>
      <c r="Q18" s="173">
        <f>'[3]BS breakdown'!N46</f>
        <v>4958.9387558264398</v>
      </c>
      <c r="R18" s="173">
        <f>'[3]BS breakdown'!O46</f>
        <v>8828.6183525343331</v>
      </c>
      <c r="S18" s="38"/>
      <c r="T18" s="174">
        <f>'[3]BS breakdown'!Q46</f>
        <v>3709.5140563748741</v>
      </c>
      <c r="U18" s="173">
        <f>'[3]BS breakdown'!R46</f>
        <v>3904.6711404445145</v>
      </c>
      <c r="V18" s="173">
        <f>'[3]BS breakdown'!S46</f>
        <v>5799.3090986661055</v>
      </c>
      <c r="W18" s="173"/>
      <c r="X18" s="173"/>
      <c r="Y18" s="173"/>
      <c r="Z18" s="173"/>
      <c r="AA18" s="173"/>
      <c r="AB18" s="173"/>
      <c r="AC18" s="173"/>
      <c r="AD18" s="173"/>
      <c r="AE18" s="173"/>
    </row>
    <row r="19" spans="1:43" ht="13.15" x14ac:dyDescent="0.4">
      <c r="B19" s="170" t="s">
        <v>90</v>
      </c>
      <c r="C19" s="209" t="s">
        <v>41</v>
      </c>
      <c r="D19" s="38"/>
      <c r="E19" s="252">
        <f>'[2]Detailed FS_$ Cons. (formating)'!$BO$196</f>
        <v>177442.06916271811</v>
      </c>
      <c r="F19" s="38"/>
      <c r="G19" s="174">
        <f>'[2]Detailed FS_$ Cons. (formating)'!BR$196</f>
        <v>236239.14445420593</v>
      </c>
      <c r="H19" s="173">
        <f>'[2]Detailed FS_$ Cons. (formating)'!BS$196</f>
        <v>439813.5173530418</v>
      </c>
      <c r="I19" s="173">
        <f>'[2]Detailed FS_$ Cons. (formating)'!BT$196</f>
        <v>121653.86966682908</v>
      </c>
      <c r="J19" s="173">
        <f>'[2]Detailed FS_$ Cons. (formating)'!BU$196</f>
        <v>129479.48199875778</v>
      </c>
      <c r="K19" s="173">
        <f>'[2]Detailed FS_$ Cons. (formating)'!BV$196</f>
        <v>88153.721234595912</v>
      </c>
      <c r="L19" s="173">
        <f>'[2]Detailed FS_$ Cons. (formating)'!BW$196</f>
        <v>99551.476641758054</v>
      </c>
      <c r="M19" s="173">
        <f>'[2]Detailed FS_$ Cons. (formating)'!BX$196</f>
        <v>92347.411987063475</v>
      </c>
      <c r="N19" s="173">
        <f>'[2]Detailed FS_$ Cons. (formating)'!BY$196</f>
        <v>4713.228834179452</v>
      </c>
      <c r="O19" s="173">
        <f>'[2]Detailed FS_$ Cons. (formating)'!BZ$196</f>
        <v>-16073.340595375586</v>
      </c>
      <c r="P19" s="173">
        <f>'[2]Detailed FS_$ Cons. (formating)'!CA$196</f>
        <v>63079.011232609919</v>
      </c>
      <c r="Q19" s="173">
        <f>'[2]Detailed FS_$ Cons. (formating)'!CB$196</f>
        <v>116673.42009239225</v>
      </c>
      <c r="R19" s="173">
        <f>'[2]Detailed FS_$ Cons. (formating)'!CC$196</f>
        <v>200405.84719424509</v>
      </c>
      <c r="S19" s="38"/>
      <c r="T19" s="174">
        <f>'[2]Detailed FS_$ Cons. (formating)'!CF$196</f>
        <v>158529.91672744407</v>
      </c>
      <c r="U19" s="173">
        <f>'[2]Detailed FS_$ Cons. (formating)'!CG$196</f>
        <v>170090.45862450954</v>
      </c>
      <c r="V19" s="173">
        <f>'[2]Detailed FS_$ Cons. (formating)'!CH$196</f>
        <v>243867.38633353295</v>
      </c>
      <c r="W19" s="173"/>
      <c r="X19" s="173"/>
      <c r="Y19" s="173"/>
      <c r="Z19" s="173"/>
      <c r="AA19" s="173"/>
      <c r="AB19" s="173"/>
      <c r="AC19" s="173"/>
      <c r="AD19" s="173"/>
      <c r="AE19" s="173"/>
    </row>
    <row r="20" spans="1:43" ht="13.15" x14ac:dyDescent="0.4">
      <c r="B20" s="170" t="s">
        <v>91</v>
      </c>
      <c r="C20" s="209" t="s">
        <v>41</v>
      </c>
      <c r="D20" s="38"/>
      <c r="E20" s="252"/>
      <c r="F20" s="38"/>
      <c r="G20" s="174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38"/>
      <c r="T20" s="174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</row>
    <row r="21" spans="1:43" ht="15.75" customHeight="1" x14ac:dyDescent="0.4">
      <c r="B21" s="175" t="s">
        <v>92</v>
      </c>
      <c r="C21" s="210" t="s">
        <v>41</v>
      </c>
      <c r="D21" s="38"/>
      <c r="E21" s="253"/>
      <c r="F21" s="38"/>
      <c r="G21" s="176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38"/>
      <c r="T21" s="176"/>
      <c r="U21" s="177"/>
      <c r="V21" s="177">
        <f>'[2]Detailed FS_$ Cons. (formating)'!$CH$200</f>
        <v>54000.000038189726</v>
      </c>
      <c r="W21" s="177"/>
      <c r="X21" s="177"/>
      <c r="Y21" s="177"/>
      <c r="Z21" s="177"/>
      <c r="AA21" s="177"/>
      <c r="AB21" s="177"/>
      <c r="AC21" s="177"/>
      <c r="AD21" s="177"/>
      <c r="AE21" s="177"/>
    </row>
    <row r="22" spans="1:43" ht="15.75" customHeight="1" x14ac:dyDescent="0.4">
      <c r="A22" s="37"/>
      <c r="B22" s="65" t="s">
        <v>93</v>
      </c>
      <c r="C22" s="206" t="s">
        <v>41</v>
      </c>
      <c r="D22" s="38"/>
      <c r="E22" s="127">
        <f>'[2]Detailed FS_$ Cons. (formating)'!$BP$191+'[2]Detailed FS_$ Cons. (formating)'!$BO$192</f>
        <v>46864.954545445558</v>
      </c>
      <c r="F22" s="38"/>
      <c r="G22" s="128">
        <f>'[2]Detailed FS_$ Cons. (formating)'!BR$191</f>
        <v>41346.414209981223</v>
      </c>
      <c r="H22" s="93">
        <f>'[2]Detailed FS_$ Cons. (formating)'!BS$191</f>
        <v>41566.107775460529</v>
      </c>
      <c r="I22" s="93">
        <f>'[2]Detailed FS_$ Cons. (formating)'!BT$191</f>
        <v>35739.445453468601</v>
      </c>
      <c r="J22" s="93">
        <f>'[2]Detailed FS_$ Cons. (formating)'!BU$191</f>
        <v>36079.358811574464</v>
      </c>
      <c r="K22" s="93">
        <f>'[2]Detailed FS_$ Cons. (formating)'!BV$191</f>
        <v>37359.40940518921</v>
      </c>
      <c r="L22" s="93">
        <f>'[2]Detailed FS_$ Cons. (formating)'!BW$191</f>
        <v>37978.668135195949</v>
      </c>
      <c r="M22" s="93">
        <f>'[2]Detailed FS_$ Cons. (formating)'!BX$191</f>
        <v>1129370.3355460642</v>
      </c>
      <c r="N22" s="93">
        <f>'[2]Detailed FS_$ Cons. (formating)'!BY$191</f>
        <v>1092186.539475457</v>
      </c>
      <c r="O22" s="93">
        <f>'[2]Detailed FS_$ Cons. (formating)'!BZ$191</f>
        <v>1108425.4360660256</v>
      </c>
      <c r="P22" s="93">
        <f>'[2]Detailed FS_$ Cons. (formating)'!CA$191</f>
        <v>985615.88546930335</v>
      </c>
      <c r="Q22" s="93">
        <f>'[2]Detailed FS_$ Cons. (formating)'!CB$191</f>
        <v>1002717.9151864987</v>
      </c>
      <c r="R22" s="93">
        <f>'[2]Detailed FS_$ Cons. (formating)'!CC$191</f>
        <v>1020736.1924066721</v>
      </c>
      <c r="S22" s="38"/>
      <c r="T22" s="128">
        <f>'[2]Detailed FS_$ Cons. (formating)'!CF$191</f>
        <v>969956.06463150098</v>
      </c>
      <c r="U22" s="93">
        <f>'[2]Detailed FS_$ Cons. (formating)'!CG$191</f>
        <v>973022.10613173351</v>
      </c>
      <c r="V22" s="93">
        <f>'[2]Detailed FS_$ Cons. (formating)'!CH$191</f>
        <v>869721.86287243722</v>
      </c>
      <c r="W22" s="93"/>
      <c r="X22" s="93"/>
      <c r="Y22" s="93"/>
      <c r="Z22" s="93"/>
      <c r="AA22" s="93"/>
      <c r="AB22" s="93"/>
      <c r="AC22" s="93"/>
      <c r="AD22" s="93"/>
      <c r="AE22" s="93"/>
      <c r="AF22" s="29"/>
    </row>
    <row r="23" spans="1:43" ht="15.75" customHeight="1" x14ac:dyDescent="0.4">
      <c r="A23" s="37"/>
      <c r="B23" s="65" t="s">
        <v>94</v>
      </c>
      <c r="C23" s="206" t="s">
        <v>41</v>
      </c>
      <c r="D23" s="38"/>
      <c r="E23" s="127">
        <f>'[2]Detailed FS_$ Cons. (formating)'!$BP$199+'[2]Detailed FS_$ Cons. (formating)'!$BP$198+'[2]Detailed FS_$ Cons. (formating)'!$BP$193</f>
        <v>1182.0434726530464</v>
      </c>
      <c r="F23" s="38"/>
      <c r="G23" s="128">
        <f>'[3]BS breakdown'!D55</f>
        <v>7729.9920796927299</v>
      </c>
      <c r="H23" s="93">
        <f>'[3]BS breakdown'!E55</f>
        <v>-11121.437118713869</v>
      </c>
      <c r="I23" s="93">
        <f>'[3]BS breakdown'!F55</f>
        <v>-11363.838720322183</v>
      </c>
      <c r="J23" s="93">
        <f>'[3]BS breakdown'!G55</f>
        <v>-11414.910060988394</v>
      </c>
      <c r="K23" s="93">
        <f>'[3]BS breakdown'!H55</f>
        <v>-5056.23537579605</v>
      </c>
      <c r="L23" s="93">
        <f>'[3]BS breakdown'!I55</f>
        <v>-5148.3701344515739</v>
      </c>
      <c r="M23" s="93">
        <f>'[3]BS breakdown'!J55</f>
        <v>-5023.594612427768</v>
      </c>
      <c r="N23" s="93">
        <f>'[3]BS breakdown'!K55</f>
        <v>-5122.9869036131613</v>
      </c>
      <c r="O23" s="93">
        <f>'[3]BS breakdown'!L55</f>
        <v>3630.9398303894241</v>
      </c>
      <c r="P23" s="93">
        <f>'[3]BS breakdown'!M55</f>
        <v>4960.9835796161033</v>
      </c>
      <c r="Q23" s="93">
        <f>'[3]BS breakdown'!N55</f>
        <v>4154.6508842876174</v>
      </c>
      <c r="R23" s="93">
        <f>'[3]BS breakdown'!O55</f>
        <v>17292.83935349459</v>
      </c>
      <c r="S23" s="38"/>
      <c r="T23" s="128">
        <f>'[3]BS breakdown'!Q55</f>
        <v>16936.518540191304</v>
      </c>
      <c r="U23" s="93">
        <f>'[3]BS breakdown'!R55</f>
        <v>16885.53963533535</v>
      </c>
      <c r="V23" s="93">
        <f>'[3]BS breakdown'!S55</f>
        <v>15086.629276798534</v>
      </c>
      <c r="W23" s="93"/>
      <c r="X23" s="93"/>
      <c r="Y23" s="93"/>
      <c r="Z23" s="93"/>
      <c r="AA23" s="93"/>
      <c r="AB23" s="93"/>
      <c r="AC23" s="93"/>
      <c r="AD23" s="93"/>
      <c r="AE23" s="93"/>
      <c r="AF23" s="29"/>
    </row>
    <row r="24" spans="1:43" ht="15.75" customHeight="1" x14ac:dyDescent="0.4">
      <c r="A24" s="37" t="s">
        <v>77</v>
      </c>
      <c r="B24" s="146"/>
      <c r="C24" s="211"/>
      <c r="D24" s="38"/>
      <c r="E24" s="153">
        <f>'[2]Detailed FS_$ Cons. (formating)'!$BP$210-E25</f>
        <v>0</v>
      </c>
      <c r="F24" s="38"/>
      <c r="G24" s="245">
        <f>'[2]Detailed FS_$ Cons. (formating)'!BR$210-G25</f>
        <v>0</v>
      </c>
      <c r="H24" s="245">
        <f>'[2]Detailed FS_$ Cons. (formating)'!BS$210-H25</f>
        <v>0</v>
      </c>
      <c r="I24" s="245">
        <f>'[2]Detailed FS_$ Cons. (formating)'!BT$210-I25</f>
        <v>0</v>
      </c>
      <c r="J24" s="245">
        <f>'[2]Detailed FS_$ Cons. (formating)'!BU$210-J25</f>
        <v>0</v>
      </c>
      <c r="K24" s="245">
        <f>'[2]Detailed FS_$ Cons. (formating)'!BV$210-K25</f>
        <v>0</v>
      </c>
      <c r="L24" s="245">
        <f>'[2]Detailed FS_$ Cons. (formating)'!BW$210-L25</f>
        <v>0</v>
      </c>
      <c r="M24" s="245">
        <f>'[2]Detailed FS_$ Cons. (formating)'!BX$210-M25</f>
        <v>0</v>
      </c>
      <c r="N24" s="245">
        <f>'[2]Detailed FS_$ Cons. (formating)'!BY$210-N25</f>
        <v>0</v>
      </c>
      <c r="O24" s="245">
        <f>'[2]Detailed FS_$ Cons. (formating)'!BZ$210-O25</f>
        <v>0</v>
      </c>
      <c r="P24" s="245">
        <f>'[2]Detailed FS_$ Cons. (formating)'!CA$210-P25</f>
        <v>0</v>
      </c>
      <c r="Q24" s="245">
        <f>'[2]Detailed FS_$ Cons. (formating)'!CB$210-Q25</f>
        <v>0</v>
      </c>
      <c r="R24" s="245">
        <f>'[2]Detailed FS_$ Cons. (formating)'!CC$210-R25</f>
        <v>0</v>
      </c>
      <c r="S24" s="38"/>
      <c r="T24" s="245">
        <f>'[2]Detailed FS_$ Cons. (formating)'!CF$210-T25</f>
        <v>0</v>
      </c>
      <c r="U24" s="245">
        <f>'[2]Detailed FS_$ Cons. (formating)'!CG$210-U25</f>
        <v>0</v>
      </c>
      <c r="V24" s="245">
        <f>'[2]Detailed FS_$ Cons. (formating)'!CH$210-V25</f>
        <v>0</v>
      </c>
      <c r="W24" s="245"/>
      <c r="X24" s="245"/>
      <c r="Y24" s="245"/>
      <c r="Z24" s="245"/>
      <c r="AA24" s="245"/>
      <c r="AB24" s="245"/>
      <c r="AC24" s="245"/>
      <c r="AD24" s="245"/>
      <c r="AE24" s="245"/>
      <c r="AF24" s="29"/>
      <c r="AG24" s="19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</row>
    <row r="25" spans="1:43" ht="13.15" x14ac:dyDescent="0.4">
      <c r="B25" s="246" t="s">
        <v>95</v>
      </c>
      <c r="C25" s="208" t="s">
        <v>41</v>
      </c>
      <c r="D25" s="29"/>
      <c r="E25" s="248">
        <f>E27+E28+E26</f>
        <v>659834.34468839434</v>
      </c>
      <c r="G25" s="241">
        <f>G27+G28+G26</f>
        <v>455266.84766313317</v>
      </c>
      <c r="H25" s="242">
        <f t="shared" ref="H25:J25" si="17">H27+H28+H26</f>
        <v>3567659.6283828779</v>
      </c>
      <c r="I25" s="242">
        <f t="shared" si="17"/>
        <v>6699901.0115803862</v>
      </c>
      <c r="J25" s="242">
        <f t="shared" si="17"/>
        <v>6438213.9312582742</v>
      </c>
      <c r="K25" s="242">
        <f t="shared" ref="K25:L25" si="18">K27+K28+K26</f>
        <v>6145698.6770643517</v>
      </c>
      <c r="L25" s="242">
        <f t="shared" si="18"/>
        <v>5915850.4745631656</v>
      </c>
      <c r="M25" s="242">
        <f t="shared" ref="M25" si="19">M27+M28+M26</f>
        <v>5522724.3427084042</v>
      </c>
      <c r="N25" s="242">
        <f t="shared" ref="N25" si="20">N27+N28+N26</f>
        <v>5241458.7638088632</v>
      </c>
      <c r="O25" s="242">
        <f t="shared" ref="O25:P25" si="21">O27+O28+O26</f>
        <v>5112351.2084826324</v>
      </c>
      <c r="P25" s="242">
        <f t="shared" si="21"/>
        <v>4814967.3498030677</v>
      </c>
      <c r="Q25" s="242">
        <f>Q27+Q28+Q26</f>
        <v>4524106.9118716652</v>
      </c>
      <c r="R25" s="242">
        <f>R27+R28+R26</f>
        <v>4438946.1670525307</v>
      </c>
      <c r="S25" s="37"/>
      <c r="T25" s="241">
        <f>T27+T28+T26</f>
        <v>4034961.7742726272</v>
      </c>
      <c r="U25" s="242">
        <f>U27+U28+U26</f>
        <v>3634587.4260362582</v>
      </c>
      <c r="V25" s="242">
        <f>V27+V28+V26</f>
        <v>3555229.3415313978</v>
      </c>
      <c r="W25" s="242"/>
      <c r="X25" s="242"/>
      <c r="Y25" s="242"/>
      <c r="Z25" s="242"/>
      <c r="AA25" s="242"/>
      <c r="AB25" s="242"/>
      <c r="AC25" s="242"/>
      <c r="AD25" s="242"/>
      <c r="AE25" s="242"/>
      <c r="AF25" s="29"/>
    </row>
    <row r="26" spans="1:43" ht="15.75" customHeight="1" x14ac:dyDescent="0.4">
      <c r="A26" s="37"/>
      <c r="B26" s="179" t="s">
        <v>96</v>
      </c>
      <c r="C26" s="205"/>
      <c r="D26" s="38"/>
      <c r="E26" s="254">
        <f>'[2]Detailed FS_$ Cons. (formating)'!$BP$209</f>
        <v>68240.513126416365</v>
      </c>
      <c r="F26" s="38"/>
      <c r="G26" s="167">
        <f>'[2]Detailed FS_$ Cons. (formating)'!BR$209</f>
        <v>71595.065889470745</v>
      </c>
      <c r="H26" s="167">
        <f>'[2]Detailed FS_$ Cons. (formating)'!BS$209</f>
        <v>67938.804802757222</v>
      </c>
      <c r="I26" s="167">
        <f>'[2]Detailed FS_$ Cons. (formating)'!BT$209</f>
        <v>68138.57306136284</v>
      </c>
      <c r="J26" s="167">
        <f>'[2]Detailed FS_$ Cons. (formating)'!BU$209</f>
        <v>66639.431392773986</v>
      </c>
      <c r="K26" s="167">
        <f>'[2]Detailed FS_$ Cons. (formating)'!BV$209</f>
        <v>73252.095874676481</v>
      </c>
      <c r="L26" s="167">
        <f>'[2]Detailed FS_$ Cons. (formating)'!BW$209</f>
        <v>75978.478173508309</v>
      </c>
      <c r="M26" s="167">
        <f>'[2]Detailed FS_$ Cons. (formating)'!BX$209</f>
        <v>83149.945903156884</v>
      </c>
      <c r="N26" s="167">
        <f>'[2]Detailed FS_$ Cons. (formating)'!BY$209</f>
        <v>59068.703316648491</v>
      </c>
      <c r="O26" s="167">
        <f>'[2]Detailed FS_$ Cons. (formating)'!BZ$209</f>
        <v>24079.963963234797</v>
      </c>
      <c r="P26" s="167">
        <f>'[2]Detailed FS_$ Cons. (formating)'!CA$209</f>
        <v>67772.401337699965</v>
      </c>
      <c r="Q26" s="167">
        <f>'[2]Detailed FS_$ Cons. (formating)'!CB$209</f>
        <v>39184.903790988028</v>
      </c>
      <c r="R26" s="167">
        <f>'[2]Detailed FS_$ Cons. (formating)'!CC$209</f>
        <v>68098.650718926452</v>
      </c>
      <c r="S26" s="38"/>
      <c r="T26" s="167">
        <f>'[2]Detailed FS_$ Cons. (formating)'!CF$209</f>
        <v>67605.506804403849</v>
      </c>
      <c r="U26" s="167">
        <f>'[2]Detailed FS_$ Cons. (formating)'!CG$209</f>
        <v>54569.864533408545</v>
      </c>
      <c r="V26" s="167">
        <f>'[2]Detailed FS_$ Cons. (formating)'!CH$209</f>
        <v>-43305.908884262666</v>
      </c>
      <c r="W26" s="167"/>
      <c r="X26" s="167"/>
      <c r="Y26" s="167"/>
      <c r="Z26" s="167"/>
      <c r="AA26" s="167"/>
      <c r="AB26" s="167"/>
      <c r="AC26" s="167"/>
      <c r="AD26" s="167"/>
      <c r="AE26" s="167"/>
    </row>
    <row r="27" spans="1:43" ht="15.75" customHeight="1" x14ac:dyDescent="0.4">
      <c r="A27" s="37"/>
      <c r="B27" s="180" t="s">
        <v>97</v>
      </c>
      <c r="C27" s="212" t="s">
        <v>41</v>
      </c>
      <c r="D27" s="38"/>
      <c r="E27" s="18">
        <f>'[2]Detailed FS_$ Cons. (formating)'!$BP$206</f>
        <v>-1823199.6350731486</v>
      </c>
      <c r="F27" s="38"/>
      <c r="G27" s="120">
        <f>'[2]Detailed FS_$ Cons. (formating)'!BR$206</f>
        <v>-2031121.6848614642</v>
      </c>
      <c r="H27" s="120">
        <f>'[2]Detailed FS_$ Cons. (formating)'!BS$206</f>
        <v>-2290072.6430550059</v>
      </c>
      <c r="I27" s="120">
        <f>'[2]Detailed FS_$ Cons. (formating)'!BT$206</f>
        <v>-2533031.0281161033</v>
      </c>
      <c r="J27" s="120">
        <f>'[2]Detailed FS_$ Cons. (formating)'!BU$206</f>
        <v>-2793218.9667696268</v>
      </c>
      <c r="K27" s="120">
        <f>'[2]Detailed FS_$ Cons. (formating)'!BV$206</f>
        <v>-3092147.4751161393</v>
      </c>
      <c r="L27" s="120">
        <f>'[2]Detailed FS_$ Cons. (formating)'!BW$206</f>
        <v>-3324722.0599161568</v>
      </c>
      <c r="M27" s="120">
        <f>'[2]Detailed FS_$ Cons. (formating)'!BX$206</f>
        <v>-3725019.6595005668</v>
      </c>
      <c r="N27" s="120">
        <f>'[2]Detailed FS_$ Cons. (formating)'!BY$206</f>
        <v>-3982203.9958135998</v>
      </c>
      <c r="O27" s="120">
        <f>'[2]Detailed FS_$ Cons. (formating)'!BZ$206</f>
        <v>-4192749.4823964979</v>
      </c>
      <c r="P27" s="120">
        <f>'[2]Detailed FS_$ Cons. (formating)'!CA$206</f>
        <v>-4534324.8034467865</v>
      </c>
      <c r="Q27" s="120">
        <f>'[2]Detailed FS_$ Cons. (formating)'!CB$206</f>
        <v>-4796098.7188352188</v>
      </c>
      <c r="R27" s="120">
        <f>'[2]Detailed FS_$ Cons. (formating)'!CC$206</f>
        <v>-4910173.2105822917</v>
      </c>
      <c r="S27" s="38"/>
      <c r="T27" s="120">
        <f>'[2]Detailed FS_$ Cons. (formating)'!CF$206</f>
        <v>-5313664.4594476726</v>
      </c>
      <c r="U27" s="120">
        <f>'[2]Detailed FS_$ Cons. (formating)'!CG$206</f>
        <v>-5701003.1654130463</v>
      </c>
      <c r="V27" s="120">
        <f>'[2]Detailed FS_$ Cons. (formating)'!CH$206</f>
        <v>-5682485.4765002355</v>
      </c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</row>
    <row r="28" spans="1:43" ht="15.75" customHeight="1" x14ac:dyDescent="0.4">
      <c r="A28" s="37"/>
      <c r="B28" s="181" t="s">
        <v>98</v>
      </c>
      <c r="C28" s="213" t="s">
        <v>41</v>
      </c>
      <c r="D28" s="38"/>
      <c r="E28" s="255">
        <f>'[2]Detailed FS_$ Cons. (formating)'!$BP$203</f>
        <v>2414793.4666351266</v>
      </c>
      <c r="F28" s="38"/>
      <c r="G28" s="182">
        <f>'[2]Detailed FS_$ Cons. (formating)'!BR$203</f>
        <v>2414793.4666351266</v>
      </c>
      <c r="H28" s="183">
        <f>'[2]Detailed FS_$ Cons. (formating)'!BS$203</f>
        <v>5789793.4666351266</v>
      </c>
      <c r="I28" s="183">
        <f>'[2]Detailed FS_$ Cons. (formating)'!BT$203</f>
        <v>9164793.4666351266</v>
      </c>
      <c r="J28" s="183">
        <f>'[2]Detailed FS_$ Cons. (formating)'!BU$203</f>
        <v>9164793.4666351266</v>
      </c>
      <c r="K28" s="183">
        <f>'[2]Detailed FS_$ Cons. (formating)'!BV$203</f>
        <v>9164594.0563058145</v>
      </c>
      <c r="L28" s="183">
        <f>'[2]Detailed FS_$ Cons. (formating)'!BW$203+'[2]Detailed FS_$ Cons. (formating)'!BW$204+'[2]Detailed FS_$ Cons. (formating)'!BW$205</f>
        <v>9164594.0563058145</v>
      </c>
      <c r="M28" s="183">
        <f>'[2]Detailed FS_$ Cons. (formating)'!BX$203+'[2]Detailed FS_$ Cons. (formating)'!BX$204+'[2]Detailed FS_$ Cons. (formating)'!BX$205</f>
        <v>9164594.0563058145</v>
      </c>
      <c r="N28" s="183">
        <f>'[2]Detailed FS_$ Cons. (formating)'!BY$203+'[2]Detailed FS_$ Cons. (formating)'!BY$204+'[2]Detailed FS_$ Cons. (formating)'!BY$205</f>
        <v>9164594.0563058145</v>
      </c>
      <c r="O28" s="183">
        <f>'[2]Detailed FS_$ Cons. (formating)'!BZ$203+'[2]Detailed FS_$ Cons. (formating)'!BZ$204+'[2]Detailed FS_$ Cons. (formating)'!BZ$205</f>
        <v>9281020.7269158959</v>
      </c>
      <c r="P28" s="183">
        <f>'[2]Detailed FS_$ Cons. (formating)'!CA$203+'[2]Detailed FS_$ Cons. (formating)'!CA$204+'[2]Detailed FS_$ Cons. (formating)'!CA$205</f>
        <v>9281519.7519121543</v>
      </c>
      <c r="Q28" s="183">
        <f>'[2]Detailed FS_$ Cons. (formating)'!CB$203+'[2]Detailed FS_$ Cons. (formating)'!CB$204+'[2]Detailed FS_$ Cons. (formating)'!CB$205</f>
        <v>9281020.7269158959</v>
      </c>
      <c r="R28" s="183">
        <f>'[2]Detailed FS_$ Cons. (formating)'!CC$203+'[2]Detailed FS_$ Cons. (formating)'!CC$204+'[2]Detailed FS_$ Cons. (formating)'!CC$205</f>
        <v>9281020.7269158959</v>
      </c>
      <c r="S28" s="29"/>
      <c r="T28" s="182">
        <f>'[2]Detailed FS_$ Cons. (formating)'!CF$203+'[2]Detailed FS_$ Cons. (formating)'!CF$204+'[2]Detailed FS_$ Cons. (formating)'!CF$205</f>
        <v>9281020.7269158959</v>
      </c>
      <c r="U28" s="183">
        <f>'[2]Detailed FS_$ Cons. (formating)'!CG$203+'[2]Detailed FS_$ Cons. (formating)'!CG$204+'[2]Detailed FS_$ Cons. (formating)'!CG$205</f>
        <v>9281020.7269158959</v>
      </c>
      <c r="V28" s="183">
        <f>'[2]Detailed FS_$ Cons. (formating)'!CH$203+'[2]Detailed FS_$ Cons. (formating)'!CH$204+'[2]Detailed FS_$ Cons. (formating)'!CH$205</f>
        <v>9281020.7269158959</v>
      </c>
      <c r="W28" s="183"/>
      <c r="X28" s="183"/>
      <c r="Y28" s="183"/>
      <c r="Z28" s="183"/>
      <c r="AA28" s="183"/>
      <c r="AB28" s="183"/>
      <c r="AC28" s="183"/>
      <c r="AD28" s="183"/>
      <c r="AE28" s="183"/>
      <c r="AF28" s="29"/>
    </row>
    <row r="29" spans="1:43" ht="15.75" customHeight="1" x14ac:dyDescent="0.4">
      <c r="C29" s="214"/>
      <c r="E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1:43" s="24" customFormat="1" ht="15.75" customHeight="1" x14ac:dyDescent="0.4">
      <c r="B30" s="184" t="s">
        <v>99</v>
      </c>
      <c r="C30" s="215"/>
      <c r="E30" s="256">
        <f>E4-E15-E25</f>
        <v>0</v>
      </c>
      <c r="G30" s="185">
        <f t="shared" ref="G30:J30" si="22">G4-G15-G25</f>
        <v>0</v>
      </c>
      <c r="H30" s="186">
        <f t="shared" si="22"/>
        <v>0</v>
      </c>
      <c r="I30" s="186">
        <f t="shared" si="22"/>
        <v>0</v>
      </c>
      <c r="J30" s="186">
        <f t="shared" si="22"/>
        <v>0</v>
      </c>
      <c r="K30" s="186">
        <f t="shared" ref="K30:L30" si="23">K4-K15-K25</f>
        <v>0</v>
      </c>
      <c r="L30" s="186">
        <f t="shared" si="23"/>
        <v>0</v>
      </c>
      <c r="M30" s="186">
        <f t="shared" ref="M30" si="24">M4-M15-M25</f>
        <v>0</v>
      </c>
      <c r="N30" s="186">
        <f t="shared" ref="N30" si="25">N4-N15-N25</f>
        <v>0</v>
      </c>
      <c r="O30" s="186">
        <f t="shared" ref="O30:P30" si="26">O4-O15-O25</f>
        <v>0</v>
      </c>
      <c r="P30" s="186">
        <f t="shared" si="26"/>
        <v>0</v>
      </c>
      <c r="Q30" s="186">
        <f>Q4-Q15-Q25</f>
        <v>0</v>
      </c>
      <c r="R30" s="186">
        <f>R4-R15-R25</f>
        <v>0</v>
      </c>
      <c r="T30" s="185">
        <f>T4-T15-T25</f>
        <v>0</v>
      </c>
      <c r="U30" s="186">
        <f>U4-U15-U25</f>
        <v>0</v>
      </c>
      <c r="V30" s="186">
        <f>V4-V15-V25</f>
        <v>0</v>
      </c>
      <c r="W30" s="186"/>
      <c r="X30" s="186"/>
      <c r="Y30" s="186"/>
      <c r="Z30" s="186"/>
      <c r="AA30" s="186"/>
      <c r="AB30" s="186"/>
      <c r="AC30" s="186"/>
      <c r="AD30" s="186"/>
      <c r="AE30" s="186"/>
    </row>
    <row r="31" spans="1:43" ht="15.75" customHeight="1" x14ac:dyDescent="0.4">
      <c r="O31" s="19"/>
      <c r="P31" s="19"/>
      <c r="Q31" s="19"/>
      <c r="R31" s="19"/>
      <c r="U31" s="19"/>
      <c r="V31" s="19"/>
      <c r="AB31" s="19"/>
      <c r="AC31" s="19"/>
      <c r="AD31" s="19"/>
      <c r="AE31" s="19"/>
    </row>
    <row r="32" spans="1:43" ht="15.75" customHeight="1" x14ac:dyDescent="0.4">
      <c r="H32" s="19"/>
      <c r="L32" s="19"/>
      <c r="M32" s="19"/>
      <c r="N32" s="19"/>
      <c r="O32" s="19"/>
      <c r="P32" s="19"/>
      <c r="Q32" s="19"/>
      <c r="R32" s="19"/>
      <c r="Y32" s="19"/>
      <c r="Z32" s="19"/>
      <c r="AA32" s="19"/>
      <c r="AB32" s="19"/>
      <c r="AC32" s="19"/>
      <c r="AD32" s="19"/>
      <c r="AE32" s="19"/>
    </row>
    <row r="33" spans="5:31" ht="15.75" customHeight="1" x14ac:dyDescent="0.4">
      <c r="E33" s="1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spans="5:31" ht="15.75" customHeight="1" x14ac:dyDescent="0.4">
      <c r="H34" s="19"/>
      <c r="L34" s="19"/>
      <c r="O34" s="19"/>
      <c r="P34" s="19"/>
      <c r="Q34" s="19"/>
      <c r="R34" s="19"/>
      <c r="Y34" s="19"/>
      <c r="AB34" s="19"/>
      <c r="AC34" s="19"/>
      <c r="AD34" s="19"/>
      <c r="AE34" s="19"/>
    </row>
    <row r="35" spans="5:31" ht="15.75" customHeight="1" x14ac:dyDescent="0.4">
      <c r="L35" s="19"/>
      <c r="Y35" s="19"/>
    </row>
    <row r="36" spans="5:31" ht="15.75" customHeight="1" x14ac:dyDescent="0.4"/>
    <row r="37" spans="5:31" ht="15.75" customHeight="1" x14ac:dyDescent="0.4">
      <c r="L37" s="19"/>
      <c r="Y37" s="19"/>
    </row>
    <row r="38" spans="5:31" ht="15.75" customHeight="1" x14ac:dyDescent="0.4"/>
    <row r="39" spans="5:31" ht="15.75" customHeight="1" x14ac:dyDescent="0.4"/>
    <row r="40" spans="5:31" ht="15.75" customHeight="1" x14ac:dyDescent="0.4"/>
    <row r="41" spans="5:31" ht="15.75" customHeight="1" x14ac:dyDescent="0.4"/>
    <row r="42" spans="5:31" ht="15.75" customHeight="1" x14ac:dyDescent="0.4"/>
    <row r="43" spans="5:31" ht="15.75" customHeight="1" x14ac:dyDescent="0.4"/>
    <row r="44" spans="5:31" ht="15.75" customHeight="1" x14ac:dyDescent="0.4"/>
    <row r="45" spans="5:31" ht="15.75" customHeight="1" x14ac:dyDescent="0.4"/>
    <row r="46" spans="5:31" ht="15.75" customHeight="1" x14ac:dyDescent="0.4"/>
    <row r="47" spans="5:31" ht="15.75" customHeight="1" x14ac:dyDescent="0.4"/>
    <row r="48" spans="5:31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4A33-79FA-495F-819D-19DB1AEFF83A}">
  <dimension ref="A1:AA29"/>
  <sheetViews>
    <sheetView topLeftCell="B8" workbookViewId="0">
      <selection activeCell="R29" sqref="R29"/>
    </sheetView>
  </sheetViews>
  <sheetFormatPr defaultColWidth="8.86328125" defaultRowHeight="13.15" x14ac:dyDescent="0.4"/>
  <cols>
    <col min="1" max="1" width="42.1328125" style="4" bestFit="1" customWidth="1"/>
    <col min="2" max="2" width="0.86328125" style="8" customWidth="1"/>
    <col min="3" max="3" width="11.3984375" style="7" bestFit="1" customWidth="1"/>
    <col min="4" max="4" width="11.3984375" style="7" customWidth="1"/>
    <col min="5" max="5" width="11.86328125" style="7" bestFit="1" customWidth="1"/>
    <col min="6" max="6" width="11.1328125" style="7" bestFit="1" customWidth="1"/>
    <col min="7" max="14" width="10.1328125" style="4" bestFit="1" customWidth="1"/>
    <col min="15" max="15" width="4.3984375" style="8" customWidth="1"/>
    <col min="16" max="16" width="11.3984375" style="7" bestFit="1" customWidth="1"/>
    <col min="17" max="17" width="11.3984375" style="7" customWidth="1"/>
    <col min="18" max="18" width="11.86328125" style="7" bestFit="1" customWidth="1"/>
    <col min="19" max="19" width="11.1328125" style="7" bestFit="1" customWidth="1"/>
    <col min="20" max="27" width="10.1328125" style="4" bestFit="1" customWidth="1"/>
    <col min="28" max="16384" width="8.86328125" style="4"/>
  </cols>
  <sheetData>
    <row r="1" spans="1:27" x14ac:dyDescent="0.4">
      <c r="A1" s="8"/>
      <c r="C1" s="14"/>
      <c r="D1" s="14"/>
      <c r="E1" s="14"/>
      <c r="F1" s="14"/>
      <c r="G1" s="8"/>
      <c r="H1" s="8"/>
      <c r="I1" s="8"/>
      <c r="J1" s="8"/>
      <c r="K1" s="8"/>
      <c r="L1" s="8"/>
      <c r="M1" s="8"/>
      <c r="N1" s="8"/>
      <c r="P1" s="14"/>
      <c r="Q1" s="14"/>
      <c r="R1" s="14"/>
      <c r="S1" s="14"/>
      <c r="T1" s="8"/>
      <c r="U1" s="8"/>
      <c r="V1" s="8"/>
      <c r="W1" s="8"/>
      <c r="X1" s="8"/>
      <c r="Y1" s="8"/>
      <c r="Z1" s="8"/>
      <c r="AA1" s="8"/>
    </row>
    <row r="2" spans="1:27" ht="14.85" customHeight="1" thickBot="1" x14ac:dyDescent="0.45">
      <c r="A2" s="187" t="s">
        <v>100</v>
      </c>
      <c r="B2" s="229"/>
      <c r="C2" s="203">
        <v>45688</v>
      </c>
      <c r="D2" s="203">
        <v>45716</v>
      </c>
      <c r="E2" s="203">
        <v>45747</v>
      </c>
      <c r="F2" s="203">
        <v>45777</v>
      </c>
      <c r="G2" s="203">
        <v>45808</v>
      </c>
      <c r="H2" s="203">
        <v>45838</v>
      </c>
      <c r="I2" s="203">
        <v>45869</v>
      </c>
      <c r="J2" s="203">
        <v>45900</v>
      </c>
      <c r="K2" s="203">
        <v>45930</v>
      </c>
      <c r="L2" s="203">
        <v>45961</v>
      </c>
      <c r="M2" s="203">
        <v>45991</v>
      </c>
      <c r="N2" s="204">
        <v>46022</v>
      </c>
      <c r="P2" s="203">
        <v>46053</v>
      </c>
      <c r="Q2" s="203">
        <f>EOMONTH(P2,1)</f>
        <v>46081</v>
      </c>
      <c r="R2" s="203">
        <f t="shared" ref="R2:AA2" si="0">EOMONTH(Q2,1)</f>
        <v>46112</v>
      </c>
      <c r="S2" s="203">
        <f t="shared" si="0"/>
        <v>46142</v>
      </c>
      <c r="T2" s="203">
        <f t="shared" si="0"/>
        <v>46173</v>
      </c>
      <c r="U2" s="203">
        <f t="shared" si="0"/>
        <v>46203</v>
      </c>
      <c r="V2" s="203">
        <f t="shared" si="0"/>
        <v>46234</v>
      </c>
      <c r="W2" s="203">
        <f t="shared" si="0"/>
        <v>46265</v>
      </c>
      <c r="X2" s="203">
        <f t="shared" si="0"/>
        <v>46295</v>
      </c>
      <c r="Y2" s="203">
        <f t="shared" si="0"/>
        <v>46326</v>
      </c>
      <c r="Z2" s="203">
        <f t="shared" si="0"/>
        <v>46356</v>
      </c>
      <c r="AA2" s="203">
        <f t="shared" si="0"/>
        <v>46387</v>
      </c>
    </row>
    <row r="3" spans="1:27" ht="16.350000000000001" customHeight="1" x14ac:dyDescent="0.4">
      <c r="A3" s="220" t="s">
        <v>16</v>
      </c>
      <c r="B3" s="217"/>
      <c r="C3" s="199">
        <f>'P&amp;L'!E120</f>
        <v>-200195.79524241335</v>
      </c>
      <c r="D3" s="199">
        <f>'P&amp;L'!F120</f>
        <v>-254096.12948461022</v>
      </c>
      <c r="E3" s="199">
        <f>'P&amp;L'!G120</f>
        <v>-236704.41402273183</v>
      </c>
      <c r="F3" s="199">
        <f>'P&amp;L'!H120</f>
        <v>-252988.65257178806</v>
      </c>
      <c r="G3" s="199">
        <f>'P&amp;L'!I120</f>
        <v>-292041.92525023792</v>
      </c>
      <c r="H3" s="199">
        <f>'P&amp;L'!J120</f>
        <v>-224377.03867380961</v>
      </c>
      <c r="I3" s="199">
        <f>'P&amp;L'!K120</f>
        <v>-377020.28740453511</v>
      </c>
      <c r="J3" s="199">
        <f>'P&amp;L'!L120</f>
        <v>-248243.75435416077</v>
      </c>
      <c r="K3" s="199">
        <f>'P&amp;L'!M120</f>
        <v>-207503.75726787082</v>
      </c>
      <c r="L3" s="199">
        <f>'P&amp;L'!N120</f>
        <v>-268092.56392889802</v>
      </c>
      <c r="M3" s="199">
        <f>'P&amp;L'!O120</f>
        <v>-273286.91291207296</v>
      </c>
      <c r="N3" s="199">
        <f>'P&amp;L'!P120</f>
        <v>-32075.748645082698</v>
      </c>
      <c r="P3" s="199">
        <f>'P&amp;L'!S120</f>
        <v>-366484.0942652871</v>
      </c>
      <c r="Q3" s="199">
        <f>'P&amp;L'!T120</f>
        <v>-346373.02532699407</v>
      </c>
      <c r="R3" s="199">
        <f>'P&amp;L'!U120</f>
        <v>64903.820204659249</v>
      </c>
      <c r="S3" s="199"/>
      <c r="T3" s="199"/>
      <c r="U3" s="199"/>
      <c r="V3" s="199"/>
      <c r="W3" s="199"/>
      <c r="X3" s="199"/>
      <c r="Y3" s="199"/>
      <c r="Z3" s="199"/>
      <c r="AA3" s="199"/>
    </row>
    <row r="4" spans="1:27" x14ac:dyDescent="0.4">
      <c r="A4" s="221" t="s">
        <v>101</v>
      </c>
      <c r="B4" s="216"/>
      <c r="C4" s="188">
        <f>-'P&amp;L'!E128</f>
        <v>-569.27047823122621</v>
      </c>
      <c r="D4" s="188">
        <f>-'P&amp;L'!F128</f>
        <v>-564.52276105134092</v>
      </c>
      <c r="E4" s="188">
        <f>-'P&amp;L'!G128</f>
        <v>-565.38535949776917</v>
      </c>
      <c r="F4" s="188">
        <f>-'P&amp;L'!H128</f>
        <v>-496.84339215447324</v>
      </c>
      <c r="G4" s="188">
        <f>-'P&amp;L'!I128</f>
        <v>-507.48231307266695</v>
      </c>
      <c r="H4" s="188">
        <f>-'P&amp;L'!J128</f>
        <v>-508.98031177387327</v>
      </c>
      <c r="I4" s="188">
        <f>-'P&amp;L'!K128</f>
        <v>-446.7748156597882</v>
      </c>
      <c r="J4" s="188">
        <f>-'P&amp;L'!L128</f>
        <v>9531.1105584547186</v>
      </c>
      <c r="K4" s="188">
        <f>-'P&amp;L'!M128</f>
        <v>0</v>
      </c>
      <c r="L4" s="188">
        <f>-'P&amp;L'!N128</f>
        <v>-22610.897707750399</v>
      </c>
      <c r="M4" s="188">
        <f>-'P&amp;L'!O128</f>
        <v>-22487.353627491557</v>
      </c>
      <c r="N4" s="188">
        <f>-'P&amp;L'!P128</f>
        <v>-22389.326720474288</v>
      </c>
      <c r="P4" s="188">
        <f>-'P&amp;L'!S128</f>
        <v>-15450.709800593975</v>
      </c>
      <c r="Q4" s="188">
        <f>-'P&amp;L'!T128</f>
        <v>-15256.524088814411</v>
      </c>
      <c r="R4" s="188">
        <f>-'P&amp;L'!U128</f>
        <v>-19358.999277549388</v>
      </c>
      <c r="S4" s="188"/>
      <c r="T4" s="188"/>
      <c r="U4" s="188"/>
      <c r="V4" s="188"/>
      <c r="W4" s="188"/>
      <c r="X4" s="188"/>
      <c r="Y4" s="188"/>
      <c r="Z4" s="188"/>
      <c r="AA4" s="188"/>
    </row>
    <row r="5" spans="1:27" x14ac:dyDescent="0.4">
      <c r="A5" s="221" t="s">
        <v>102</v>
      </c>
      <c r="B5" s="216"/>
      <c r="C5" s="188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8">
        <f>-'P&amp;L'!P134</f>
        <v>-12309.287550195755</v>
      </c>
      <c r="P5" s="188">
        <f>-'P&amp;L'!S134</f>
        <v>0</v>
      </c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</row>
    <row r="6" spans="1:27" x14ac:dyDescent="0.4">
      <c r="A6" s="221" t="s">
        <v>103</v>
      </c>
      <c r="B6" s="216"/>
      <c r="C6" s="188">
        <f>-'P&amp;L'!E129</f>
        <v>-3115.8303939780435</v>
      </c>
      <c r="D6" s="188">
        <f>-'P&amp;L'!F129</f>
        <v>175.41583507993749</v>
      </c>
      <c r="E6" s="188">
        <f>-'P&amp;L'!G129</f>
        <v>-75.994985588502374</v>
      </c>
      <c r="F6" s="188">
        <f>-'P&amp;L'!H129</f>
        <v>-939.5012323742958</v>
      </c>
      <c r="G6" s="188">
        <f>-'P&amp;L'!I129</f>
        <v>-899.89841560464811</v>
      </c>
      <c r="H6" s="188">
        <f>-'P&amp;L'!J129</f>
        <v>-1946.4666701567726</v>
      </c>
      <c r="I6" s="188">
        <f>-'P&amp;L'!K129</f>
        <v>1045.9486742092918</v>
      </c>
      <c r="J6" s="188">
        <f>-'P&amp;L'!L129</f>
        <v>33.202888154906383</v>
      </c>
      <c r="K6" s="188">
        <f>-'P&amp;L'!M129</f>
        <v>23606.959146704412</v>
      </c>
      <c r="L6" s="188">
        <f>-'P&amp;L'!N129</f>
        <v>-23872.237840583628</v>
      </c>
      <c r="M6" s="188">
        <f>-'P&amp;L'!O129</f>
        <v>20289.245299370719</v>
      </c>
      <c r="N6" s="188">
        <f>-'P&amp;L'!P129</f>
        <v>-33434.330669958697</v>
      </c>
      <c r="P6" s="188">
        <f>-'P&amp;L'!S129</f>
        <v>2658.0957041249985</v>
      </c>
      <c r="Q6" s="188">
        <f>-'P&amp;L'!T129</f>
        <v>3128.4550233593682</v>
      </c>
      <c r="R6" s="188">
        <f>-'P&amp;L'!U129</f>
        <v>-5.4962889463017293</v>
      </c>
      <c r="S6" s="188"/>
      <c r="T6" s="188"/>
      <c r="U6" s="188"/>
      <c r="V6" s="188"/>
      <c r="W6" s="188"/>
      <c r="X6" s="188"/>
      <c r="Y6" s="188"/>
      <c r="Z6" s="188"/>
      <c r="AA6" s="188"/>
    </row>
    <row r="7" spans="1:27" x14ac:dyDescent="0.4">
      <c r="A7" s="221" t="s">
        <v>104</v>
      </c>
      <c r="B7" s="216"/>
      <c r="C7" s="188">
        <f>-'P&amp;L'!E127</f>
        <v>211.75354680662753</v>
      </c>
      <c r="D7" s="188">
        <f>-'P&amp;L'!F127</f>
        <v>64.226178375656687</v>
      </c>
      <c r="E7" s="188">
        <f>-'P&amp;L'!G127</f>
        <v>-80.191851256900122</v>
      </c>
      <c r="F7" s="188">
        <f>-'P&amp;L'!H127</f>
        <v>-232.86535895049792</v>
      </c>
      <c r="G7" s="188">
        <f>-'P&amp;L'!I127</f>
        <v>152.49430068080807</v>
      </c>
      <c r="H7" s="188">
        <f>-'P&amp;L'!J127</f>
        <v>-24.462678074815756</v>
      </c>
      <c r="I7" s="188">
        <f>-'P&amp;L'!K127</f>
        <v>194.27339050831546</v>
      </c>
      <c r="J7" s="188">
        <f>-'P&amp;L'!L127</f>
        <v>20424.816865742643</v>
      </c>
      <c r="K7" s="188">
        <f>-'P&amp;L'!M127</f>
        <v>27.680016301824384</v>
      </c>
      <c r="L7" s="188">
        <f>-'P&amp;L'!N127</f>
        <v>65.697482073079655</v>
      </c>
      <c r="M7" s="188">
        <f>-'P&amp;L'!O127</f>
        <v>41070.598583983701</v>
      </c>
      <c r="N7" s="188">
        <f>-'P&amp;L'!P127</f>
        <v>11414.269457134502</v>
      </c>
      <c r="P7" s="188">
        <f>-'P&amp;L'!S127</f>
        <v>4729.0444903482785</v>
      </c>
      <c r="Q7" s="188">
        <f>-'P&amp;L'!T127</f>
        <v>919.77754446080189</v>
      </c>
      <c r="R7" s="188">
        <f>-'P&amp;L'!U127</f>
        <v>653.18416654516182</v>
      </c>
      <c r="S7" s="188"/>
      <c r="T7" s="188"/>
      <c r="U7" s="188"/>
      <c r="V7" s="188"/>
      <c r="W7" s="188"/>
      <c r="X7" s="188"/>
      <c r="Y7" s="188"/>
      <c r="Z7" s="188"/>
      <c r="AA7" s="188"/>
    </row>
    <row r="8" spans="1:27" x14ac:dyDescent="0.4">
      <c r="A8" s="221" t="s">
        <v>105</v>
      </c>
      <c r="B8" s="216"/>
      <c r="C8" s="188">
        <f>-('Balance Sheet'!G10-'Balance Sheet'!E10)-('Balance Sheet'!G11-'Balance Sheet'!E11)-('Balance Sheet'!G12-'Balance Sheet'!E12)-('Balance Sheet'!G13-'Balance Sheet'!E13)+('Balance Sheet'!G16-'Balance Sheet'!E16)</f>
        <v>5439.6792611391138</v>
      </c>
      <c r="D8" s="188">
        <f>-('Balance Sheet'!H10-'Balance Sheet'!G10)-('Balance Sheet'!H11-'Balance Sheet'!G11)-('Balance Sheet'!H12-'Balance Sheet'!G12)-('Balance Sheet'!H13-'Balance Sheet'!G13)+('Balance Sheet'!H16-'Balance Sheet'!G16)</f>
        <v>182440.20680158053</v>
      </c>
      <c r="E8" s="188">
        <f>-('Balance Sheet'!I10-'Balance Sheet'!H10)-('Balance Sheet'!I11-'Balance Sheet'!H11)-('Balance Sheet'!I12-'Balance Sheet'!H12)-('Balance Sheet'!I13-'Balance Sheet'!H13)+('Balance Sheet'!I16-'Balance Sheet'!H16)</f>
        <v>-344724.86341985787</v>
      </c>
      <c r="F8" s="188">
        <f>-('Balance Sheet'!J10-'Balance Sheet'!I10)-('Balance Sheet'!J11-'Balance Sheet'!I11)-('Balance Sheet'!J12-'Balance Sheet'!I12)-('Balance Sheet'!J13-'Balance Sheet'!I13)+('Balance Sheet'!J16-'Balance Sheet'!I16)</f>
        <v>-221651.07988129091</v>
      </c>
      <c r="G8" s="188">
        <f>-('Balance Sheet'!K10-'Balance Sheet'!J10)-('Balance Sheet'!K11-'Balance Sheet'!J11)-('Balance Sheet'!K12-'Balance Sheet'!J12)-('Balance Sheet'!K13-'Balance Sheet'!J13)+('Balance Sheet'!K16-'Balance Sheet'!J16)</f>
        <v>-97464.496537691564</v>
      </c>
      <c r="H8" s="188">
        <f>-('Balance Sheet'!L10-'Balance Sheet'!K10)-('Balance Sheet'!L11-'Balance Sheet'!K11)-('Balance Sheet'!L12-'Balance Sheet'!K12)-('Balance Sheet'!L13-'Balance Sheet'!K13)+('Balance Sheet'!L16-'Balance Sheet'!K16)</f>
        <v>-11584.268314307803</v>
      </c>
      <c r="I8" s="188">
        <f>-('Balance Sheet'!M10-'Balance Sheet'!L10)-('Balance Sheet'!M11-'Balance Sheet'!L11)-('Balance Sheet'!M12-'Balance Sheet'!L12)-('Balance Sheet'!M13-'Balance Sheet'!L13)+('Balance Sheet'!M16-'Balance Sheet'!L16)</f>
        <v>-19322.445244019487</v>
      </c>
      <c r="J8" s="188">
        <f>-('Balance Sheet'!N10-'Balance Sheet'!M10)-('Balance Sheet'!N11-'Balance Sheet'!M11)-('Balance Sheet'!N12-'Balance Sheet'!M12)-('Balance Sheet'!N13-'Balance Sheet'!M13)+('Balance Sheet'!N16-'Balance Sheet'!M16)</f>
        <v>-4640.0833327215078</v>
      </c>
      <c r="K8" s="188">
        <f>-('Balance Sheet'!O10-'Balance Sheet'!N10)-('Balance Sheet'!O11-'Balance Sheet'!N11)-('Balance Sheet'!O12-'Balance Sheet'!N12)-('Balance Sheet'!O13-'Balance Sheet'!N13)+('Balance Sheet'!O16-'Balance Sheet'!N16)</f>
        <v>93766.46053656227</v>
      </c>
      <c r="L8" s="188">
        <f>-('Balance Sheet'!P10-'Balance Sheet'!O10)-('Balance Sheet'!P11-'Balance Sheet'!O11)-('Balance Sheet'!P12-'Balance Sheet'!O12)-('Balance Sheet'!P13-'Balance Sheet'!O13)+('Balance Sheet'!P16-'Balance Sheet'!O16)</f>
        <v>58541.711166045876</v>
      </c>
      <c r="M8" s="188">
        <f>-('Balance Sheet'!Q10-'Balance Sheet'!P10)-('Balance Sheet'!Q11-'Balance Sheet'!P11)-('Balance Sheet'!Q12-'Balance Sheet'!P12)-('Balance Sheet'!Q13-'Balance Sheet'!P13)+('Balance Sheet'!Q16-'Balance Sheet'!P16)</f>
        <v>54561.80538617546</v>
      </c>
      <c r="N8" s="188">
        <f>-('Balance Sheet'!R10-'Balance Sheet'!Q10)-('Balance Sheet'!R11-'Balance Sheet'!Q11)-('Balance Sheet'!R12-'Balance Sheet'!Q12)-('Balance Sheet'!R13-'Balance Sheet'!Q13)+('Balance Sheet'!R16-'Balance Sheet'!Q16)</f>
        <v>-68914.207229317108</v>
      </c>
      <c r="P8" s="188">
        <f>-('Balance Sheet'!T10-'Balance Sheet'!R10)-('Balance Sheet'!T11-'Balance Sheet'!R11)-('Balance Sheet'!T12-'Balance Sheet'!R12)-('Balance Sheet'!T13-'Balance Sheet'!R13)+('Balance Sheet'!T16-'Balance Sheet'!R16)</f>
        <v>-43344.795259306848</v>
      </c>
      <c r="Q8" s="188">
        <f>-('Balance Sheet'!U10-'Balance Sheet'!T10)-('Balance Sheet'!U11-'Balance Sheet'!T11)-('Balance Sheet'!U12-'Balance Sheet'!T12)-('Balance Sheet'!U13-'Balance Sheet'!T13)+('Balance Sheet'!U16-'Balance Sheet'!T16)</f>
        <v>-29761.399504173634</v>
      </c>
      <c r="R8" s="188">
        <f>-('Balance Sheet'!V10-'Balance Sheet'!U10)-('Balance Sheet'!V11-'Balance Sheet'!U11)-('Balance Sheet'!V12-'Balance Sheet'!U12)-('Balance Sheet'!V13-'Balance Sheet'!U13)+('Balance Sheet'!V16-'Balance Sheet'!U16)</f>
        <v>-286376.68050445558</v>
      </c>
      <c r="S8" s="188"/>
      <c r="T8" s="188"/>
      <c r="U8" s="188"/>
      <c r="V8" s="188"/>
      <c r="W8" s="188"/>
      <c r="X8" s="188"/>
      <c r="Y8" s="188"/>
      <c r="Z8" s="188"/>
      <c r="AA8" s="188"/>
    </row>
    <row r="9" spans="1:27" x14ac:dyDescent="0.4">
      <c r="A9" s="221" t="s">
        <v>106</v>
      </c>
      <c r="B9" s="216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4">
      <c r="A10" s="222" t="s">
        <v>107</v>
      </c>
      <c r="B10" s="217"/>
      <c r="C10" s="200">
        <f>SUM(C3:C9)</f>
        <v>-198229.46330667689</v>
      </c>
      <c r="D10" s="200">
        <f t="shared" ref="D10:F10" si="1">SUM(D3:D9)</f>
        <v>-71980.803430625441</v>
      </c>
      <c r="E10" s="200">
        <f t="shared" si="1"/>
        <v>-582150.84963893285</v>
      </c>
      <c r="F10" s="200">
        <f t="shared" si="1"/>
        <v>-476308.94243655819</v>
      </c>
      <c r="G10" s="200">
        <f t="shared" ref="G10:H10" si="2">SUM(G3:G9)</f>
        <v>-390761.30821592599</v>
      </c>
      <c r="H10" s="200">
        <f t="shared" si="2"/>
        <v>-238441.21664812288</v>
      </c>
      <c r="I10" s="200">
        <f t="shared" ref="I10:J10" si="3">SUM(I3:I9)</f>
        <v>-395549.28539949679</v>
      </c>
      <c r="J10" s="200">
        <f t="shared" si="3"/>
        <v>-222894.70737452997</v>
      </c>
      <c r="K10" s="200">
        <f t="shared" ref="K10:L10" si="4">SUM(K3:K9)</f>
        <v>-90102.657568302311</v>
      </c>
      <c r="L10" s="200">
        <f t="shared" si="4"/>
        <v>-255968.29082911304</v>
      </c>
      <c r="M10" s="200">
        <f>SUM(M3:M9)</f>
        <v>-179852.61727003465</v>
      </c>
      <c r="N10" s="200">
        <f>SUM(N3:N9)</f>
        <v>-157708.63135789405</v>
      </c>
      <c r="P10" s="200">
        <f>SUM(P3:P9)</f>
        <v>-417892.45913071465</v>
      </c>
      <c r="Q10" s="200">
        <f>SUM(Q3:Q9)</f>
        <v>-387342.71635216195</v>
      </c>
      <c r="R10" s="200">
        <f>SUM(R3:R9)</f>
        <v>-240184.17169974686</v>
      </c>
      <c r="S10" s="200"/>
      <c r="T10" s="200"/>
      <c r="U10" s="200"/>
      <c r="V10" s="200"/>
      <c r="W10" s="200"/>
      <c r="X10" s="200"/>
      <c r="Y10" s="200"/>
      <c r="Z10" s="200"/>
      <c r="AA10" s="200"/>
    </row>
    <row r="11" spans="1:27" x14ac:dyDescent="0.4">
      <c r="A11" s="221"/>
      <c r="B11" s="21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4">
      <c r="A12" s="221" t="s">
        <v>108</v>
      </c>
      <c r="B12" s="216"/>
      <c r="C12" s="188">
        <f>-('Balance Sheet'!G5-'Balance Sheet'!E5)-'P&amp;L'!E130</f>
        <v>-15523.437585237762</v>
      </c>
      <c r="D12" s="188">
        <f>-('Balance Sheet'!H5-'Balance Sheet'!G5)-'P&amp;L'!F130</f>
        <v>-81658.3773768846</v>
      </c>
      <c r="E12" s="188">
        <f>-('Balance Sheet'!I5-'Balance Sheet'!H5)-'P&amp;L'!G130</f>
        <v>-10206.075026426199</v>
      </c>
      <c r="F12" s="188">
        <f>-('Balance Sheet'!J5-'Balance Sheet'!I5)-'P&amp;L'!H130</f>
        <v>208.62396408781751</v>
      </c>
      <c r="G12" s="188">
        <f>-('Balance Sheet'!K5-'Balance Sheet'!J5)-'P&amp;L'!I130</f>
        <v>-125101.84210854706</v>
      </c>
      <c r="H12" s="188">
        <f>-('Balance Sheet'!L5-'Balance Sheet'!K5)-'P&amp;L'!J130</f>
        <v>-25304.832149392172</v>
      </c>
      <c r="I12" s="188">
        <f>-('Balance Sheet'!M5-'Balance Sheet'!L5)-'P&amp;L'!K130</f>
        <v>-1288941.9677692046</v>
      </c>
      <c r="J12" s="188">
        <f>-('Balance Sheet'!N5-'Balance Sheet'!M5)-'P&amp;L'!L130</f>
        <v>-15509.794887966862</v>
      </c>
      <c r="K12" s="188">
        <f>-('Balance Sheet'!O5-'Balance Sheet'!N5)-'P&amp;L'!M130</f>
        <v>-140037.46835235489</v>
      </c>
      <c r="L12" s="188">
        <f>-('Balance Sheet'!P5-'Balance Sheet'!O5)-'P&amp;L'!N130</f>
        <v>-38465.605914576336</v>
      </c>
      <c r="M12" s="188">
        <f>-('Balance Sheet'!Q5-'Balance Sheet'!P5)-'P&amp;L'!O130</f>
        <v>-109159.19940653277</v>
      </c>
      <c r="N12" s="188">
        <f>-('Balance Sheet'!R5-'Balance Sheet'!Q5)-'P&amp;L'!P130</f>
        <v>-129570.87909851313</v>
      </c>
      <c r="P12" s="188">
        <f>-('Balance Sheet'!T5-'Balance Sheet'!R5)-'P&amp;L'!S130</f>
        <v>-57944.290885434915</v>
      </c>
      <c r="Q12" s="188">
        <f>-('Balance Sheet'!U5-'Balance Sheet'!T5)-'P&amp;L'!T130</f>
        <v>11950.266304766646</v>
      </c>
      <c r="R12" s="188">
        <f>-('Balance Sheet'!V5-'Balance Sheet'!U5)-'P&amp;L'!U130</f>
        <v>161773.84422697156</v>
      </c>
      <c r="S12" s="188"/>
      <c r="T12" s="188"/>
      <c r="U12" s="188"/>
      <c r="V12" s="188"/>
      <c r="W12" s="188"/>
      <c r="X12" s="188"/>
      <c r="Y12" s="188"/>
      <c r="Z12" s="188"/>
      <c r="AA12" s="188"/>
    </row>
    <row r="13" spans="1:27" hidden="1" x14ac:dyDescent="0.4">
      <c r="A13" s="65" t="s">
        <v>109</v>
      </c>
      <c r="B13" s="21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idden="1" x14ac:dyDescent="0.4">
      <c r="A14" s="65" t="s">
        <v>110</v>
      </c>
      <c r="B14" s="21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x14ac:dyDescent="0.4">
      <c r="A15" s="222" t="s">
        <v>111</v>
      </c>
      <c r="B15" s="217"/>
      <c r="C15" s="201">
        <f>SUM(C12:C14)</f>
        <v>-15523.437585237762</v>
      </c>
      <c r="D15" s="201">
        <f>SUM(D12:D14)</f>
        <v>-81658.3773768846</v>
      </c>
      <c r="E15" s="201">
        <f t="shared" ref="E15:F15" si="5">SUM(E12:E14)</f>
        <v>-10206.075026426199</v>
      </c>
      <c r="F15" s="201">
        <f t="shared" si="5"/>
        <v>208.62396408781751</v>
      </c>
      <c r="G15" s="201">
        <f t="shared" ref="G15:H15" si="6">SUM(G12:G14)</f>
        <v>-125101.84210854706</v>
      </c>
      <c r="H15" s="201">
        <f t="shared" si="6"/>
        <v>-25304.832149392172</v>
      </c>
      <c r="I15" s="201">
        <f t="shared" ref="I15:J15" si="7">SUM(I12:I14)</f>
        <v>-1288941.9677692046</v>
      </c>
      <c r="J15" s="201">
        <f t="shared" si="7"/>
        <v>-15509.794887966862</v>
      </c>
      <c r="K15" s="201">
        <f t="shared" ref="K15:L15" si="8">SUM(K12:K14)</f>
        <v>-140037.46835235489</v>
      </c>
      <c r="L15" s="201">
        <f t="shared" si="8"/>
        <v>-38465.605914576336</v>
      </c>
      <c r="M15" s="201">
        <f>SUM(M12:M14)</f>
        <v>-109159.19940653277</v>
      </c>
      <c r="N15" s="201">
        <f>SUM(N12:N14)</f>
        <v>-129570.87909851313</v>
      </c>
      <c r="P15" s="201">
        <f>SUM(P12:P14)</f>
        <v>-57944.290885434915</v>
      </c>
      <c r="Q15" s="201">
        <f>SUM(Q12:Q14)</f>
        <v>11950.266304766646</v>
      </c>
      <c r="R15" s="201">
        <f>SUM(R12:R14)</f>
        <v>161773.84422697156</v>
      </c>
      <c r="S15" s="201"/>
      <c r="T15" s="201"/>
      <c r="U15" s="201"/>
      <c r="V15" s="201"/>
      <c r="W15" s="201"/>
      <c r="X15" s="201"/>
      <c r="Y15" s="201"/>
      <c r="Z15" s="201"/>
      <c r="AA15" s="201"/>
    </row>
    <row r="16" spans="1:27" x14ac:dyDescent="0.4">
      <c r="A16" s="223"/>
      <c r="B16" s="217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x14ac:dyDescent="0.4">
      <c r="A17" s="224" t="s">
        <v>112</v>
      </c>
      <c r="B17" s="218"/>
      <c r="C17" s="231">
        <f>'Balance Sheet'!G22-'Balance Sheet'!E22</f>
        <v>-5518.5403354643349</v>
      </c>
      <c r="D17" s="231">
        <f>'Balance Sheet'!H22-'Balance Sheet'!G22</f>
        <v>219.69356547930511</v>
      </c>
      <c r="E17" s="231">
        <f>'Balance Sheet'!I22-'Balance Sheet'!H22</f>
        <v>-5826.6623219919275</v>
      </c>
      <c r="F17" s="231">
        <f>'Balance Sheet'!J22-'Balance Sheet'!I22</f>
        <v>339.91335810586315</v>
      </c>
      <c r="G17" s="231">
        <f>'Balance Sheet'!K22-'Balance Sheet'!J22</f>
        <v>1280.0505936147456</v>
      </c>
      <c r="H17" s="231">
        <f>'Balance Sheet'!L22-'Balance Sheet'!K22</f>
        <v>619.25873000673892</v>
      </c>
      <c r="I17" s="231">
        <f>'Balance Sheet'!M22-'Balance Sheet'!L22</f>
        <v>1091391.6674108682</v>
      </c>
      <c r="J17" s="231">
        <f>'Balance Sheet'!N22-'Balance Sheet'!M22</f>
        <v>-37183.796070607146</v>
      </c>
      <c r="K17" s="231">
        <f>'Balance Sheet'!O22-'Balance Sheet'!N22</f>
        <v>16238.896590568591</v>
      </c>
      <c r="L17" s="231">
        <f>'Balance Sheet'!P22-'Balance Sheet'!O22</f>
        <v>-122809.55059672229</v>
      </c>
      <c r="M17" s="231">
        <f>'Balance Sheet'!Q22-'Balance Sheet'!P22</f>
        <v>17102.029717195313</v>
      </c>
      <c r="N17" s="231">
        <f>'Balance Sheet'!R22-'Balance Sheet'!Q22</f>
        <v>18018.27722017339</v>
      </c>
      <c r="P17" s="231">
        <f>'Balance Sheet'!T22-'Balance Sheet'!R22</f>
        <v>-50780.127775171073</v>
      </c>
      <c r="Q17" s="231">
        <f>'Balance Sheet'!U22-'Balance Sheet'!T22</f>
        <v>3066.0415002325317</v>
      </c>
      <c r="R17" s="231">
        <f>'Balance Sheet'!V22-'Balance Sheet'!U22</f>
        <v>-103300.24325929629</v>
      </c>
      <c r="S17" s="231"/>
      <c r="T17" s="231"/>
      <c r="U17" s="231"/>
      <c r="V17" s="231"/>
      <c r="W17" s="231"/>
      <c r="X17" s="231"/>
      <c r="Y17" s="231"/>
      <c r="Z17" s="231"/>
      <c r="AA17" s="231"/>
    </row>
    <row r="18" spans="1:27" x14ac:dyDescent="0.4">
      <c r="A18" s="224" t="s">
        <v>113</v>
      </c>
      <c r="B18" s="21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4">
      <c r="A19" s="224" t="s">
        <v>114</v>
      </c>
      <c r="B19" s="21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4">
      <c r="A20" s="224" t="s">
        <v>115</v>
      </c>
      <c r="B20" s="218"/>
      <c r="C20" s="230">
        <f>'Balance Sheet'!G28-'Balance Sheet'!E28</f>
        <v>0</v>
      </c>
      <c r="D20" s="232">
        <f>'Balance Sheet'!H28-'Balance Sheet'!G28</f>
        <v>3375000</v>
      </c>
      <c r="E20" s="232">
        <f>'Balance Sheet'!I28-'Balance Sheet'!H28</f>
        <v>3375000</v>
      </c>
      <c r="F20" s="232">
        <f>'Balance Sheet'!J28-'Balance Sheet'!I28</f>
        <v>0</v>
      </c>
      <c r="G20" s="232">
        <f>'Balance Sheet'!K28-'Balance Sheet'!J28</f>
        <v>-199.41032931208611</v>
      </c>
      <c r="H20" s="232">
        <f>'Balance Sheet'!L28-'Balance Sheet'!K28</f>
        <v>0</v>
      </c>
      <c r="I20" s="232">
        <f>'Balance Sheet'!M28-'Balance Sheet'!L28</f>
        <v>0</v>
      </c>
      <c r="J20" s="232">
        <f>'Balance Sheet'!N28-'Balance Sheet'!M28</f>
        <v>0</v>
      </c>
      <c r="K20" s="232">
        <f>'Balance Sheet'!O28-'Balance Sheet'!N28</f>
        <v>116426.6706100814</v>
      </c>
      <c r="L20" s="232">
        <f>'Balance Sheet'!P28-'Balance Sheet'!O28</f>
        <v>499.02499625831842</v>
      </c>
      <c r="M20" s="282">
        <f>'Balance Sheet'!Q28-'Balance Sheet'!P28</f>
        <v>-499.02499625831842</v>
      </c>
      <c r="N20" s="282">
        <f>'Balance Sheet'!R28-'Balance Sheet'!Q28</f>
        <v>0</v>
      </c>
      <c r="P20" s="230">
        <f>'Balance Sheet'!T28-'Balance Sheet'!R28</f>
        <v>0</v>
      </c>
      <c r="Q20" s="282">
        <f>'Balance Sheet'!U28-'Balance Sheet'!T28</f>
        <v>0</v>
      </c>
      <c r="R20" s="282">
        <f>'Balance Sheet'!V28-'Balance Sheet'!U28</f>
        <v>0</v>
      </c>
      <c r="S20" s="232"/>
      <c r="T20" s="232"/>
      <c r="U20" s="232"/>
      <c r="V20" s="232"/>
      <c r="W20" s="232"/>
      <c r="X20" s="232"/>
      <c r="Y20" s="232"/>
      <c r="Z20" s="282"/>
      <c r="AA20" s="282"/>
    </row>
    <row r="21" spans="1:27" x14ac:dyDescent="0.4">
      <c r="A21" s="225" t="s">
        <v>116</v>
      </c>
      <c r="B21" s="218"/>
      <c r="C21" s="232">
        <f>'Balance Sheet'!G26-'Balance Sheet'!E26+'Balance Sheet'!G23-'Balance Sheet'!E23</f>
        <v>9902.5013700940635</v>
      </c>
      <c r="D21" s="232">
        <f>'Balance Sheet'!H26-'Balance Sheet'!G26+'Balance Sheet'!H23-'Balance Sheet'!G23</f>
        <v>-22507.690285120123</v>
      </c>
      <c r="E21" s="232">
        <f>'Balance Sheet'!I26-'Balance Sheet'!H26+'Balance Sheet'!I23-'Balance Sheet'!H23</f>
        <v>-42.633343002695256</v>
      </c>
      <c r="F21" s="232">
        <f>'Balance Sheet'!J26-'Balance Sheet'!I26+'Balance Sheet'!J23-'Balance Sheet'!I23</f>
        <v>-1550.2130092550651</v>
      </c>
      <c r="G21" s="232">
        <f>'Balance Sheet'!K26-'Balance Sheet'!J26+'Balance Sheet'!K23-'Balance Sheet'!J23</f>
        <v>12971.339167094839</v>
      </c>
      <c r="H21" s="232">
        <f>'Balance Sheet'!L26-'Balance Sheet'!K26+'Balance Sheet'!L23-'Balance Sheet'!K23</f>
        <v>2634.247540176304</v>
      </c>
      <c r="I21" s="232">
        <f>'Balance Sheet'!M26-'Balance Sheet'!L26+'Balance Sheet'!M23-'Balance Sheet'!L23</f>
        <v>7296.2432516723811</v>
      </c>
      <c r="J21" s="232">
        <f>'Balance Sheet'!N26-'Balance Sheet'!M26+'Balance Sheet'!N23-'Balance Sheet'!M23</f>
        <v>-24180.634877693785</v>
      </c>
      <c r="K21" s="232">
        <f>'Balance Sheet'!O26-'Balance Sheet'!N26+'Balance Sheet'!O23-'Balance Sheet'!N23</f>
        <v>-26234.81261941111</v>
      </c>
      <c r="L21" s="232">
        <f>'Balance Sheet'!P26-'Balance Sheet'!O26+'Balance Sheet'!P23-'Balance Sheet'!O23</f>
        <v>45022.481123691847</v>
      </c>
      <c r="M21" s="282">
        <f>'Balance Sheet'!Q26-'Balance Sheet'!P26+'Balance Sheet'!Q23-'Balance Sheet'!P23</f>
        <v>-29393.830242040422</v>
      </c>
      <c r="N21" s="282">
        <f>'Balance Sheet'!R26-'Balance Sheet'!Q26+'Balance Sheet'!R23-'Balance Sheet'!Q23</f>
        <v>42051.935397145397</v>
      </c>
      <c r="P21" s="232">
        <f>'Balance Sheet'!T26-'Balance Sheet'!R26+'Balance Sheet'!T23-'Balance Sheet'!R23</f>
        <v>-849.46472782588899</v>
      </c>
      <c r="Q21" s="282">
        <f>'Balance Sheet'!U26-'Balance Sheet'!T26+'Balance Sheet'!U23-'Balance Sheet'!T23</f>
        <v>-13086.621175851258</v>
      </c>
      <c r="R21" s="282">
        <f>'Balance Sheet'!V26-'Balance Sheet'!U26+'Balance Sheet'!V23-'Balance Sheet'!U23</f>
        <v>-99674.683776208025</v>
      </c>
      <c r="S21" s="232"/>
      <c r="T21" s="232"/>
      <c r="U21" s="232"/>
      <c r="V21" s="232"/>
      <c r="W21" s="232"/>
      <c r="X21" s="232"/>
      <c r="Y21" s="232"/>
      <c r="Z21" s="282"/>
      <c r="AA21" s="282"/>
    </row>
    <row r="22" spans="1:27" x14ac:dyDescent="0.4">
      <c r="A22" s="222" t="s">
        <v>117</v>
      </c>
      <c r="B22" s="217"/>
      <c r="C22" s="201">
        <f>SUM(C17:C21)</f>
        <v>4383.9610346297286</v>
      </c>
      <c r="D22" s="201">
        <f t="shared" ref="D22:F22" si="9">SUM(D17:D21)</f>
        <v>3352712.0032803593</v>
      </c>
      <c r="E22" s="201">
        <f t="shared" si="9"/>
        <v>3369130.7043350055</v>
      </c>
      <c r="F22" s="201">
        <f t="shared" si="9"/>
        <v>-1210.299651149202</v>
      </c>
      <c r="G22" s="201">
        <f t="shared" ref="G22:H22" si="10">SUM(G17:G21)</f>
        <v>14051.979431397498</v>
      </c>
      <c r="H22" s="201">
        <f t="shared" si="10"/>
        <v>3253.5062701830429</v>
      </c>
      <c r="I22" s="201">
        <f t="shared" ref="I22:J22" si="11">SUM(I17:I21)</f>
        <v>1098687.9106625407</v>
      </c>
      <c r="J22" s="201">
        <f t="shared" si="11"/>
        <v>-61364.430948300927</v>
      </c>
      <c r="K22" s="201">
        <f t="shared" ref="K22:L22" si="12">SUM(K17:K21)</f>
        <v>106430.75458123889</v>
      </c>
      <c r="L22" s="201">
        <f t="shared" si="12"/>
        <v>-77288.04447677212</v>
      </c>
      <c r="M22" s="201">
        <f>SUM(M17:M21)</f>
        <v>-12790.825521103427</v>
      </c>
      <c r="N22" s="201">
        <f>SUM(N17:N21)</f>
        <v>60070.212617318786</v>
      </c>
      <c r="P22" s="201">
        <f>SUM(P17:P21)</f>
        <v>-51629.592502996966</v>
      </c>
      <c r="Q22" s="201">
        <f>SUM(Q17:Q21)</f>
        <v>-10020.579675618726</v>
      </c>
      <c r="R22" s="201">
        <f>SUM(R17:R21)</f>
        <v>-202974.92703550431</v>
      </c>
      <c r="S22" s="201"/>
      <c r="T22" s="201"/>
      <c r="U22" s="201"/>
      <c r="V22" s="201"/>
      <c r="W22" s="201"/>
      <c r="X22" s="201"/>
      <c r="Y22" s="201"/>
      <c r="Z22" s="201"/>
      <c r="AA22" s="201"/>
    </row>
    <row r="23" spans="1:27" x14ac:dyDescent="0.4">
      <c r="A23" s="65"/>
      <c r="B23" s="216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</row>
    <row r="24" spans="1:27" x14ac:dyDescent="0.4">
      <c r="A24" s="226" t="s">
        <v>118</v>
      </c>
      <c r="B24" s="219"/>
      <c r="C24" s="190">
        <f>C10+C15+C22</f>
        <v>-209368.93985728492</v>
      </c>
      <c r="D24" s="190">
        <f t="shared" ref="D24:F24" si="13">D10+D15+D22</f>
        <v>3199072.8224728494</v>
      </c>
      <c r="E24" s="190">
        <f t="shared" si="13"/>
        <v>2776773.7796696462</v>
      </c>
      <c r="F24" s="190">
        <f t="shared" si="13"/>
        <v>-477310.61812361958</v>
      </c>
      <c r="G24" s="190">
        <f t="shared" ref="G24:H24" si="14">G10+G15+G22</f>
        <v>-501811.17089307553</v>
      </c>
      <c r="H24" s="190">
        <f t="shared" si="14"/>
        <v>-260492.542527332</v>
      </c>
      <c r="I24" s="190">
        <f t="shared" ref="I24:J24" si="15">I10+I15+I22</f>
        <v>-585803.34250616073</v>
      </c>
      <c r="J24" s="190">
        <f t="shared" si="15"/>
        <v>-299768.93321079772</v>
      </c>
      <c r="K24" s="190">
        <f t="shared" ref="K24:L24" si="16">K10+K15+K22</f>
        <v>-123709.3713394183</v>
      </c>
      <c r="L24" s="190">
        <f t="shared" si="16"/>
        <v>-371721.94122046151</v>
      </c>
      <c r="M24" s="190">
        <f>M10+M15+M22</f>
        <v>-301802.64219767088</v>
      </c>
      <c r="N24" s="190">
        <f>N10+N15+N22</f>
        <v>-227209.29783908842</v>
      </c>
      <c r="P24" s="190">
        <f>P10+P15+P22</f>
        <v>-527466.34251914651</v>
      </c>
      <c r="Q24" s="190">
        <f>Q10+Q15+Q22</f>
        <v>-385413.02972301404</v>
      </c>
      <c r="R24" s="190">
        <f>R10+R15+R22</f>
        <v>-281385.25450827961</v>
      </c>
      <c r="S24" s="190"/>
      <c r="T24" s="190"/>
      <c r="U24" s="190"/>
      <c r="V24" s="190"/>
      <c r="W24" s="190"/>
      <c r="X24" s="190"/>
      <c r="Y24" s="190"/>
      <c r="Z24" s="190"/>
      <c r="AA24" s="190"/>
    </row>
    <row r="25" spans="1:27" x14ac:dyDescent="0.4">
      <c r="A25" s="43"/>
      <c r="B25" s="217"/>
      <c r="C25" s="233"/>
      <c r="D25" s="233"/>
      <c r="E25" s="233"/>
      <c r="F25" s="233"/>
      <c r="G25" s="233"/>
      <c r="H25" s="197"/>
      <c r="I25" s="197"/>
      <c r="J25" s="197"/>
      <c r="K25" s="197"/>
      <c r="L25" s="197"/>
      <c r="M25" s="197"/>
      <c r="N25" s="197"/>
      <c r="P25" s="233"/>
      <c r="Q25" s="197"/>
      <c r="R25" s="197"/>
      <c r="S25" s="233"/>
      <c r="T25" s="233"/>
      <c r="U25" s="197"/>
      <c r="V25" s="197"/>
      <c r="W25" s="197"/>
      <c r="X25" s="197"/>
      <c r="Y25" s="197"/>
      <c r="Z25" s="197"/>
      <c r="AA25" s="197"/>
    </row>
    <row r="26" spans="1:27" x14ac:dyDescent="0.4">
      <c r="A26" s="227" t="s">
        <v>119</v>
      </c>
      <c r="B26" s="216"/>
      <c r="C26" s="194">
        <f>'Balance Sheet'!E6</f>
        <v>506664.22094056779</v>
      </c>
      <c r="D26" s="195">
        <f>C27</f>
        <v>297295.2810832829</v>
      </c>
      <c r="E26" s="195">
        <f t="shared" ref="E26:L26" si="17">D27</f>
        <v>3496368.1035561324</v>
      </c>
      <c r="F26" s="195">
        <f t="shared" si="17"/>
        <v>6273141.8832257781</v>
      </c>
      <c r="G26" s="195">
        <f t="shared" si="17"/>
        <v>5795831.2651021583</v>
      </c>
      <c r="H26" s="196">
        <f t="shared" si="17"/>
        <v>5294020.0942090824</v>
      </c>
      <c r="I26" s="196">
        <f t="shared" si="17"/>
        <v>5033527.5516817505</v>
      </c>
      <c r="J26" s="196">
        <f t="shared" si="17"/>
        <v>4447724.2091755895</v>
      </c>
      <c r="K26" s="196">
        <f t="shared" si="17"/>
        <v>4147955.2759647919</v>
      </c>
      <c r="L26" s="196">
        <f t="shared" si="17"/>
        <v>4024245.9046253734</v>
      </c>
      <c r="M26" s="196">
        <f>L27</f>
        <v>3652523.963404912</v>
      </c>
      <c r="N26" s="196">
        <f>M27</f>
        <v>3350721.3212072412</v>
      </c>
      <c r="P26" s="194">
        <f>'Balance Sheet'!R6</f>
        <v>3123512.0233681542</v>
      </c>
      <c r="Q26" s="196">
        <f>P27</f>
        <v>2596045.6808490078</v>
      </c>
      <c r="R26" s="196">
        <f>Q27</f>
        <v>2210632.6511259936</v>
      </c>
      <c r="S26" s="195"/>
      <c r="T26" s="195"/>
      <c r="U26" s="196"/>
      <c r="V26" s="196"/>
      <c r="W26" s="196"/>
      <c r="X26" s="196"/>
      <c r="Y26" s="196"/>
      <c r="Z26" s="196"/>
      <c r="AA26" s="196"/>
    </row>
    <row r="27" spans="1:27" x14ac:dyDescent="0.4">
      <c r="A27" s="228" t="s">
        <v>120</v>
      </c>
      <c r="B27" s="216"/>
      <c r="C27" s="191">
        <f>C26+C24</f>
        <v>297295.2810832829</v>
      </c>
      <c r="D27" s="191">
        <f t="shared" ref="D27:H27" si="18">D26+D24</f>
        <v>3496368.1035561324</v>
      </c>
      <c r="E27" s="191">
        <f t="shared" si="18"/>
        <v>6273141.8832257781</v>
      </c>
      <c r="F27" s="191">
        <f t="shared" si="18"/>
        <v>5795831.2651021583</v>
      </c>
      <c r="G27" s="191">
        <f t="shared" ref="G27" si="19">G26+G24</f>
        <v>5294020.0942090824</v>
      </c>
      <c r="H27" s="192">
        <f t="shared" si="18"/>
        <v>5033527.5516817505</v>
      </c>
      <c r="I27" s="192">
        <f t="shared" ref="I27:J27" si="20">I26+I24</f>
        <v>4447724.2091755895</v>
      </c>
      <c r="J27" s="192">
        <f t="shared" si="20"/>
        <v>4147955.2759647919</v>
      </c>
      <c r="K27" s="192">
        <f t="shared" ref="K27:L27" si="21">K26+K24</f>
        <v>4024245.9046253734</v>
      </c>
      <c r="L27" s="192">
        <f t="shared" si="21"/>
        <v>3652523.963404912</v>
      </c>
      <c r="M27" s="192">
        <f>M26+M24</f>
        <v>3350721.3212072412</v>
      </c>
      <c r="N27" s="192">
        <f>N26+N24</f>
        <v>3123512.0233681528</v>
      </c>
      <c r="P27" s="191">
        <f>P26+P24</f>
        <v>2596045.6808490078</v>
      </c>
      <c r="Q27" s="192">
        <f>Q26+Q24</f>
        <v>2210632.6511259936</v>
      </c>
      <c r="R27" s="192">
        <f>R26+R24</f>
        <v>1929247.3966177138</v>
      </c>
      <c r="S27" s="191"/>
      <c r="T27" s="191"/>
      <c r="U27" s="192"/>
      <c r="V27" s="192"/>
      <c r="W27" s="192"/>
      <c r="X27" s="192"/>
      <c r="Y27" s="192"/>
      <c r="Z27" s="192"/>
      <c r="AA27" s="192"/>
    </row>
    <row r="28" spans="1:27" s="8" customFormat="1" x14ac:dyDescent="0.4"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spans="1:27" x14ac:dyDescent="0.4">
      <c r="A29" s="281" t="s">
        <v>121</v>
      </c>
      <c r="C29" s="280">
        <f>C27-'Balance Sheet'!G6</f>
        <v>0</v>
      </c>
      <c r="D29" s="280">
        <f>D27-'Balance Sheet'!H6</f>
        <v>0</v>
      </c>
      <c r="E29" s="280">
        <f>E27-'Balance Sheet'!I6</f>
        <v>0</v>
      </c>
      <c r="F29" s="280">
        <f>F27-'Balance Sheet'!J6</f>
        <v>0</v>
      </c>
      <c r="G29" s="280">
        <f>G27-'Balance Sheet'!K6</f>
        <v>0</v>
      </c>
      <c r="H29" s="280">
        <f>H27-'Balance Sheet'!L6</f>
        <v>0</v>
      </c>
      <c r="I29" s="280">
        <f>I27-'Balance Sheet'!M6</f>
        <v>0</v>
      </c>
      <c r="J29" s="280">
        <f>J27-'Balance Sheet'!N6</f>
        <v>0</v>
      </c>
      <c r="K29" s="280">
        <f>K27-'Balance Sheet'!O6</f>
        <v>0</v>
      </c>
      <c r="L29" s="280">
        <f>L27-'Balance Sheet'!P6</f>
        <v>0</v>
      </c>
      <c r="M29" s="280">
        <f>M27-'Balance Sheet'!Q6</f>
        <v>0</v>
      </c>
      <c r="N29" s="280">
        <f>N27-'Balance Sheet'!R6</f>
        <v>0</v>
      </c>
      <c r="P29" s="280">
        <f>P27-'Balance Sheet'!T6</f>
        <v>0</v>
      </c>
      <c r="Q29" s="280">
        <f>Q27-'Balance Sheet'!U6</f>
        <v>0</v>
      </c>
      <c r="R29" s="280">
        <f>R27-'Balance Sheet'!V6</f>
        <v>0</v>
      </c>
      <c r="S29" s="280"/>
      <c r="T29" s="280"/>
      <c r="U29" s="280"/>
      <c r="V29" s="280"/>
      <c r="W29" s="280"/>
      <c r="X29" s="280"/>
      <c r="Y29" s="280"/>
      <c r="Z29" s="280"/>
      <c r="AA29" s="28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P&amp;L</vt:lpstr>
      <vt:lpstr>Balance Sheet</vt:lpstr>
      <vt:lpstr>CFS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Mulwa</dc:creator>
  <cp:keywords/>
  <dc:description/>
  <cp:lastModifiedBy>Adrienne Henderson</cp:lastModifiedBy>
  <cp:revision/>
  <dcterms:created xsi:type="dcterms:W3CDTF">2024-12-18T06:50:04Z</dcterms:created>
  <dcterms:modified xsi:type="dcterms:W3CDTF">2026-04-09T09:43:05Z</dcterms:modified>
  <cp:category/>
  <cp:contentStatus/>
</cp:coreProperties>
</file>