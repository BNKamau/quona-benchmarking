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upurmittal/Downloads/"/>
    </mc:Choice>
  </mc:AlternateContent>
  <xr:revisionPtr revIDLastSave="0" documentId="13_ncr:1_{DFF8429F-00CB-AF43-95A9-8EFA5534C904}" xr6:coauthVersionLast="47" xr6:coauthVersionMax="47" xr10:uidLastSave="{00000000-0000-0000-0000-000000000000}"/>
  <bookViews>
    <workbookView xWindow="0" yWindow="500" windowWidth="25600" windowHeight="14120" xr2:uid="{00000000-000D-0000-FFFF-FFFF00000000}"/>
  </bookViews>
  <sheets>
    <sheet name="PL" sheetId="1" r:id="rId1"/>
    <sheet name="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F31" i="1"/>
  <c r="G31" i="1"/>
  <c r="E15" i="2" l="1"/>
  <c r="I6" i="1" l="1"/>
  <c r="I10" i="1"/>
  <c r="I20" i="1"/>
  <c r="I22" i="1"/>
  <c r="I21" i="1" l="1"/>
  <c r="I24" i="1"/>
  <c r="I25" i="1"/>
  <c r="I14" i="1"/>
  <c r="I26" i="1"/>
  <c r="I27" i="1"/>
  <c r="I19" i="1"/>
  <c r="I4" i="1" l="1"/>
  <c r="I8" i="1"/>
  <c r="I16" i="1" l="1"/>
  <c r="I12" i="1"/>
  <c r="I30" i="1" l="1"/>
</calcChain>
</file>

<file path=xl/sharedStrings.xml><?xml version="1.0" encoding="utf-8"?>
<sst xmlns="http://schemas.openxmlformats.org/spreadsheetml/2006/main" count="29" uniqueCount="26">
  <si>
    <t>INCOME STATEMENT</t>
  </si>
  <si>
    <t>GROSS SALES</t>
  </si>
  <si>
    <t>NET REVENUE</t>
  </si>
  <si>
    <t>COGS</t>
  </si>
  <si>
    <t>GROSS PROFIT I</t>
  </si>
  <si>
    <t>PERFORMANCE MARKETING</t>
  </si>
  <si>
    <t>CROSS PROFIT II</t>
  </si>
  <si>
    <t>PAYROLL</t>
  </si>
  <si>
    <t>G&amp;A</t>
  </si>
  <si>
    <t>R&amp;D</t>
  </si>
  <si>
    <t>S&amp;M</t>
  </si>
  <si>
    <t>OPEX</t>
  </si>
  <si>
    <t>EBITDA</t>
  </si>
  <si>
    <t>1Q 2026</t>
  </si>
  <si>
    <t>BALANCE SHEET</t>
  </si>
  <si>
    <t>Cash and equivalents</t>
  </si>
  <si>
    <t>Accounts Receivable</t>
  </si>
  <si>
    <t>Other Assets</t>
  </si>
  <si>
    <t>Accounts Payable</t>
  </si>
  <si>
    <t>Other Liabilities</t>
  </si>
  <si>
    <t>1Q26</t>
  </si>
  <si>
    <t>TOTAL ASSETS</t>
  </si>
  <si>
    <t>TOTAL LIABILITIES</t>
  </si>
  <si>
    <t>TOTAL EQUITY</t>
  </si>
  <si>
    <t>TOTAL EQUITY AND LIABILITIES</t>
  </si>
  <si>
    <t>INCENTIVES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</si>
</sst>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etica Neue"/>
      <family val="2"/>
    </font>
    <font>
      <sz val="11"/>
      <color theme="1"/>
      <name val="Helvetica Neue"/>
      <family val="2"/>
    </font>
    <font>
      <b/>
      <sz val="12"/>
      <color rgb="FFFFFFFF"/>
      <name val="Helvetica Neue"/>
      <family val="2"/>
    </font>
    <font>
      <sz val="12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02274F"/>
        <bgColor rgb="FF02274F"/>
      </patternFill>
    </fill>
    <fill>
      <patternFill patternType="solid">
        <fgColor rgb="FF2F5496"/>
        <bgColor rgb="FF2F5496"/>
      </patternFill>
    </fill>
    <fill>
      <patternFill patternType="solid">
        <fgColor rgb="FF093C92"/>
        <bgColor rgb="FF093C92"/>
      </patternFill>
    </fill>
    <fill>
      <patternFill patternType="solid">
        <fgColor rgb="FF8EA9DC"/>
        <bgColor rgb="FF8EA9D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5" fillId="2" borderId="0" xfId="0" applyFont="1" applyFill="1"/>
    <xf numFmtId="17" fontId="5" fillId="2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5" fillId="5" borderId="0" xfId="0" applyFont="1" applyFill="1"/>
    <xf numFmtId="164" fontId="5" fillId="5" borderId="0" xfId="0" applyNumberFormat="1" applyFont="1" applyFill="1" applyAlignment="1">
      <alignment horizontal="center" vertical="center"/>
    </xf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4" fontId="3" fillId="0" borderId="0" xfId="0" applyNumberFormat="1" applyFont="1" applyAlignment="1">
      <alignment horizontal="left" indent="2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64" fontId="5" fillId="4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indent="2"/>
    </xf>
    <xf numFmtId="164" fontId="4" fillId="0" borderId="0" xfId="0" applyNumberFormat="1" applyFont="1"/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5"/>
  <sheetViews>
    <sheetView showGridLines="0" tabSelected="1" workbookViewId="0">
      <pane xSplit="3" ySplit="2" topLeftCell="D3" activePane="bottomRight" state="frozen"/>
      <selection pane="topRight"/>
      <selection pane="bottomLeft"/>
      <selection pane="bottomRight" activeCell="K10" sqref="K10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2" customWidth="1"/>
    <col min="4" max="4" width="4" style="2" customWidth="1"/>
    <col min="5" max="7" width="11" style="2" customWidth="1"/>
    <col min="8" max="8" width="4" style="2" customWidth="1"/>
    <col min="9" max="9" width="13" style="2" customWidth="1"/>
    <col min="10" max="10" width="13" customWidth="1"/>
  </cols>
  <sheetData>
    <row r="2" spans="2:10" ht="16" x14ac:dyDescent="0.2">
      <c r="B2" s="6" t="s">
        <v>0</v>
      </c>
      <c r="C2" s="10"/>
      <c r="D2" s="11"/>
      <c r="E2" s="7">
        <v>46023</v>
      </c>
      <c r="F2" s="7">
        <v>46054</v>
      </c>
      <c r="G2" s="7">
        <v>46082</v>
      </c>
      <c r="H2" s="11"/>
      <c r="I2" s="12" t="s">
        <v>13</v>
      </c>
      <c r="J2" s="13"/>
    </row>
    <row r="3" spans="2:10" x14ac:dyDescent="0.2">
      <c r="B3" s="5"/>
      <c r="C3" s="5"/>
      <c r="D3" s="14"/>
      <c r="E3" s="14"/>
      <c r="F3" s="14"/>
      <c r="G3" s="14"/>
      <c r="H3" s="14"/>
      <c r="I3" s="14"/>
      <c r="J3" s="5"/>
    </row>
    <row r="4" spans="2:10" ht="16" x14ac:dyDescent="0.2">
      <c r="B4" s="15" t="s">
        <v>1</v>
      </c>
      <c r="C4" s="5"/>
      <c r="D4" s="14"/>
      <c r="E4" s="16">
        <v>81571.540000000008</v>
      </c>
      <c r="F4" s="16">
        <v>81794.540000000008</v>
      </c>
      <c r="G4" s="16">
        <v>82356.540000000008</v>
      </c>
      <c r="H4" s="14"/>
      <c r="I4" s="16">
        <f>SUM(E4:G4)</f>
        <v>245722.62000000002</v>
      </c>
      <c r="J4" s="5"/>
    </row>
    <row r="5" spans="2:10" x14ac:dyDescent="0.2">
      <c r="B5" s="5"/>
      <c r="C5" s="5"/>
      <c r="D5" s="14"/>
      <c r="E5" s="14"/>
      <c r="F5" s="14"/>
      <c r="G5" s="14"/>
      <c r="H5" s="14"/>
      <c r="I5" s="14"/>
      <c r="J5" s="5"/>
    </row>
    <row r="6" spans="2:10" ht="16" x14ac:dyDescent="0.2">
      <c r="B6" s="15" t="s">
        <v>25</v>
      </c>
      <c r="C6" s="5"/>
      <c r="D6" s="14"/>
      <c r="E6" s="16">
        <v>-14573.5</v>
      </c>
      <c r="F6" s="16">
        <v>-14573.5</v>
      </c>
      <c r="G6" s="16">
        <v>-14573.5</v>
      </c>
      <c r="H6" s="14"/>
      <c r="I6" s="16">
        <f>SUM(E6:G6)</f>
        <v>-43720.5</v>
      </c>
      <c r="J6" s="5"/>
    </row>
    <row r="7" spans="2:10" x14ac:dyDescent="0.2">
      <c r="B7" s="5"/>
      <c r="C7" s="5"/>
      <c r="D7" s="14"/>
      <c r="E7" s="14"/>
      <c r="F7" s="14"/>
      <c r="G7" s="14"/>
      <c r="H7" s="14"/>
      <c r="I7" s="14"/>
      <c r="J7" s="5"/>
    </row>
    <row r="8" spans="2:10" ht="16" x14ac:dyDescent="0.2">
      <c r="B8" s="17" t="s">
        <v>2</v>
      </c>
      <c r="C8" s="5"/>
      <c r="D8" s="14"/>
      <c r="E8" s="18">
        <v>66998.040000000008</v>
      </c>
      <c r="F8" s="18">
        <v>67221.040000000008</v>
      </c>
      <c r="G8" s="18">
        <v>67783.040000000008</v>
      </c>
      <c r="H8" s="14"/>
      <c r="I8" s="18">
        <f>SUM(E8:G8)</f>
        <v>202002.12000000002</v>
      </c>
      <c r="J8" s="5"/>
    </row>
    <row r="9" spans="2:10" x14ac:dyDescent="0.2">
      <c r="B9" s="5"/>
      <c r="C9" s="5"/>
      <c r="D9" s="14"/>
      <c r="E9" s="14"/>
      <c r="F9" s="14"/>
      <c r="G9" s="14"/>
      <c r="H9" s="14"/>
      <c r="I9" s="14"/>
      <c r="J9" s="5"/>
    </row>
    <row r="10" spans="2:10" ht="16" x14ac:dyDescent="0.2">
      <c r="B10" s="15" t="s">
        <v>3</v>
      </c>
      <c r="C10" s="5"/>
      <c r="D10" s="14"/>
      <c r="E10" s="16">
        <v>-3480.4340702423087</v>
      </c>
      <c r="F10" s="16">
        <v>-2554.4022815137487</v>
      </c>
      <c r="G10" s="16">
        <v>-1899.3883419548054</v>
      </c>
      <c r="H10" s="14"/>
      <c r="I10" s="16">
        <f>SUM(E10:G10)</f>
        <v>-7934.224693710863</v>
      </c>
      <c r="J10" s="5"/>
    </row>
    <row r="11" spans="2:10" x14ac:dyDescent="0.2">
      <c r="B11" s="5"/>
      <c r="C11" s="5"/>
      <c r="D11" s="14"/>
      <c r="E11" s="14"/>
      <c r="F11" s="14"/>
      <c r="G11" s="14"/>
      <c r="H11" s="14"/>
      <c r="I11" s="14"/>
      <c r="J11" s="5"/>
    </row>
    <row r="12" spans="2:10" ht="16" x14ac:dyDescent="0.2">
      <c r="B12" s="17" t="s">
        <v>4</v>
      </c>
      <c r="C12" s="5"/>
      <c r="D12" s="14"/>
      <c r="E12" s="18">
        <v>63517.605929757701</v>
      </c>
      <c r="F12" s="18">
        <v>64666.637718486258</v>
      </c>
      <c r="G12" s="18">
        <v>65883.651658045201</v>
      </c>
      <c r="H12" s="14"/>
      <c r="I12" s="18">
        <f>SUM(E12:G12)</f>
        <v>194067.89530628914</v>
      </c>
      <c r="J12" s="5"/>
    </row>
    <row r="13" spans="2:10" x14ac:dyDescent="0.2">
      <c r="B13" s="5"/>
      <c r="C13" s="5"/>
      <c r="D13" s="14"/>
      <c r="E13" s="14"/>
      <c r="F13" s="14"/>
      <c r="G13" s="14"/>
      <c r="H13" s="14"/>
      <c r="I13" s="14"/>
      <c r="J13" s="5"/>
    </row>
    <row r="14" spans="2:10" ht="16" x14ac:dyDescent="0.2">
      <c r="B14" s="15" t="s">
        <v>5</v>
      </c>
      <c r="C14" s="5"/>
      <c r="D14" s="14"/>
      <c r="E14" s="16">
        <v>-3749.0144296215626</v>
      </c>
      <c r="F14" s="16">
        <v>-0.5635720119793084</v>
      </c>
      <c r="G14" s="16">
        <v>0</v>
      </c>
      <c r="H14" s="14"/>
      <c r="I14" s="16">
        <f>SUM(E14:G14)</f>
        <v>-3749.578001633542</v>
      </c>
      <c r="J14" s="31"/>
    </row>
    <row r="15" spans="2:10" x14ac:dyDescent="0.2">
      <c r="B15" s="5"/>
      <c r="C15" s="5"/>
      <c r="D15" s="14"/>
      <c r="E15" s="14"/>
      <c r="F15" s="14"/>
      <c r="G15" s="14"/>
      <c r="H15" s="14"/>
      <c r="I15" s="14"/>
      <c r="J15" s="5"/>
    </row>
    <row r="16" spans="2:10" ht="16" x14ac:dyDescent="0.2">
      <c r="B16" s="17" t="s">
        <v>6</v>
      </c>
      <c r="C16" s="5"/>
      <c r="D16" s="14"/>
      <c r="E16" s="18">
        <v>59768.591500136135</v>
      </c>
      <c r="F16" s="18">
        <v>64666.074146474275</v>
      </c>
      <c r="G16" s="18">
        <v>65883.651658045201</v>
      </c>
      <c r="H16" s="14"/>
      <c r="I16" s="18">
        <f>SUM(E16:G16)</f>
        <v>190318.31730465562</v>
      </c>
      <c r="J16" s="5"/>
    </row>
    <row r="17" spans="2:10" x14ac:dyDescent="0.2">
      <c r="B17" s="5"/>
      <c r="C17" s="5"/>
      <c r="D17" s="14"/>
      <c r="E17" s="19"/>
      <c r="F17" s="19"/>
      <c r="G17" s="19"/>
      <c r="H17" s="14"/>
      <c r="I17" s="19"/>
      <c r="J17" s="5"/>
    </row>
    <row r="18" spans="2:10" x14ac:dyDescent="0.2">
      <c r="B18" s="5"/>
      <c r="C18" s="5"/>
      <c r="D18" s="14"/>
      <c r="E18" s="14"/>
      <c r="F18" s="14"/>
      <c r="G18" s="14"/>
      <c r="H18" s="14"/>
      <c r="I18" s="14"/>
      <c r="J18" s="5"/>
    </row>
    <row r="19" spans="2:10" ht="16" x14ac:dyDescent="0.2">
      <c r="B19" s="20" t="s">
        <v>7</v>
      </c>
      <c r="C19" s="5"/>
      <c r="D19" s="14"/>
      <c r="E19" s="21">
        <v>-125408.66122230001</v>
      </c>
      <c r="F19" s="21">
        <v>-103442.9147243</v>
      </c>
      <c r="G19" s="21">
        <v>-111889.07479439999</v>
      </c>
      <c r="H19" s="14"/>
      <c r="I19" s="21">
        <f>SUM(E19:G19)</f>
        <v>-340740.65074099996</v>
      </c>
      <c r="J19" s="31"/>
    </row>
    <row r="20" spans="2:10" ht="16" x14ac:dyDescent="0.2">
      <c r="B20" s="30" t="s">
        <v>8</v>
      </c>
      <c r="C20" s="5"/>
      <c r="D20" s="14"/>
      <c r="E20" s="8">
        <v>-76537.671522000004</v>
      </c>
      <c r="F20" s="8">
        <v>-59537.858802999996</v>
      </c>
      <c r="G20" s="8">
        <v>-64976.904337</v>
      </c>
      <c r="H20" s="14"/>
      <c r="I20" s="8">
        <f>SUM(E20:G20)</f>
        <v>-201052.43466199999</v>
      </c>
      <c r="J20" s="5"/>
    </row>
    <row r="21" spans="2:10" ht="16" x14ac:dyDescent="0.2">
      <c r="B21" s="30" t="s">
        <v>9</v>
      </c>
      <c r="C21" s="5"/>
      <c r="D21" s="14"/>
      <c r="E21" s="8">
        <v>-37453.632424000003</v>
      </c>
      <c r="F21" s="8">
        <v>-31215.947941000002</v>
      </c>
      <c r="G21" s="8">
        <v>-32801.868180999998</v>
      </c>
      <c r="H21" s="14"/>
      <c r="I21" s="8">
        <f>SUM(E21:G21)</f>
        <v>-101471.448546</v>
      </c>
      <c r="J21" s="5"/>
    </row>
    <row r="22" spans="2:10" ht="16" x14ac:dyDescent="0.2">
      <c r="B22" s="30" t="s">
        <v>10</v>
      </c>
      <c r="C22" s="5"/>
      <c r="D22" s="14"/>
      <c r="E22" s="8">
        <v>-11417.357276300001</v>
      </c>
      <c r="F22" s="8">
        <v>-12689.107980300001</v>
      </c>
      <c r="G22" s="8">
        <v>-14110.3022764</v>
      </c>
      <c r="H22" s="14"/>
      <c r="I22" s="8">
        <f>SUM(E22:G22)</f>
        <v>-38216.767532999998</v>
      </c>
      <c r="J22" s="5"/>
    </row>
    <row r="23" spans="2:10" x14ac:dyDescent="0.2">
      <c r="B23" s="5"/>
      <c r="C23" s="5"/>
      <c r="D23" s="14"/>
      <c r="E23" s="14"/>
      <c r="F23" s="14"/>
      <c r="G23" s="14"/>
      <c r="H23" s="14"/>
      <c r="I23" s="14"/>
      <c r="J23" s="5"/>
    </row>
    <row r="24" spans="2:10" ht="16" x14ac:dyDescent="0.2">
      <c r="B24" s="22" t="s">
        <v>11</v>
      </c>
      <c r="C24" s="5"/>
      <c r="D24" s="14"/>
      <c r="E24" s="23">
        <v>-27835.666370814026</v>
      </c>
      <c r="F24" s="23">
        <v>-22406.385213721765</v>
      </c>
      <c r="G24" s="23">
        <v>-32324.765543152742</v>
      </c>
      <c r="H24" s="14"/>
      <c r="I24" s="23">
        <f>SUM(E24:G24)</f>
        <v>-82566.817127688526</v>
      </c>
      <c r="J24" s="5"/>
    </row>
    <row r="25" spans="2:10" ht="16" x14ac:dyDescent="0.2">
      <c r="B25" s="30" t="s">
        <v>8</v>
      </c>
      <c r="C25" s="5"/>
      <c r="D25" s="14"/>
      <c r="E25" s="8">
        <v>-22214.018001633518</v>
      </c>
      <c r="F25" s="8">
        <v>-15627.702937653154</v>
      </c>
      <c r="G25" s="8">
        <v>-14770.74430710591</v>
      </c>
      <c r="H25" s="14"/>
      <c r="I25" s="8">
        <f>SUM(E25:G25)</f>
        <v>-52612.465246392581</v>
      </c>
      <c r="J25" s="5"/>
    </row>
    <row r="26" spans="2:10" ht="16" x14ac:dyDescent="0.2">
      <c r="B26" s="30" t="s">
        <v>9</v>
      </c>
      <c r="C26" s="5"/>
      <c r="D26" s="14"/>
      <c r="E26" s="8">
        <v>-4720.2232507487061</v>
      </c>
      <c r="F26" s="8">
        <v>-5195.2164443234406</v>
      </c>
      <c r="G26" s="8">
        <v>-15082.463925946096</v>
      </c>
      <c r="H26" s="14"/>
      <c r="I26" s="8">
        <f>SUM(E26:G26)</f>
        <v>-24997.903621018242</v>
      </c>
      <c r="J26" s="5"/>
    </row>
    <row r="27" spans="2:10" ht="16" x14ac:dyDescent="0.2">
      <c r="B27" s="30" t="s">
        <v>10</v>
      </c>
      <c r="C27" s="5"/>
      <c r="D27" s="14"/>
      <c r="E27" s="8">
        <v>-901.42511843179955</v>
      </c>
      <c r="F27" s="8">
        <v>-1583.4658317451674</v>
      </c>
      <c r="G27" s="8">
        <v>-2471.5573101007353</v>
      </c>
      <c r="H27" s="14"/>
      <c r="I27" s="8">
        <f>SUM(E27:G27)</f>
        <v>-4956.4482602777025</v>
      </c>
      <c r="J27" s="5"/>
    </row>
    <row r="28" spans="2:10" x14ac:dyDescent="0.2">
      <c r="B28" s="5"/>
      <c r="C28" s="5"/>
      <c r="D28" s="14"/>
      <c r="E28" s="14"/>
      <c r="F28" s="14"/>
      <c r="G28" s="14"/>
      <c r="H28" s="14"/>
      <c r="I28" s="14"/>
      <c r="J28" s="5"/>
    </row>
    <row r="29" spans="2:10" x14ac:dyDescent="0.2">
      <c r="B29" s="5"/>
      <c r="C29" s="5"/>
      <c r="D29" s="14"/>
      <c r="E29" s="14"/>
      <c r="F29" s="14"/>
      <c r="G29" s="14"/>
      <c r="H29" s="14"/>
      <c r="I29" s="14"/>
      <c r="J29" s="5"/>
    </row>
    <row r="30" spans="2:10" ht="16" x14ac:dyDescent="0.2">
      <c r="B30" s="17" t="s">
        <v>12</v>
      </c>
      <c r="C30" s="5"/>
      <c r="D30" s="14"/>
      <c r="E30" s="18">
        <v>-93475.736092977895</v>
      </c>
      <c r="F30" s="18">
        <v>-61183.225791547491</v>
      </c>
      <c r="G30" s="18">
        <v>-78330.188679507526</v>
      </c>
      <c r="H30" s="14"/>
      <c r="I30" s="18">
        <f>SUM(E30:G30)</f>
        <v>-232989.1505640329</v>
      </c>
      <c r="J30" s="5"/>
    </row>
    <row r="31" spans="2:10" x14ac:dyDescent="0.2">
      <c r="E31" s="32">
        <f>E30/E8</f>
        <v>-1.3952010550305334</v>
      </c>
      <c r="F31" s="32">
        <f>F30/F8</f>
        <v>-0.91017969658826292</v>
      </c>
      <c r="G31" s="32">
        <f>G30/G8</f>
        <v>-1.1556015882366373</v>
      </c>
    </row>
    <row r="35" spans="4:9" ht="16" x14ac:dyDescent="0.2">
      <c r="D35" s="3"/>
      <c r="E35" s="3"/>
      <c r="F35" s="3"/>
      <c r="G35" s="3"/>
      <c r="H35" s="3"/>
      <c r="I35" s="3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B10F-20C2-D448-A8AA-C31E481CD7D3}">
  <dimension ref="B2:E17"/>
  <sheetViews>
    <sheetView showGridLines="0" workbookViewId="0">
      <selection activeCell="G17" sqref="G17"/>
    </sheetView>
  </sheetViews>
  <sheetFormatPr baseColWidth="10" defaultRowHeight="15" x14ac:dyDescent="0.2"/>
  <cols>
    <col min="1" max="1" width="3.33203125" customWidth="1"/>
    <col min="2" max="2" width="33" bestFit="1" customWidth="1"/>
    <col min="3" max="3" width="3.33203125" customWidth="1"/>
    <col min="4" max="4" width="3.33203125" style="1" customWidth="1"/>
    <col min="5" max="5" width="10.83203125" style="1"/>
  </cols>
  <sheetData>
    <row r="2" spans="2:5" ht="16" x14ac:dyDescent="0.2">
      <c r="B2" s="6" t="s">
        <v>14</v>
      </c>
      <c r="C2" s="6"/>
      <c r="D2" s="7"/>
      <c r="E2" s="7" t="s">
        <v>20</v>
      </c>
    </row>
    <row r="3" spans="2:5" x14ac:dyDescent="0.2">
      <c r="B3" s="5"/>
      <c r="C3" s="5"/>
      <c r="D3" s="9"/>
      <c r="E3" s="9"/>
    </row>
    <row r="4" spans="2:5" ht="16" x14ac:dyDescent="0.2">
      <c r="B4" s="24" t="s">
        <v>21</v>
      </c>
      <c r="C4" s="16"/>
      <c r="D4" s="16"/>
      <c r="E4" s="16">
        <v>1091544.7390949018</v>
      </c>
    </row>
    <row r="5" spans="2:5" ht="16" x14ac:dyDescent="0.2">
      <c r="B5" s="26" t="s">
        <v>15</v>
      </c>
      <c r="C5" s="4"/>
      <c r="D5" s="9"/>
      <c r="E5" s="8">
        <v>834853.37945004087</v>
      </c>
    </row>
    <row r="6" spans="2:5" ht="16" x14ac:dyDescent="0.2">
      <c r="B6" s="26" t="s">
        <v>16</v>
      </c>
      <c r="C6" s="4"/>
      <c r="D6" s="9"/>
      <c r="E6" s="8">
        <v>230972.2579889888</v>
      </c>
    </row>
    <row r="7" spans="2:5" ht="16" x14ac:dyDescent="0.2">
      <c r="B7" s="26" t="s">
        <v>17</v>
      </c>
      <c r="C7" s="4"/>
      <c r="D7" s="9"/>
      <c r="E7" s="8">
        <v>25719.101655871997</v>
      </c>
    </row>
    <row r="8" spans="2:5" ht="16" x14ac:dyDescent="0.2">
      <c r="B8" s="28"/>
      <c r="C8" s="5"/>
      <c r="D8" s="9"/>
      <c r="E8" s="8"/>
    </row>
    <row r="9" spans="2:5" ht="16" x14ac:dyDescent="0.2">
      <c r="B9" s="25" t="s">
        <v>22</v>
      </c>
      <c r="C9" s="21"/>
      <c r="D9" s="21"/>
      <c r="E9" s="21">
        <v>206517.71815004482</v>
      </c>
    </row>
    <row r="10" spans="2:5" ht="16" x14ac:dyDescent="0.2">
      <c r="B10" s="26" t="s">
        <v>18</v>
      </c>
      <c r="C10" s="4"/>
      <c r="D10" s="9"/>
      <c r="E10" s="8">
        <v>134914.27844573441</v>
      </c>
    </row>
    <row r="11" spans="2:5" ht="16" x14ac:dyDescent="0.2">
      <c r="B11" s="26" t="s">
        <v>19</v>
      </c>
      <c r="C11" s="4"/>
      <c r="D11" s="9"/>
      <c r="E11" s="8">
        <v>71603.439704310411</v>
      </c>
    </row>
    <row r="12" spans="2:5" ht="16" x14ac:dyDescent="0.2">
      <c r="B12" s="28"/>
      <c r="C12" s="5"/>
      <c r="D12" s="9"/>
      <c r="E12" s="8"/>
    </row>
    <row r="13" spans="2:5" ht="16" x14ac:dyDescent="0.2">
      <c r="B13" s="24" t="s">
        <v>23</v>
      </c>
      <c r="C13" s="16"/>
      <c r="D13" s="16"/>
      <c r="E13" s="16">
        <v>885027.02094485704</v>
      </c>
    </row>
    <row r="14" spans="2:5" ht="16" x14ac:dyDescent="0.2">
      <c r="B14" s="28"/>
      <c r="C14" s="5"/>
      <c r="D14" s="9"/>
      <c r="E14" s="8"/>
    </row>
    <row r="15" spans="2:5" ht="16" x14ac:dyDescent="0.2">
      <c r="B15" s="29" t="s">
        <v>24</v>
      </c>
      <c r="C15" s="18"/>
      <c r="D15" s="18"/>
      <c r="E15" s="18">
        <f>E9+E13</f>
        <v>1091544.7390949018</v>
      </c>
    </row>
    <row r="17" spans="5:5" x14ac:dyDescent="0.2">
      <c r="E17" s="2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</vt:lpstr>
      <vt:lpstr>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Nupur Mittal</cp:lastModifiedBy>
  <dcterms:created xsi:type="dcterms:W3CDTF">2026-04-13T09:52:30Z</dcterms:created>
  <dcterms:modified xsi:type="dcterms:W3CDTF">2026-04-27T03:52:02Z</dcterms:modified>
</cp:coreProperties>
</file>